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Obycheva\Desktop\"/>
    </mc:Choice>
  </mc:AlternateContent>
  <bookViews>
    <workbookView xWindow="0" yWindow="0" windowWidth="28800" windowHeight="12300"/>
  </bookViews>
  <sheets>
    <sheet name="Sheet1" sheetId="1" r:id="rId1"/>
  </sheets>
  <definedNames>
    <definedName name="pTABLE">Sheet1!$B$2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5" i="1" l="1"/>
  <c r="C235" i="1"/>
  <c r="B235" i="1"/>
  <c r="F234" i="1"/>
  <c r="E234" i="1" s="1"/>
  <c r="C234" i="1"/>
  <c r="B234" i="1"/>
  <c r="F233" i="1"/>
  <c r="C233" i="1"/>
  <c r="B233" i="1"/>
  <c r="F232" i="1"/>
  <c r="E232" i="1" s="1"/>
  <c r="C232" i="1"/>
  <c r="B232" i="1"/>
  <c r="F231" i="1"/>
  <c r="C231" i="1"/>
  <c r="B231" i="1"/>
  <c r="F230" i="1"/>
  <c r="C230" i="1"/>
  <c r="B230" i="1"/>
  <c r="F229" i="1"/>
  <c r="E229" i="1" s="1"/>
  <c r="C229" i="1"/>
  <c r="B229" i="1"/>
  <c r="F228" i="1"/>
  <c r="C228" i="1"/>
  <c r="B228" i="1"/>
  <c r="F227" i="1"/>
  <c r="E227" i="1" s="1"/>
  <c r="C227" i="1"/>
  <c r="B227" i="1"/>
  <c r="F226" i="1"/>
  <c r="C226" i="1"/>
  <c r="B226" i="1"/>
  <c r="F225" i="1"/>
  <c r="C225" i="1"/>
  <c r="B225" i="1"/>
  <c r="F224" i="1"/>
  <c r="C224" i="1"/>
  <c r="B224" i="1"/>
  <c r="F223" i="1"/>
  <c r="C223" i="1"/>
  <c r="B223" i="1"/>
  <c r="F222" i="1"/>
  <c r="E222" i="1" s="1"/>
  <c r="C222" i="1"/>
  <c r="B222" i="1"/>
  <c r="F221" i="1"/>
  <c r="C221" i="1"/>
  <c r="B221" i="1"/>
  <c r="F220" i="1"/>
  <c r="C220" i="1"/>
  <c r="B220" i="1"/>
  <c r="F219" i="1"/>
  <c r="E219" i="1" s="1"/>
  <c r="C219" i="1"/>
  <c r="B219" i="1"/>
  <c r="F218" i="1"/>
  <c r="C218" i="1"/>
  <c r="B218" i="1"/>
  <c r="F217" i="1"/>
  <c r="E217" i="1" s="1"/>
  <c r="C217" i="1"/>
  <c r="B217" i="1"/>
  <c r="F216" i="1"/>
  <c r="C216" i="1"/>
  <c r="B216" i="1"/>
  <c r="F215" i="1"/>
  <c r="C215" i="1"/>
  <c r="B215" i="1"/>
  <c r="F214" i="1"/>
  <c r="C214" i="1"/>
  <c r="B214" i="1"/>
  <c r="F213" i="1"/>
  <c r="C213" i="1"/>
  <c r="B213" i="1"/>
  <c r="F212" i="1"/>
  <c r="E212" i="1" s="1"/>
  <c r="C212" i="1"/>
  <c r="B212" i="1"/>
  <c r="F211" i="1"/>
  <c r="C211" i="1"/>
  <c r="B211" i="1"/>
  <c r="F210" i="1"/>
  <c r="C210" i="1"/>
  <c r="B210" i="1"/>
  <c r="F209" i="1"/>
  <c r="E209" i="1"/>
  <c r="C209" i="1"/>
  <c r="B209" i="1"/>
  <c r="F208" i="1"/>
  <c r="C208" i="1"/>
  <c r="B208" i="1"/>
  <c r="F207" i="1"/>
  <c r="E207" i="1" s="1"/>
  <c r="C207" i="1"/>
  <c r="B207" i="1"/>
  <c r="F206" i="1"/>
  <c r="C206" i="1"/>
  <c r="B206" i="1"/>
  <c r="F205" i="1"/>
  <c r="C205" i="1"/>
  <c r="B205" i="1"/>
  <c r="F204" i="1"/>
  <c r="E204" i="1" s="1"/>
  <c r="C204" i="1"/>
  <c r="B204" i="1"/>
  <c r="F203" i="1"/>
  <c r="C203" i="1"/>
  <c r="B203" i="1"/>
  <c r="F202" i="1"/>
  <c r="E202" i="1" s="1"/>
  <c r="C202" i="1"/>
  <c r="B202" i="1"/>
  <c r="F201" i="1"/>
  <c r="G201" i="1" s="1"/>
  <c r="C201" i="1"/>
  <c r="B201" i="1"/>
  <c r="F200" i="1"/>
  <c r="C200" i="1"/>
  <c r="B200" i="1"/>
  <c r="F199" i="1"/>
  <c r="E199" i="1" s="1"/>
  <c r="C199" i="1"/>
  <c r="B199" i="1"/>
  <c r="F198" i="1"/>
  <c r="C198" i="1"/>
  <c r="B198" i="1"/>
  <c r="F197" i="1"/>
  <c r="E197" i="1" s="1"/>
  <c r="C197" i="1"/>
  <c r="B197" i="1"/>
  <c r="F196" i="1"/>
  <c r="C196" i="1"/>
  <c r="B196" i="1"/>
  <c r="F195" i="1"/>
  <c r="C195" i="1"/>
  <c r="B195" i="1"/>
  <c r="F194" i="1"/>
  <c r="C194" i="1"/>
  <c r="B194" i="1"/>
  <c r="F193" i="1"/>
  <c r="C193" i="1"/>
  <c r="B193" i="1"/>
  <c r="F192" i="1"/>
  <c r="E192" i="1" s="1"/>
  <c r="C192" i="1"/>
  <c r="B192" i="1"/>
  <c r="F191" i="1"/>
  <c r="G191" i="1" s="1"/>
  <c r="C191" i="1"/>
  <c r="B191" i="1"/>
  <c r="F190" i="1"/>
  <c r="C190" i="1"/>
  <c r="B190" i="1"/>
  <c r="F189" i="1"/>
  <c r="E189" i="1" s="1"/>
  <c r="C189" i="1"/>
  <c r="B189" i="1"/>
  <c r="F188" i="1"/>
  <c r="C188" i="1"/>
  <c r="B188" i="1"/>
  <c r="F187" i="1"/>
  <c r="E187" i="1" s="1"/>
  <c r="C187" i="1"/>
  <c r="B187" i="1"/>
  <c r="F186" i="1"/>
  <c r="G187" i="1" s="1"/>
  <c r="C186" i="1"/>
  <c r="B186" i="1"/>
  <c r="F185" i="1"/>
  <c r="C185" i="1"/>
  <c r="B185" i="1"/>
  <c r="F184" i="1"/>
  <c r="E184" i="1" s="1"/>
  <c r="C184" i="1"/>
  <c r="B184" i="1"/>
  <c r="F183" i="1"/>
  <c r="C183" i="1"/>
  <c r="B183" i="1"/>
  <c r="F182" i="1"/>
  <c r="E182" i="1" s="1"/>
  <c r="C182" i="1"/>
  <c r="B182" i="1"/>
  <c r="F181" i="1"/>
  <c r="C181" i="1"/>
  <c r="B181" i="1"/>
  <c r="F180" i="1"/>
  <c r="C180" i="1"/>
  <c r="B180" i="1"/>
  <c r="F179" i="1"/>
  <c r="E179" i="1" s="1"/>
  <c r="C179" i="1"/>
  <c r="B179" i="1"/>
  <c r="F178" i="1"/>
  <c r="C178" i="1"/>
  <c r="B178" i="1"/>
  <c r="F177" i="1"/>
  <c r="E177" i="1" s="1"/>
  <c r="C177" i="1"/>
  <c r="B177" i="1"/>
  <c r="F176" i="1"/>
  <c r="C176" i="1"/>
  <c r="B176" i="1"/>
  <c r="F175" i="1"/>
  <c r="C175" i="1"/>
  <c r="B175" i="1"/>
  <c r="F174" i="1"/>
  <c r="C174" i="1"/>
  <c r="B174" i="1"/>
  <c r="F173" i="1"/>
  <c r="C173" i="1"/>
  <c r="B173" i="1"/>
  <c r="F172" i="1"/>
  <c r="E172" i="1" s="1"/>
  <c r="C172" i="1"/>
  <c r="B172" i="1"/>
  <c r="F171" i="1"/>
  <c r="C171" i="1"/>
  <c r="B171" i="1"/>
  <c r="F170" i="1"/>
  <c r="C170" i="1"/>
  <c r="B170" i="1"/>
  <c r="F169" i="1"/>
  <c r="E169" i="1" s="1"/>
  <c r="C169" i="1"/>
  <c r="B169" i="1"/>
  <c r="F168" i="1"/>
  <c r="C168" i="1"/>
  <c r="B168" i="1"/>
  <c r="F167" i="1"/>
  <c r="E167" i="1" s="1"/>
  <c r="C167" i="1"/>
  <c r="B167" i="1"/>
  <c r="F166" i="1"/>
  <c r="C166" i="1"/>
  <c r="B166" i="1"/>
  <c r="F165" i="1"/>
  <c r="C165" i="1"/>
  <c r="B165" i="1"/>
  <c r="F164" i="1"/>
  <c r="C164" i="1"/>
  <c r="B164" i="1"/>
  <c r="F163" i="1"/>
  <c r="C163" i="1"/>
  <c r="B163" i="1"/>
  <c r="F162" i="1"/>
  <c r="E162" i="1" s="1"/>
  <c r="C162" i="1"/>
  <c r="B162" i="1"/>
  <c r="F161" i="1"/>
  <c r="C161" i="1"/>
  <c r="B161" i="1"/>
  <c r="F160" i="1"/>
  <c r="C160" i="1"/>
  <c r="B160" i="1"/>
  <c r="F159" i="1"/>
  <c r="E159" i="1" s="1"/>
  <c r="C159" i="1"/>
  <c r="B159" i="1"/>
  <c r="F158" i="1"/>
  <c r="C158" i="1"/>
  <c r="B158" i="1"/>
  <c r="F157" i="1"/>
  <c r="E157" i="1" s="1"/>
  <c r="C157" i="1"/>
  <c r="B157" i="1"/>
  <c r="F156" i="1"/>
  <c r="C156" i="1"/>
  <c r="B156" i="1"/>
  <c r="F155" i="1"/>
  <c r="C155" i="1"/>
  <c r="B155" i="1"/>
  <c r="F154" i="1"/>
  <c r="E154" i="1" s="1"/>
  <c r="C154" i="1"/>
  <c r="B154" i="1"/>
  <c r="F153" i="1"/>
  <c r="C153" i="1"/>
  <c r="B153" i="1"/>
  <c r="F152" i="1"/>
  <c r="E152" i="1" s="1"/>
  <c r="C152" i="1"/>
  <c r="B152" i="1"/>
  <c r="F151" i="1"/>
  <c r="C151" i="1"/>
  <c r="B151" i="1"/>
  <c r="F150" i="1"/>
  <c r="C150" i="1"/>
  <c r="B150" i="1"/>
  <c r="F149" i="1"/>
  <c r="E149" i="1" s="1"/>
  <c r="C149" i="1"/>
  <c r="B149" i="1"/>
  <c r="F148" i="1"/>
  <c r="C148" i="1"/>
  <c r="B148" i="1"/>
  <c r="F147" i="1"/>
  <c r="E147" i="1" s="1"/>
  <c r="C147" i="1"/>
  <c r="B147" i="1"/>
  <c r="F146" i="1"/>
  <c r="C146" i="1"/>
  <c r="B146" i="1"/>
  <c r="F145" i="1"/>
  <c r="C145" i="1"/>
  <c r="B145" i="1"/>
  <c r="F144" i="1"/>
  <c r="E144" i="1" s="1"/>
  <c r="C144" i="1"/>
  <c r="B144" i="1"/>
  <c r="F143" i="1"/>
  <c r="C143" i="1"/>
  <c r="B143" i="1"/>
  <c r="F142" i="1"/>
  <c r="E142" i="1" s="1"/>
  <c r="C142" i="1"/>
  <c r="B142" i="1"/>
  <c r="F141" i="1"/>
  <c r="G142" i="1" s="1"/>
  <c r="C141" i="1"/>
  <c r="B141" i="1"/>
  <c r="F140" i="1"/>
  <c r="C140" i="1"/>
  <c r="B140" i="1"/>
  <c r="F139" i="1"/>
  <c r="E139" i="1" s="1"/>
  <c r="C139" i="1"/>
  <c r="B139" i="1"/>
  <c r="F138" i="1"/>
  <c r="C138" i="1"/>
  <c r="B138" i="1"/>
  <c r="F137" i="1"/>
  <c r="E137" i="1" s="1"/>
  <c r="C137" i="1"/>
  <c r="B137" i="1"/>
  <c r="F136" i="1"/>
  <c r="C136" i="1"/>
  <c r="B136" i="1"/>
  <c r="F135" i="1"/>
  <c r="C135" i="1"/>
  <c r="B135" i="1"/>
  <c r="F134" i="1"/>
  <c r="E134" i="1" s="1"/>
  <c r="C134" i="1"/>
  <c r="B134" i="1"/>
  <c r="F133" i="1"/>
  <c r="C133" i="1"/>
  <c r="B133" i="1"/>
  <c r="F132" i="1"/>
  <c r="E132" i="1" s="1"/>
  <c r="C132" i="1"/>
  <c r="B132" i="1"/>
  <c r="F131" i="1"/>
  <c r="C131" i="1"/>
  <c r="B131" i="1"/>
  <c r="F130" i="1"/>
  <c r="C130" i="1"/>
  <c r="B130" i="1"/>
  <c r="F129" i="1"/>
  <c r="E129" i="1" s="1"/>
  <c r="C129" i="1"/>
  <c r="B129" i="1"/>
  <c r="F128" i="1"/>
  <c r="C128" i="1"/>
  <c r="B128" i="1"/>
  <c r="F127" i="1"/>
  <c r="E127" i="1" s="1"/>
  <c r="C127" i="1"/>
  <c r="B127" i="1"/>
  <c r="F126" i="1"/>
  <c r="C126" i="1"/>
  <c r="B126" i="1"/>
  <c r="F125" i="1"/>
  <c r="C125" i="1"/>
  <c r="B125" i="1"/>
  <c r="F124" i="1"/>
  <c r="E124" i="1"/>
  <c r="C124" i="1"/>
  <c r="B124" i="1"/>
  <c r="F123" i="1"/>
  <c r="C123" i="1"/>
  <c r="B123" i="1"/>
  <c r="F122" i="1"/>
  <c r="E122" i="1" s="1"/>
  <c r="C122" i="1"/>
  <c r="B122" i="1"/>
  <c r="F121" i="1"/>
  <c r="C121" i="1"/>
  <c r="B121" i="1"/>
  <c r="F120" i="1"/>
  <c r="C120" i="1"/>
  <c r="B120" i="1"/>
  <c r="F119" i="1"/>
  <c r="E119" i="1" s="1"/>
  <c r="C119" i="1"/>
  <c r="B119" i="1"/>
  <c r="F118" i="1"/>
  <c r="C118" i="1"/>
  <c r="B118" i="1"/>
  <c r="F117" i="1"/>
  <c r="E117" i="1" s="1"/>
  <c r="C117" i="1"/>
  <c r="B117" i="1"/>
  <c r="F116" i="1"/>
  <c r="C116" i="1"/>
  <c r="B116" i="1"/>
  <c r="F115" i="1"/>
  <c r="C115" i="1"/>
  <c r="B115" i="1"/>
  <c r="F114" i="1"/>
  <c r="E114" i="1" s="1"/>
  <c r="C114" i="1"/>
  <c r="B114" i="1"/>
  <c r="F113" i="1"/>
  <c r="C113" i="1"/>
  <c r="B113" i="1"/>
  <c r="F112" i="1"/>
  <c r="E112" i="1" s="1"/>
  <c r="C112" i="1"/>
  <c r="B112" i="1"/>
  <c r="F111" i="1"/>
  <c r="C111" i="1"/>
  <c r="B111" i="1"/>
  <c r="F110" i="1"/>
  <c r="C110" i="1"/>
  <c r="B110" i="1"/>
  <c r="F109" i="1"/>
  <c r="E109" i="1" s="1"/>
  <c r="C109" i="1"/>
  <c r="B109" i="1"/>
  <c r="F108" i="1"/>
  <c r="C108" i="1"/>
  <c r="B108" i="1"/>
  <c r="F107" i="1"/>
  <c r="E107" i="1" s="1"/>
  <c r="C107" i="1"/>
  <c r="B107" i="1"/>
  <c r="F106" i="1"/>
  <c r="C106" i="1"/>
  <c r="B106" i="1"/>
  <c r="F105" i="1"/>
  <c r="C105" i="1"/>
  <c r="B105" i="1"/>
  <c r="F104" i="1"/>
  <c r="E104" i="1" s="1"/>
  <c r="C104" i="1"/>
  <c r="B104" i="1"/>
  <c r="F103" i="1"/>
  <c r="C103" i="1"/>
  <c r="B103" i="1"/>
  <c r="F102" i="1"/>
  <c r="E102" i="1" s="1"/>
  <c r="C102" i="1"/>
  <c r="B102" i="1"/>
  <c r="F101" i="1"/>
  <c r="C101" i="1"/>
  <c r="B101" i="1"/>
  <c r="F100" i="1"/>
  <c r="G100" i="1" s="1"/>
  <c r="C100" i="1"/>
  <c r="B100" i="1"/>
  <c r="F99" i="1"/>
  <c r="E99" i="1" s="1"/>
  <c r="C99" i="1"/>
  <c r="B99" i="1"/>
  <c r="F98" i="1"/>
  <c r="C98" i="1"/>
  <c r="B98" i="1"/>
  <c r="F97" i="1"/>
  <c r="E97" i="1" s="1"/>
  <c r="C97" i="1"/>
  <c r="B97" i="1"/>
  <c r="F96" i="1"/>
  <c r="C96" i="1"/>
  <c r="B96" i="1"/>
  <c r="F95" i="1"/>
  <c r="C95" i="1"/>
  <c r="B95" i="1"/>
  <c r="F94" i="1"/>
  <c r="E94" i="1" s="1"/>
  <c r="C94" i="1"/>
  <c r="B94" i="1"/>
  <c r="F93" i="1"/>
  <c r="C93" i="1"/>
  <c r="B93" i="1"/>
  <c r="F92" i="1"/>
  <c r="E92" i="1" s="1"/>
  <c r="C92" i="1"/>
  <c r="B92" i="1"/>
  <c r="F91" i="1"/>
  <c r="C91" i="1"/>
  <c r="B91" i="1"/>
  <c r="F90" i="1"/>
  <c r="C90" i="1"/>
  <c r="B90" i="1"/>
  <c r="F89" i="1"/>
  <c r="E89" i="1"/>
  <c r="C89" i="1"/>
  <c r="B89" i="1"/>
  <c r="F88" i="1"/>
  <c r="C88" i="1"/>
  <c r="B88" i="1"/>
  <c r="F87" i="1"/>
  <c r="E87" i="1" s="1"/>
  <c r="C87" i="1"/>
  <c r="B87" i="1"/>
  <c r="F86" i="1"/>
  <c r="C86" i="1"/>
  <c r="B86" i="1"/>
  <c r="F85" i="1"/>
  <c r="C85" i="1"/>
  <c r="B85" i="1"/>
  <c r="F84" i="1"/>
  <c r="E84" i="1" s="1"/>
  <c r="C84" i="1"/>
  <c r="B84" i="1"/>
  <c r="F83" i="1"/>
  <c r="C83" i="1"/>
  <c r="B83" i="1"/>
  <c r="F82" i="1"/>
  <c r="E82" i="1" s="1"/>
  <c r="C82" i="1"/>
  <c r="B82" i="1"/>
  <c r="F81" i="1"/>
  <c r="C81" i="1"/>
  <c r="B81" i="1"/>
  <c r="F80" i="1"/>
  <c r="C80" i="1"/>
  <c r="B80" i="1"/>
  <c r="F79" i="1"/>
  <c r="E79" i="1" s="1"/>
  <c r="C79" i="1"/>
  <c r="B79" i="1"/>
  <c r="F78" i="1"/>
  <c r="C78" i="1"/>
  <c r="B78" i="1"/>
  <c r="F77" i="1"/>
  <c r="E77" i="1" s="1"/>
  <c r="C77" i="1"/>
  <c r="B77" i="1"/>
  <c r="F76" i="1"/>
  <c r="C76" i="1"/>
  <c r="B76" i="1"/>
  <c r="F75" i="1"/>
  <c r="C75" i="1"/>
  <c r="B75" i="1"/>
  <c r="F74" i="1"/>
  <c r="E74" i="1" s="1"/>
  <c r="C74" i="1"/>
  <c r="B74" i="1"/>
  <c r="F73" i="1"/>
  <c r="C73" i="1"/>
  <c r="B73" i="1"/>
  <c r="F72" i="1"/>
  <c r="E72" i="1" s="1"/>
  <c r="C72" i="1"/>
  <c r="B72" i="1"/>
  <c r="F71" i="1"/>
  <c r="C71" i="1"/>
  <c r="B71" i="1"/>
  <c r="F70" i="1"/>
  <c r="C70" i="1"/>
  <c r="B70" i="1"/>
  <c r="F69" i="1"/>
  <c r="E69" i="1" s="1"/>
  <c r="C69" i="1"/>
  <c r="B69" i="1"/>
  <c r="F68" i="1"/>
  <c r="C68" i="1"/>
  <c r="B68" i="1"/>
  <c r="F67" i="1"/>
  <c r="E67" i="1" s="1"/>
  <c r="C67" i="1"/>
  <c r="B67" i="1"/>
  <c r="F66" i="1"/>
  <c r="C66" i="1"/>
  <c r="B66" i="1"/>
  <c r="F65" i="1"/>
  <c r="C65" i="1"/>
  <c r="B65" i="1"/>
  <c r="F64" i="1"/>
  <c r="E64" i="1" s="1"/>
  <c r="C64" i="1"/>
  <c r="B64" i="1"/>
  <c r="F63" i="1"/>
  <c r="C63" i="1"/>
  <c r="B63" i="1"/>
  <c r="F62" i="1"/>
  <c r="E62" i="1" s="1"/>
  <c r="C62" i="1"/>
  <c r="B62" i="1"/>
  <c r="F61" i="1"/>
  <c r="C61" i="1"/>
  <c r="B61" i="1"/>
  <c r="F60" i="1"/>
  <c r="C60" i="1"/>
  <c r="B60" i="1"/>
  <c r="F59" i="1"/>
  <c r="E59" i="1" s="1"/>
  <c r="C59" i="1"/>
  <c r="B59" i="1"/>
  <c r="F58" i="1"/>
  <c r="C58" i="1"/>
  <c r="B58" i="1"/>
  <c r="F57" i="1"/>
  <c r="E57" i="1" s="1"/>
  <c r="C57" i="1"/>
  <c r="B57" i="1"/>
  <c r="F56" i="1"/>
  <c r="C56" i="1"/>
  <c r="B56" i="1"/>
  <c r="F55" i="1"/>
  <c r="C55" i="1"/>
  <c r="B55" i="1"/>
  <c r="F54" i="1"/>
  <c r="E54" i="1"/>
  <c r="C54" i="1"/>
  <c r="B54" i="1"/>
  <c r="F53" i="1"/>
  <c r="C53" i="1"/>
  <c r="B53" i="1"/>
  <c r="F52" i="1"/>
  <c r="E52" i="1" s="1"/>
  <c r="C52" i="1"/>
  <c r="B52" i="1"/>
  <c r="F51" i="1"/>
  <c r="C51" i="1"/>
  <c r="B51" i="1"/>
  <c r="F50" i="1"/>
  <c r="C50" i="1"/>
  <c r="B50" i="1"/>
  <c r="F49" i="1"/>
  <c r="E49" i="1"/>
  <c r="C49" i="1"/>
  <c r="B49" i="1"/>
  <c r="F48" i="1"/>
  <c r="C48" i="1"/>
  <c r="B48" i="1"/>
  <c r="F47" i="1"/>
  <c r="E47" i="1" s="1"/>
  <c r="C47" i="1"/>
  <c r="B47" i="1"/>
  <c r="F46" i="1"/>
  <c r="G47" i="1" s="1"/>
  <c r="C46" i="1"/>
  <c r="B46" i="1"/>
  <c r="F45" i="1"/>
  <c r="C45" i="1"/>
  <c r="B45" i="1"/>
  <c r="F44" i="1"/>
  <c r="C44" i="1"/>
  <c r="B44" i="1"/>
  <c r="F43" i="1"/>
  <c r="C43" i="1"/>
  <c r="B43" i="1"/>
  <c r="F42" i="1"/>
  <c r="E42" i="1" s="1"/>
  <c r="C42" i="1"/>
  <c r="B42" i="1"/>
  <c r="F41" i="1"/>
  <c r="C41" i="1"/>
  <c r="B41" i="1"/>
  <c r="F40" i="1"/>
  <c r="C40" i="1"/>
  <c r="B40" i="1"/>
  <c r="F39" i="1"/>
  <c r="E39" i="1" s="1"/>
  <c r="C39" i="1"/>
  <c r="B39" i="1"/>
  <c r="F38" i="1"/>
  <c r="C38" i="1"/>
  <c r="B38" i="1"/>
  <c r="F37" i="1"/>
  <c r="E37" i="1" s="1"/>
  <c r="C37" i="1"/>
  <c r="B37" i="1"/>
  <c r="F36" i="1"/>
  <c r="C36" i="1"/>
  <c r="B36" i="1"/>
  <c r="F35" i="1"/>
  <c r="C35" i="1"/>
  <c r="B35" i="1"/>
  <c r="F34" i="1"/>
  <c r="E34" i="1" s="1"/>
  <c r="C34" i="1"/>
  <c r="B34" i="1"/>
  <c r="F33" i="1"/>
  <c r="C33" i="1"/>
  <c r="B33" i="1"/>
  <c r="F32" i="1"/>
  <c r="E32" i="1" s="1"/>
  <c r="C32" i="1"/>
  <c r="B32" i="1"/>
  <c r="F31" i="1"/>
  <c r="C31" i="1"/>
  <c r="B31" i="1"/>
  <c r="F30" i="1"/>
  <c r="C30" i="1"/>
  <c r="B30" i="1"/>
  <c r="F29" i="1"/>
  <c r="E29" i="1" s="1"/>
  <c r="C29" i="1"/>
  <c r="B29" i="1"/>
  <c r="F28" i="1"/>
  <c r="C28" i="1"/>
  <c r="B28" i="1"/>
  <c r="F27" i="1"/>
  <c r="E27" i="1" s="1"/>
  <c r="C27" i="1"/>
  <c r="B27" i="1"/>
  <c r="F26" i="1"/>
  <c r="C26" i="1"/>
  <c r="B26" i="1"/>
  <c r="F25" i="1"/>
  <c r="E25" i="1" s="1"/>
  <c r="C25" i="1"/>
  <c r="B25" i="1"/>
  <c r="F24" i="1"/>
  <c r="E24" i="1" s="1"/>
  <c r="C24" i="1"/>
  <c r="B24" i="1"/>
  <c r="F23" i="1"/>
  <c r="E23" i="1" s="1"/>
  <c r="C23" i="1"/>
  <c r="B23" i="1"/>
  <c r="F22" i="1"/>
  <c r="E22" i="1" s="1"/>
  <c r="C22" i="1"/>
  <c r="B22" i="1"/>
  <c r="F21" i="1"/>
  <c r="C21" i="1"/>
  <c r="B21" i="1"/>
  <c r="F20" i="1"/>
  <c r="C20" i="1"/>
  <c r="B20" i="1"/>
  <c r="F19" i="1"/>
  <c r="E19" i="1" s="1"/>
  <c r="C19" i="1"/>
  <c r="B19" i="1"/>
  <c r="F18" i="1"/>
  <c r="E18" i="1" s="1"/>
  <c r="C18" i="1"/>
  <c r="B18" i="1"/>
  <c r="F17" i="1"/>
  <c r="E17" i="1" s="1"/>
  <c r="C17" i="1"/>
  <c r="B17" i="1"/>
  <c r="F16" i="1"/>
  <c r="C16" i="1"/>
  <c r="B16" i="1"/>
  <c r="F15" i="1"/>
  <c r="C15" i="1"/>
  <c r="B15" i="1"/>
  <c r="F14" i="1"/>
  <c r="E14" i="1" s="1"/>
  <c r="C14" i="1"/>
  <c r="B14" i="1"/>
  <c r="F13" i="1"/>
  <c r="E13" i="1" s="1"/>
  <c r="C13" i="1"/>
  <c r="B13" i="1"/>
  <c r="F12" i="1"/>
  <c r="E12" i="1" s="1"/>
  <c r="C12" i="1"/>
  <c r="B12" i="1"/>
  <c r="F11" i="1"/>
  <c r="C11" i="1"/>
  <c r="B11" i="1"/>
  <c r="F10" i="1"/>
  <c r="C10" i="1"/>
  <c r="B10" i="1"/>
  <c r="F9" i="1"/>
  <c r="E9" i="1" s="1"/>
  <c r="C9" i="1"/>
  <c r="B9" i="1"/>
  <c r="F8" i="1"/>
  <c r="E8" i="1" s="1"/>
  <c r="C8" i="1"/>
  <c r="B8" i="1"/>
  <c r="F7" i="1"/>
  <c r="E7" i="1" s="1"/>
  <c r="C7" i="1"/>
  <c r="B7" i="1"/>
  <c r="F6" i="1"/>
  <c r="C6" i="1"/>
  <c r="B6" i="1"/>
  <c r="F5" i="1"/>
  <c r="G5" i="1" s="1"/>
  <c r="C5" i="1"/>
  <c r="B5" i="1"/>
  <c r="G157" i="1" l="1"/>
  <c r="G91" i="1"/>
  <c r="G145" i="1"/>
  <c r="G164" i="1"/>
  <c r="G117" i="1"/>
  <c r="G105" i="1"/>
  <c r="G85" i="1"/>
  <c r="G86" i="1" s="1"/>
  <c r="G87" i="1" s="1"/>
  <c r="G194" i="1"/>
  <c r="G195" i="1" s="1"/>
  <c r="G196" i="1" s="1"/>
  <c r="G197" i="1" s="1"/>
  <c r="G198" i="1" s="1"/>
  <c r="G199" i="1" s="1"/>
  <c r="G200" i="1" s="1"/>
  <c r="G207" i="1"/>
  <c r="G14" i="1"/>
  <c r="G61" i="1"/>
  <c r="G185" i="1"/>
  <c r="G186" i="1" s="1"/>
  <c r="G106" i="1"/>
  <c r="G172" i="1"/>
  <c r="G155" i="1"/>
  <c r="G156" i="1" s="1"/>
  <c r="G166" i="1"/>
  <c r="G167" i="1" s="1"/>
  <c r="G168" i="1" s="1"/>
  <c r="G169" i="1" s="1"/>
  <c r="G77" i="1"/>
  <c r="G78" i="1" s="1"/>
  <c r="G79" i="1" s="1"/>
  <c r="G80" i="1"/>
  <c r="G101" i="1"/>
  <c r="G102" i="1" s="1"/>
  <c r="G103" i="1" s="1"/>
  <c r="G104" i="1" s="1"/>
  <c r="G202" i="1"/>
  <c r="G203" i="1" s="1"/>
  <c r="G204" i="1" s="1"/>
  <c r="G205" i="1" s="1"/>
  <c r="G206" i="1" s="1"/>
  <c r="G214" i="1"/>
  <c r="G217" i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10" i="1"/>
  <c r="G11" i="1" s="1"/>
  <c r="G50" i="1"/>
  <c r="G62" i="1"/>
  <c r="G92" i="1"/>
  <c r="G107" i="1"/>
  <c r="G122" i="1"/>
  <c r="G181" i="1"/>
  <c r="G182" i="1" s="1"/>
  <c r="G75" i="1"/>
  <c r="G81" i="1"/>
  <c r="G82" i="1" s="1"/>
  <c r="G190" i="1"/>
  <c r="G57" i="1"/>
  <c r="G212" i="1"/>
  <c r="G9" i="1"/>
  <c r="G127" i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5" i="1"/>
  <c r="G16" i="1" s="1"/>
  <c r="G6" i="1"/>
  <c r="H5" i="1" s="1"/>
  <c r="G76" i="1"/>
  <c r="G192" i="1"/>
  <c r="G193" i="1" s="1"/>
  <c r="E193" i="1"/>
  <c r="G7" i="1"/>
  <c r="G12" i="1"/>
  <c r="G17" i="1"/>
  <c r="E26" i="1"/>
  <c r="G35" i="1"/>
  <c r="G36" i="1" s="1"/>
  <c r="G37" i="1" s="1"/>
  <c r="G38" i="1" s="1"/>
  <c r="E35" i="1"/>
  <c r="G159" i="1"/>
  <c r="G188" i="1"/>
  <c r="E188" i="1"/>
  <c r="G209" i="1"/>
  <c r="G210" i="1" s="1"/>
  <c r="G211" i="1" s="1"/>
  <c r="G63" i="1"/>
  <c r="G64" i="1" s="1"/>
  <c r="G65" i="1" s="1"/>
  <c r="G66" i="1" s="1"/>
  <c r="G67" i="1" s="1"/>
  <c r="E63" i="1"/>
  <c r="G113" i="1"/>
  <c r="E113" i="1"/>
  <c r="E28" i="1"/>
  <c r="G33" i="1"/>
  <c r="G34" i="1" s="1"/>
  <c r="E33" i="1"/>
  <c r="G42" i="1"/>
  <c r="G59" i="1"/>
  <c r="G60" i="1" s="1"/>
  <c r="G69" i="1"/>
  <c r="G70" i="1" s="1"/>
  <c r="G71" i="1" s="1"/>
  <c r="G72" i="1" s="1"/>
  <c r="G73" i="1" s="1"/>
  <c r="G74" i="1"/>
  <c r="G84" i="1"/>
  <c r="G89" i="1"/>
  <c r="G90" i="1" s="1"/>
  <c r="G94" i="1"/>
  <c r="G95" i="1" s="1"/>
  <c r="G96" i="1" s="1"/>
  <c r="G97" i="1" s="1"/>
  <c r="G98" i="1" s="1"/>
  <c r="G99" i="1" s="1"/>
  <c r="G114" i="1"/>
  <c r="G115" i="1" s="1"/>
  <c r="G116" i="1" s="1"/>
  <c r="G119" i="1"/>
  <c r="G120" i="1" s="1"/>
  <c r="G121" i="1" s="1"/>
  <c r="G154" i="1"/>
  <c r="G170" i="1"/>
  <c r="G171" i="1" s="1"/>
  <c r="G183" i="1"/>
  <c r="E183" i="1"/>
  <c r="E233" i="1"/>
  <c r="E6" i="1"/>
  <c r="E11" i="1"/>
  <c r="E16" i="1"/>
  <c r="E21" i="1"/>
  <c r="E31" i="1"/>
  <c r="E40" i="1"/>
  <c r="G165" i="1"/>
  <c r="E178" i="1"/>
  <c r="E194" i="1"/>
  <c r="G215" i="1"/>
  <c r="G216" i="1" s="1"/>
  <c r="E228" i="1"/>
  <c r="G68" i="1"/>
  <c r="E68" i="1"/>
  <c r="G88" i="1"/>
  <c r="E88" i="1"/>
  <c r="G173" i="1"/>
  <c r="G174" i="1" s="1"/>
  <c r="G175" i="1" s="1"/>
  <c r="G176" i="1" s="1"/>
  <c r="G177" i="1" s="1"/>
  <c r="G178" i="1" s="1"/>
  <c r="G179" i="1" s="1"/>
  <c r="G180" i="1" s="1"/>
  <c r="E173" i="1"/>
  <c r="E36" i="1"/>
  <c r="E168" i="1"/>
  <c r="G189" i="1"/>
  <c r="E218" i="1"/>
  <c r="G46" i="1"/>
  <c r="E46" i="1"/>
  <c r="E53" i="1"/>
  <c r="E78" i="1"/>
  <c r="G118" i="1"/>
  <c r="E118" i="1"/>
  <c r="G123" i="1"/>
  <c r="G124" i="1" s="1"/>
  <c r="G125" i="1" s="1"/>
  <c r="G126" i="1" s="1"/>
  <c r="E123" i="1"/>
  <c r="E128" i="1"/>
  <c r="E133" i="1"/>
  <c r="E138" i="1"/>
  <c r="E148" i="1"/>
  <c r="E153" i="1"/>
  <c r="G160" i="1"/>
  <c r="G161" i="1" s="1"/>
  <c r="G162" i="1" s="1"/>
  <c r="G43" i="1"/>
  <c r="G44" i="1" s="1"/>
  <c r="G45" i="1" s="1"/>
  <c r="E43" i="1"/>
  <c r="G163" i="1"/>
  <c r="E163" i="1"/>
  <c r="G184" i="1"/>
  <c r="G213" i="1"/>
  <c r="E213" i="1"/>
  <c r="G58" i="1"/>
  <c r="E58" i="1"/>
  <c r="E73" i="1"/>
  <c r="G93" i="1"/>
  <c r="E93" i="1"/>
  <c r="E98" i="1"/>
  <c r="E103" i="1"/>
  <c r="E203" i="1"/>
  <c r="E38" i="1"/>
  <c r="E223" i="1"/>
  <c r="E5" i="1"/>
  <c r="G8" i="1"/>
  <c r="E10" i="1"/>
  <c r="G13" i="1"/>
  <c r="E15" i="1"/>
  <c r="G18" i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E20" i="1"/>
  <c r="E41" i="1"/>
  <c r="G48" i="1"/>
  <c r="G49" i="1" s="1"/>
  <c r="E48" i="1"/>
  <c r="G158" i="1"/>
  <c r="E158" i="1"/>
  <c r="E174" i="1"/>
  <c r="G208" i="1"/>
  <c r="E208" i="1"/>
  <c r="E224" i="1"/>
  <c r="G83" i="1"/>
  <c r="E83" i="1"/>
  <c r="G108" i="1"/>
  <c r="G109" i="1" s="1"/>
  <c r="G110" i="1" s="1"/>
  <c r="G111" i="1" s="1"/>
  <c r="G112" i="1" s="1"/>
  <c r="E108" i="1"/>
  <c r="G143" i="1"/>
  <c r="G144" i="1" s="1"/>
  <c r="E143" i="1"/>
  <c r="E30" i="1"/>
  <c r="G39" i="1"/>
  <c r="G40" i="1" s="1"/>
  <c r="G41" i="1" s="1"/>
  <c r="E44" i="1"/>
  <c r="G51" i="1"/>
  <c r="G52" i="1" s="1"/>
  <c r="G53" i="1" s="1"/>
  <c r="G54" i="1" s="1"/>
  <c r="G55" i="1" s="1"/>
  <c r="G56" i="1" s="1"/>
  <c r="E51" i="1"/>
  <c r="G146" i="1"/>
  <c r="G147" i="1" s="1"/>
  <c r="G148" i="1" s="1"/>
  <c r="G149" i="1" s="1"/>
  <c r="G150" i="1" s="1"/>
  <c r="G151" i="1" s="1"/>
  <c r="G152" i="1" s="1"/>
  <c r="G153" i="1" s="1"/>
  <c r="E164" i="1"/>
  <c r="E198" i="1"/>
  <c r="E214" i="1"/>
  <c r="E56" i="1"/>
  <c r="E61" i="1"/>
  <c r="E66" i="1"/>
  <c r="E71" i="1"/>
  <c r="E76" i="1"/>
  <c r="E81" i="1"/>
  <c r="E86" i="1"/>
  <c r="E91" i="1"/>
  <c r="E96" i="1"/>
  <c r="E101" i="1"/>
  <c r="E106" i="1"/>
  <c r="E111" i="1"/>
  <c r="E116" i="1"/>
  <c r="E121" i="1"/>
  <c r="E126" i="1"/>
  <c r="E131" i="1"/>
  <c r="E136" i="1"/>
  <c r="E141" i="1"/>
  <c r="E146" i="1"/>
  <c r="E151" i="1"/>
  <c r="E156" i="1"/>
  <c r="E161" i="1"/>
  <c r="E166" i="1"/>
  <c r="E171" i="1"/>
  <c r="E176" i="1"/>
  <c r="E181" i="1"/>
  <c r="E186" i="1"/>
  <c r="E191" i="1"/>
  <c r="E196" i="1"/>
  <c r="E201" i="1"/>
  <c r="E206" i="1"/>
  <c r="E211" i="1"/>
  <c r="E216" i="1"/>
  <c r="E221" i="1"/>
  <c r="E226" i="1"/>
  <c r="E231" i="1"/>
  <c r="E45" i="1"/>
  <c r="E50" i="1"/>
  <c r="E55" i="1"/>
  <c r="E60" i="1"/>
  <c r="E65" i="1"/>
  <c r="E70" i="1"/>
  <c r="E75" i="1"/>
  <c r="E80" i="1"/>
  <c r="E85" i="1"/>
  <c r="E90" i="1"/>
  <c r="E95" i="1"/>
  <c r="E100" i="1"/>
  <c r="E105" i="1"/>
  <c r="E110" i="1"/>
  <c r="E115" i="1"/>
  <c r="E120" i="1"/>
  <c r="E125" i="1"/>
  <c r="E130" i="1"/>
  <c r="E135" i="1"/>
  <c r="E140" i="1"/>
  <c r="E145" i="1"/>
  <c r="E150" i="1"/>
  <c r="E155" i="1"/>
  <c r="E160" i="1"/>
  <c r="E165" i="1"/>
  <c r="E170" i="1"/>
  <c r="E175" i="1"/>
  <c r="E180" i="1"/>
  <c r="E185" i="1"/>
  <c r="E190" i="1"/>
  <c r="E195" i="1"/>
  <c r="E200" i="1"/>
  <c r="E205" i="1"/>
  <c r="E210" i="1"/>
  <c r="E215" i="1"/>
  <c r="E220" i="1"/>
  <c r="E225" i="1"/>
  <c r="E230" i="1"/>
  <c r="E235" i="1"/>
  <c r="H190" i="1" l="1"/>
  <c r="H201" i="1"/>
  <c r="H71" i="1"/>
  <c r="H212" i="1"/>
  <c r="H122" i="1"/>
  <c r="H207" i="1"/>
  <c r="H115" i="1"/>
  <c r="H221" i="1"/>
  <c r="H74" i="1"/>
  <c r="H174" i="1"/>
  <c r="H228" i="1"/>
  <c r="H91" i="1"/>
  <c r="H28" i="1"/>
  <c r="H39" i="1"/>
  <c r="H22" i="1"/>
  <c r="H96" i="1"/>
  <c r="H8" i="1"/>
  <c r="H77" i="1"/>
  <c r="H127" i="1"/>
  <c r="H18" i="1"/>
  <c r="H6" i="1"/>
  <c r="H70" i="1"/>
  <c r="H120" i="1"/>
  <c r="H161" i="1"/>
  <c r="H46" i="1"/>
  <c r="H79" i="1"/>
  <c r="H129" i="1"/>
  <c r="H179" i="1"/>
  <c r="H229" i="1"/>
  <c r="H83" i="1"/>
  <c r="H133" i="1"/>
  <c r="H183" i="1"/>
  <c r="H233" i="1"/>
  <c r="H200" i="1"/>
  <c r="H81" i="1"/>
  <c r="H17" i="1"/>
  <c r="H72" i="1"/>
  <c r="H13" i="1"/>
  <c r="H65" i="1"/>
  <c r="H32" i="1"/>
  <c r="H124" i="1"/>
  <c r="H224" i="1"/>
  <c r="H78" i="1"/>
  <c r="H128" i="1"/>
  <c r="H178" i="1"/>
  <c r="H195" i="1"/>
  <c r="H111" i="1"/>
  <c r="H37" i="1"/>
  <c r="H51" i="1"/>
  <c r="H26" i="1"/>
  <c r="H106" i="1"/>
  <c r="H41" i="1"/>
  <c r="H82" i="1"/>
  <c r="H132" i="1"/>
  <c r="H25" i="1"/>
  <c r="H11" i="1"/>
  <c r="H75" i="1"/>
  <c r="H125" i="1"/>
  <c r="H9" i="1"/>
  <c r="H156" i="1"/>
  <c r="H84" i="1"/>
  <c r="H134" i="1"/>
  <c r="H184" i="1"/>
  <c r="H234" i="1"/>
  <c r="H88" i="1"/>
  <c r="H138" i="1"/>
  <c r="H188" i="1"/>
  <c r="H155" i="1"/>
  <c r="H205" i="1"/>
  <c r="H20" i="1"/>
  <c r="H121" i="1"/>
  <c r="H44" i="1"/>
  <c r="H61" i="1"/>
  <c r="H35" i="1"/>
  <c r="H116" i="1"/>
  <c r="H231" i="1"/>
  <c r="H87" i="1"/>
  <c r="H137" i="1"/>
  <c r="H187" i="1"/>
  <c r="H16" i="1"/>
  <c r="H80" i="1"/>
  <c r="H130" i="1"/>
  <c r="H157" i="1"/>
  <c r="H182" i="1"/>
  <c r="H89" i="1"/>
  <c r="H139" i="1"/>
  <c r="H189" i="1"/>
  <c r="H43" i="1"/>
  <c r="H93" i="1"/>
  <c r="H143" i="1"/>
  <c r="H193" i="1"/>
  <c r="H160" i="1"/>
  <c r="H210" i="1"/>
  <c r="H227" i="1"/>
  <c r="H211" i="1"/>
  <c r="H135" i="1"/>
  <c r="H181" i="1"/>
  <c r="H206" i="1"/>
  <c r="H94" i="1"/>
  <c r="H144" i="1"/>
  <c r="H194" i="1"/>
  <c r="H48" i="1"/>
  <c r="H215" i="1"/>
  <c r="H136" i="1"/>
  <c r="H196" i="1"/>
  <c r="H86" i="1"/>
  <c r="H167" i="1"/>
  <c r="H24" i="1"/>
  <c r="H45" i="1"/>
  <c r="H97" i="1"/>
  <c r="H147" i="1"/>
  <c r="H14" i="1"/>
  <c r="H29" i="1"/>
  <c r="H90" i="1"/>
  <c r="H140" i="1"/>
  <c r="H27" i="1"/>
  <c r="H232" i="1"/>
  <c r="H99" i="1"/>
  <c r="H149" i="1"/>
  <c r="H199" i="1"/>
  <c r="H53" i="1"/>
  <c r="H103" i="1"/>
  <c r="H153" i="1"/>
  <c r="H203" i="1"/>
  <c r="H170" i="1"/>
  <c r="H220" i="1"/>
  <c r="H172" i="1"/>
  <c r="H38" i="1"/>
  <c r="H92" i="1"/>
  <c r="H85" i="1"/>
  <c r="H148" i="1"/>
  <c r="H141" i="1"/>
  <c r="H222" i="1"/>
  <c r="H101" i="1"/>
  <c r="H191" i="1"/>
  <c r="H33" i="1"/>
  <c r="H52" i="1"/>
  <c r="H102" i="1"/>
  <c r="H152" i="1"/>
  <c r="H19" i="1"/>
  <c r="H36" i="1"/>
  <c r="H95" i="1"/>
  <c r="H145" i="1"/>
  <c r="H166" i="1"/>
  <c r="H54" i="1"/>
  <c r="H104" i="1"/>
  <c r="H154" i="1"/>
  <c r="H204" i="1"/>
  <c r="H58" i="1"/>
  <c r="H108" i="1"/>
  <c r="H158" i="1"/>
  <c r="H208" i="1"/>
  <c r="H175" i="1"/>
  <c r="H225" i="1"/>
  <c r="H126" i="1"/>
  <c r="H98" i="1"/>
  <c r="H146" i="1"/>
  <c r="H23" i="1"/>
  <c r="H131" i="1"/>
  <c r="H217" i="1"/>
  <c r="H42" i="1"/>
  <c r="H57" i="1"/>
  <c r="H107" i="1"/>
  <c r="H176" i="1"/>
  <c r="H31" i="1"/>
  <c r="H50" i="1"/>
  <c r="H100" i="1"/>
  <c r="H150" i="1"/>
  <c r="H192" i="1"/>
  <c r="H59" i="1"/>
  <c r="H109" i="1"/>
  <c r="H159" i="1"/>
  <c r="H209" i="1"/>
  <c r="H63" i="1"/>
  <c r="H113" i="1"/>
  <c r="H163" i="1"/>
  <c r="H213" i="1"/>
  <c r="H180" i="1"/>
  <c r="H230" i="1"/>
  <c r="H49" i="1"/>
  <c r="H21" i="1"/>
  <c r="H165" i="1"/>
  <c r="H56" i="1"/>
  <c r="H151" i="1"/>
  <c r="H7" i="1"/>
  <c r="H15" i="1"/>
  <c r="H162" i="1"/>
  <c r="H62" i="1"/>
  <c r="H112" i="1"/>
  <c r="H202" i="1"/>
  <c r="H40" i="1"/>
  <c r="H55" i="1"/>
  <c r="H105" i="1"/>
  <c r="H171" i="1"/>
  <c r="H216" i="1"/>
  <c r="H64" i="1"/>
  <c r="H114" i="1"/>
  <c r="H164" i="1"/>
  <c r="H214" i="1"/>
  <c r="H68" i="1"/>
  <c r="H118" i="1"/>
  <c r="H168" i="1"/>
  <c r="H218" i="1"/>
  <c r="H185" i="1"/>
  <c r="H235" i="1"/>
  <c r="H76" i="1"/>
  <c r="H142" i="1"/>
  <c r="H198" i="1"/>
  <c r="H66" i="1"/>
  <c r="H177" i="1"/>
  <c r="H10" i="1"/>
  <c r="H12" i="1"/>
  <c r="H30" i="1"/>
  <c r="H186" i="1"/>
  <c r="H67" i="1"/>
  <c r="H117" i="1"/>
  <c r="H226" i="1"/>
  <c r="H47" i="1"/>
  <c r="H60" i="1"/>
  <c r="H110" i="1"/>
  <c r="H197" i="1"/>
  <c r="H34" i="1"/>
  <c r="H69" i="1"/>
  <c r="H119" i="1"/>
  <c r="H169" i="1"/>
  <c r="H219" i="1"/>
  <c r="H73" i="1"/>
  <c r="H123" i="1"/>
  <c r="H173" i="1"/>
  <c r="H223" i="1"/>
</calcChain>
</file>

<file path=xl/sharedStrings.xml><?xml version="1.0" encoding="utf-8"?>
<sst xmlns="http://schemas.openxmlformats.org/spreadsheetml/2006/main" count="1864" uniqueCount="915">
  <si>
    <t>nn</t>
  </si>
  <si>
    <t>Table Name</t>
  </si>
  <si>
    <t>Status</t>
  </si>
  <si>
    <t>Hierarchy</t>
  </si>
  <si>
    <t>LVL</t>
  </si>
  <si>
    <t>Parent Label</t>
  </si>
  <si>
    <t>IsLeaf</t>
  </si>
  <si>
    <t>Id</t>
  </si>
  <si>
    <t>Parent Id</t>
  </si>
  <si>
    <t>Code</t>
  </si>
  <si>
    <t>SAP BW Code</t>
  </si>
  <si>
    <t>Label</t>
  </si>
  <si>
    <t>Name</t>
  </si>
  <si>
    <t>Name Local</t>
  </si>
  <si>
    <t>Parent Name</t>
  </si>
  <si>
    <t>Type</t>
  </si>
  <si>
    <t>Converted</t>
  </si>
  <si>
    <t>Modifier</t>
  </si>
  <si>
    <t>RN Top Up</t>
  </si>
  <si>
    <t>Annualization Factor</t>
  </si>
  <si>
    <t>Month Number 1</t>
  </si>
  <si>
    <t>Part Of Core Value 1</t>
  </si>
  <si>
    <t>Month Number 2</t>
  </si>
  <si>
    <t>Part Of Core Value 2</t>
  </si>
  <si>
    <t>Account Code</t>
  </si>
  <si>
    <t>Account Name</t>
  </si>
  <si>
    <t>Account</t>
  </si>
  <si>
    <t>Account Flag</t>
  </si>
  <si>
    <t>SAP Account Code</t>
  </si>
  <si>
    <t>SAP Account Name</t>
  </si>
  <si>
    <t>Level Number</t>
  </si>
  <si>
    <t>ALL</t>
  </si>
  <si>
    <t>ALL_COMPONENTS</t>
  </si>
  <si>
    <t>All Components</t>
  </si>
  <si>
    <t>NULL</t>
  </si>
  <si>
    <t>Other</t>
  </si>
  <si>
    <t>Exclude Regional and Northern Top up</t>
  </si>
  <si>
    <t>PC-010</t>
  </si>
  <si>
    <t>TOTAL_PERSONNEL_COSTS</t>
  </si>
  <si>
    <t>Total Compensation</t>
  </si>
  <si>
    <t>Compensation</t>
  </si>
  <si>
    <t>TC-010</t>
  </si>
  <si>
    <t>TOTAL_COMPENSATION</t>
  </si>
  <si>
    <t>Total Personnel Costs</t>
  </si>
  <si>
    <t>TS-010_UP_T</t>
  </si>
  <si>
    <t>TOTAL_SALARY_UPLIFT</t>
  </si>
  <si>
    <t>Total Salary Uplift</t>
  </si>
  <si>
    <t>Total Salary</t>
  </si>
  <si>
    <t>4015100010</t>
  </si>
  <si>
    <t>Salaries</t>
  </si>
  <si>
    <t>4015100010~Salaries</t>
  </si>
  <si>
    <t>TS-025_UP</t>
  </si>
  <si>
    <t>SALARY_UPLIFT</t>
  </si>
  <si>
    <t>Salary Uplift</t>
  </si>
  <si>
    <t>TS-010_CAPEX</t>
  </si>
  <si>
    <t>TOTAL_SALARY_CAPEX</t>
  </si>
  <si>
    <t>Total Salary Capex</t>
  </si>
  <si>
    <t>52.01.03.10</t>
  </si>
  <si>
    <t>Фиксированная часть без отпуска</t>
  </si>
  <si>
    <t>TS-010</t>
  </si>
  <si>
    <t>TOTAL_SALARY</t>
  </si>
  <si>
    <t>01.01.01.01</t>
  </si>
  <si>
    <t>Постоянная часть заработной платы</t>
  </si>
  <si>
    <t>TS-025_T</t>
  </si>
  <si>
    <t>TOTAL_MONTHLY_CONTRACTUAL_SALARY</t>
  </si>
  <si>
    <t>Total Monthly Contractual Salary</t>
  </si>
  <si>
    <t>TS-025</t>
  </si>
  <si>
    <t>MONTHLY_CONTRACTUAL_SALARY</t>
  </si>
  <si>
    <t>Monthly Contractual Salary</t>
  </si>
  <si>
    <t>TS-090</t>
  </si>
  <si>
    <t>MONTHLY_NORTHERN_TOP_UP</t>
  </si>
  <si>
    <t>Monthly Northern Top Up</t>
  </si>
  <si>
    <t>Northern</t>
  </si>
  <si>
    <t>TS-100</t>
  </si>
  <si>
    <t>MONTHLY_REGIONAL_TOP_UP</t>
  </si>
  <si>
    <t>Monthly Regional Top Up</t>
  </si>
  <si>
    <t>Regional</t>
  </si>
  <si>
    <t>TS-040_T</t>
  </si>
  <si>
    <t>TOTAL_MONTHLY_SALARY_TOP_UP</t>
  </si>
  <si>
    <t>Total Monthly Salary Top Up</t>
  </si>
  <si>
    <t>TS-040</t>
  </si>
  <si>
    <t>MONTHLY_SALARY_TOP_UP</t>
  </si>
  <si>
    <t>Monthly Salary Top up</t>
  </si>
  <si>
    <t>TS-040_010</t>
  </si>
  <si>
    <t>MONTHLY_TOP_UP</t>
  </si>
  <si>
    <t>Monthly Top Up</t>
  </si>
  <si>
    <t xml:space="preserve">Надб.за ув.объема (руб.)_x000D_
</t>
  </si>
  <si>
    <t>Monthly Salary Top Up</t>
  </si>
  <si>
    <t>TS-040_020</t>
  </si>
  <si>
    <t>MONTHLY_TOP_UP_PERCENT</t>
  </si>
  <si>
    <t>Monthly Top Up (%)</t>
  </si>
  <si>
    <t xml:space="preserve">Надб.за ув.объема (%)_x000D_
</t>
  </si>
  <si>
    <t>TS-040_030</t>
  </si>
  <si>
    <t>MONTHLY_SURCHARGE</t>
  </si>
  <si>
    <t>Monthly Surcharge</t>
  </si>
  <si>
    <t xml:space="preserve">Ежемес.допл.увел.объема_x000D_
</t>
  </si>
  <si>
    <t>TS-040_031</t>
  </si>
  <si>
    <t>COMBINING_SURCHARGE</t>
  </si>
  <si>
    <t>Combining Surcharge</t>
  </si>
  <si>
    <t xml:space="preserve">Допл.за совмещ.(сумма)_x000D_
</t>
  </si>
  <si>
    <t>TS-040_032</t>
  </si>
  <si>
    <t>SURCHARGE_PERCENT</t>
  </si>
  <si>
    <t>Surcharge (%)</t>
  </si>
  <si>
    <t xml:space="preserve">Доплата к должн окладу %_x000D_
</t>
  </si>
  <si>
    <t>TS-040_033</t>
  </si>
  <si>
    <t>PERFORMANCE_SURCHARGE</t>
  </si>
  <si>
    <t>Performance Surcharge</t>
  </si>
  <si>
    <t xml:space="preserve">Допл.за исп.обяз.(сумма)_x000D_
</t>
  </si>
  <si>
    <t>TS-040_034</t>
  </si>
  <si>
    <t>PERFORMANCE_SURCHARGE_PERCENT</t>
  </si>
  <si>
    <t>Performance Surcharge (%)</t>
  </si>
  <si>
    <t xml:space="preserve">Доплата за исп.обяз. (%)_x000D_
</t>
  </si>
  <si>
    <t>TS-040_035</t>
  </si>
  <si>
    <t>ADMISSION_TO_STATE_SECRET_TOP_UP</t>
  </si>
  <si>
    <t>Admission to State secret Top Up</t>
  </si>
  <si>
    <t xml:space="preserve">Надбавка за допуск к ГТ_x000D_
</t>
  </si>
  <si>
    <t>TS-040_036</t>
  </si>
  <si>
    <t>EXPERIENCE_TOP_UP</t>
  </si>
  <si>
    <t>Experience Top Up</t>
  </si>
  <si>
    <t xml:space="preserve">Надб.за стаж раб.по ЗГТ_x000D_
</t>
  </si>
  <si>
    <t>TS-040_037</t>
  </si>
  <si>
    <t>ENCRYPTION_TOP_UP</t>
  </si>
  <si>
    <t>Encryption Top Up</t>
  </si>
  <si>
    <t xml:space="preserve">Надбавка за шифрование_x000D_
</t>
  </si>
  <si>
    <t>TS-040_038</t>
  </si>
  <si>
    <t>PERSONAL_TOP_UP</t>
  </si>
  <si>
    <t>Personal Top Up</t>
  </si>
  <si>
    <t xml:space="preserve">Персонал.надбавка (сумма)_x000D_
</t>
  </si>
  <si>
    <t>TS-040_039</t>
  </si>
  <si>
    <t>PERSONAL_TOP_UP_PERCENT</t>
  </si>
  <si>
    <t>Personal Top Up (%)</t>
  </si>
  <si>
    <t xml:space="preserve">Персонал.надбавка (%)_x000D_
</t>
  </si>
  <si>
    <t>TS-040_040</t>
  </si>
  <si>
    <t>BUSINESS_TRIP_TOP_UP</t>
  </si>
  <si>
    <t>Business Trip Top Up</t>
  </si>
  <si>
    <t xml:space="preserve">Надб.разъезд х-р труда(%)_x000D_
</t>
  </si>
  <si>
    <t>TS-040_041</t>
  </si>
  <si>
    <t>DANGEROUS_WORKING_CONDITIONS_TOP_UP</t>
  </si>
  <si>
    <t>Dangerous working conditions Top Up</t>
  </si>
  <si>
    <t xml:space="preserve">Надб.вред./опас.усл.тр._x000D_
</t>
  </si>
  <si>
    <t>TS-040_042</t>
  </si>
  <si>
    <t>COMBINING_SURCHARGE_PERCENT</t>
  </si>
  <si>
    <t>Combining Surcharge (%)</t>
  </si>
  <si>
    <t>Доплата за совмещение (%)</t>
  </si>
  <si>
    <t>TS-040_080</t>
  </si>
  <si>
    <t>MONTHLY_SALARY_TOP_UP_NORTHERN_TOP_UP</t>
  </si>
  <si>
    <t>Monthly Salary Top Up Northern Top Up</t>
  </si>
  <si>
    <t>TS-040_090</t>
  </si>
  <si>
    <t>MONTHLY_SALARY_TOP_UP_REGIONAL_TOP_UP</t>
  </si>
  <si>
    <t>Monthly Salary Top Up Regional Top Up</t>
  </si>
  <si>
    <t>TS-070</t>
  </si>
  <si>
    <t>13_5_SALARY</t>
  </si>
  <si>
    <t>13.5 Month Salary Payment</t>
  </si>
  <si>
    <t>TS-075</t>
  </si>
  <si>
    <t>13_SALARY</t>
  </si>
  <si>
    <t>13 Month Salary Payment</t>
  </si>
  <si>
    <t>TS-080</t>
  </si>
  <si>
    <t>14_SALARY</t>
  </si>
  <si>
    <t>14 Month Salary Payment</t>
  </si>
  <si>
    <t>TS-050_T</t>
  </si>
  <si>
    <t>TOTAL_OTHER_SALARY_TOP_UP</t>
  </si>
  <si>
    <t>Total Other Salary Top Up</t>
  </si>
  <si>
    <t>TS-050</t>
  </si>
  <si>
    <t>OTHER_SALARY_TOP_UP</t>
  </si>
  <si>
    <t>Other Salary Top Up</t>
  </si>
  <si>
    <t>TS-050_080</t>
  </si>
  <si>
    <t>OTHER_SALARY_TOP_UP_NORTHERN_TOP_UP</t>
  </si>
  <si>
    <t>Other Salary Top Up Northern Top Up</t>
  </si>
  <si>
    <t>TS-050_090</t>
  </si>
  <si>
    <t>OTHER_SALARY_TOP_UP_REGIONAL_TOP_UP</t>
  </si>
  <si>
    <t>Other Salary Top Up Regional Top Up</t>
  </si>
  <si>
    <t>TS-030_T</t>
  </si>
  <si>
    <t>TOTAL_QUARTERLY_BONUS_AS_PAT_OF_SALARY</t>
  </si>
  <si>
    <t>Total Quarterly Bonus As Part Of Salary</t>
  </si>
  <si>
    <t>TS-030</t>
  </si>
  <si>
    <t>QUARTERLY_BONUS_AS_PAT_OF_SALARY</t>
  </si>
  <si>
    <t>Quarterly Bonus As Part Of Salary</t>
  </si>
  <si>
    <t>TS-030_080</t>
  </si>
  <si>
    <t>QUARTERLY_BONUS_AS_PAT_OF_SALARY_NORTHERN_TOP_UP</t>
  </si>
  <si>
    <t>Quarterly Bonus As Part Of Salary Northern Top Up</t>
  </si>
  <si>
    <t>TS-030_090</t>
  </si>
  <si>
    <t>QUARTERLY_BONUS_AS_PAT_OF_SALARY_REGIONAL_TOP_UP</t>
  </si>
  <si>
    <t>Quarterly Bonus As Part Of Salary Regional Top Up</t>
  </si>
  <si>
    <t>TS-060_T</t>
  </si>
  <si>
    <t>TOTAL_MONTHLY_LIVING_ALLOWANCE_AS_PART_OF_SALARY</t>
  </si>
  <si>
    <t>Total Monthly Living Allowance As Part Of Salary</t>
  </si>
  <si>
    <t>TS-060</t>
  </si>
  <si>
    <t>MONTHLY_LIVING_ALLOWANCE_AS_PART_OF_SALARY</t>
  </si>
  <si>
    <t>Monthly Living Allowance As Part Of Salary</t>
  </si>
  <si>
    <t>TS-060_080</t>
  </si>
  <si>
    <t>MONTHLY_LIVING_ALLOWANCE_AS_PART_OF_SALARY_NORTHERN_TOP_UP</t>
  </si>
  <si>
    <t>Monthly Living Allowance As Part Of Salary Northern Top Up</t>
  </si>
  <si>
    <t>TS-060_090</t>
  </si>
  <si>
    <t>MONTHLY_LIVING_ALLOWANCE_AS_PART_OF_SALARY_REGIONAL_TOP_UP</t>
  </si>
  <si>
    <t>Monthly Living Allowance As Part Of Salary Regional Top Up</t>
  </si>
  <si>
    <t>TS-120</t>
  </si>
  <si>
    <t>SICK_LEAVE_COMPENSATION</t>
  </si>
  <si>
    <t xml:space="preserve">Sick leave compensation </t>
  </si>
  <si>
    <t>4015700025</t>
  </si>
  <si>
    <t>Sick leave compensation</t>
  </si>
  <si>
    <t>4015700025~Sick leave compensation</t>
  </si>
  <si>
    <t>TS-125</t>
  </si>
  <si>
    <t>SICK_LEAVE_COMPENSATION_MORE_3_DAYS</t>
  </si>
  <si>
    <t>Sick leave compensation (more then 3 days)</t>
  </si>
  <si>
    <t>TS-130</t>
  </si>
  <si>
    <t>DAY_OFF_COMPENSATION</t>
  </si>
  <si>
    <t>Day Off Compensation</t>
  </si>
  <si>
    <t>01.01.02.02</t>
  </si>
  <si>
    <t>Компенсационные выплаты за работу в выходные</t>
  </si>
  <si>
    <t>TS-140</t>
  </si>
  <si>
    <t>BT_COMPENSATION</t>
  </si>
  <si>
    <t>Business Trip Compensation</t>
  </si>
  <si>
    <t>TS-150</t>
  </si>
  <si>
    <t>WEEKEND_WORK</t>
  </si>
  <si>
    <t>Weekend work</t>
  </si>
  <si>
    <t>TS-170</t>
  </si>
  <si>
    <t>MATERNITY_LEAVE</t>
  </si>
  <si>
    <t>Maternity leave</t>
  </si>
  <si>
    <t>4015700010</t>
  </si>
  <si>
    <t>4015700010~Maternity leave</t>
  </si>
  <si>
    <t>TS-160</t>
  </si>
  <si>
    <t>OTHER_PAYMENTS</t>
  </si>
  <si>
    <t>Other payments</t>
  </si>
  <si>
    <t>4015700050</t>
  </si>
  <si>
    <t>Remaining Other Compensation</t>
  </si>
  <si>
    <t>4015700050~Remaining Other Compensation</t>
  </si>
  <si>
    <t>01.01.02.07</t>
  </si>
  <si>
    <t>Прочие компенсационные выплаты</t>
  </si>
  <si>
    <t>TB-010</t>
  </si>
  <si>
    <t>TOTAL_BONUS</t>
  </si>
  <si>
    <t>Total Bonus</t>
  </si>
  <si>
    <t>TB-015</t>
  </si>
  <si>
    <t>TOTAL_DISCRETIONARY_BONUS</t>
  </si>
  <si>
    <t>Total Discretionary Bonus</t>
  </si>
  <si>
    <t>BT-010</t>
  </si>
  <si>
    <t>BUSINESS_TRIP_DEDUCTION</t>
  </si>
  <si>
    <t>Business Trip Deduction</t>
  </si>
  <si>
    <t>TB-015_010</t>
  </si>
  <si>
    <t>TOTAL_DISCRETIONARY_BONUS_BT</t>
  </si>
  <si>
    <t>Total Discretionary Bonus excl. Business Trip</t>
  </si>
  <si>
    <t>TB-016</t>
  </si>
  <si>
    <t>TOTAL_BONUS_CASH</t>
  </si>
  <si>
    <t>Total Bonus Cash</t>
  </si>
  <si>
    <t>4015510010</t>
  </si>
  <si>
    <t>Bonus - cash awards (discretionary)</t>
  </si>
  <si>
    <t>4015510010~Bonus - cash awards (discretionary)</t>
  </si>
  <si>
    <t>01.01.03.03</t>
  </si>
  <si>
    <t>Годовое премирование</t>
  </si>
  <si>
    <t>TB-016_CAPEX</t>
  </si>
  <si>
    <t>TOTAL_BONUS_CASH_CAPEX</t>
  </si>
  <si>
    <t>Total Bonus Cash Capex</t>
  </si>
  <si>
    <t>52.01.03.11</t>
  </si>
  <si>
    <t>TB-020</t>
  </si>
  <si>
    <t>ANNUAL_CASH_BONUS</t>
  </si>
  <si>
    <t>Annual Cash Bonus</t>
  </si>
  <si>
    <t>TB-820</t>
  </si>
  <si>
    <t>ANNUAL_CASH_BONUS_NORTHERN_TOP_UP</t>
  </si>
  <si>
    <t>Annual Bonus Cash Northern Top Up</t>
  </si>
  <si>
    <t>TB-920</t>
  </si>
  <si>
    <t>ANNUAL_CASH_BONUS_REGIONAL_TOP_UP</t>
  </si>
  <si>
    <t>Annual Bonus Cash Regional Top Up</t>
  </si>
  <si>
    <t>TB-080</t>
  </si>
  <si>
    <t>BONUS_NORTHERN_TOP_UP</t>
  </si>
  <si>
    <t>Bonus Northern Top Up</t>
  </si>
  <si>
    <t>TB-090</t>
  </si>
  <si>
    <t>BONUS_REGIONAL_TOP_UP</t>
  </si>
  <si>
    <t>Bonus Regional Top Up</t>
  </si>
  <si>
    <t>FP-010</t>
  </si>
  <si>
    <t>TOTAL_DEFERRAL</t>
  </si>
  <si>
    <t>Total Deferral</t>
  </si>
  <si>
    <t>4015530025</t>
  </si>
  <si>
    <t>Discretionary Incentive plan</t>
  </si>
  <si>
    <t>4015530025~Discretionary Incentive plan</t>
  </si>
  <si>
    <t>01.01.03.07</t>
  </si>
  <si>
    <t>Отложенная часть годовой премии</t>
  </si>
  <si>
    <t>FP-020</t>
  </si>
  <si>
    <t>DEFERRED_CASH_BONUS</t>
  </si>
  <si>
    <t>Deferred Cash Bonus</t>
  </si>
  <si>
    <t>FP-030</t>
  </si>
  <si>
    <t>DEFERRED_SHARES_BONUS</t>
  </si>
  <si>
    <t>Deferred Shares Bonus</t>
  </si>
  <si>
    <t>FP-040</t>
  </si>
  <si>
    <t>DEFERRED_LONG_TERM_INSENTIVE</t>
  </si>
  <si>
    <t>Deferred Long Term Insentive</t>
  </si>
  <si>
    <t>FP-050</t>
  </si>
  <si>
    <t>OTHER_DEFERRED_PAYMENTS</t>
  </si>
  <si>
    <t>Other Deferred Payments</t>
  </si>
  <si>
    <t>FP-060</t>
  </si>
  <si>
    <t>DEFERRED_ELECTED_SHARES</t>
  </si>
  <si>
    <t>Deferred Elected Shares</t>
  </si>
  <si>
    <t>TPB</t>
  </si>
  <si>
    <t>PERPETUAL_BOND</t>
  </si>
  <si>
    <t>Perpetual Bond</t>
  </si>
  <si>
    <t>TB-025</t>
  </si>
  <si>
    <t>TOTAL_GUARANTEED_BONUS</t>
  </si>
  <si>
    <t>Total Guaranteed Bonus</t>
  </si>
  <si>
    <t>TB-030_T</t>
  </si>
  <si>
    <t>TOTAL_GUARANTEED_ANNUAL_CASH_BONUS</t>
  </si>
  <si>
    <t>Total Guaranteed Annual Cash Bonus</t>
  </si>
  <si>
    <t>TB-030</t>
  </si>
  <si>
    <t>GUARANTEED_ANNUAL_CASH_BONUS</t>
  </si>
  <si>
    <t>Guaranteed Annual Cash Bonus</t>
  </si>
  <si>
    <t>TB-830</t>
  </si>
  <si>
    <t>GUARANTEED_ANNUAL_CASH_BONUS_NORTHERN_TOP_UP</t>
  </si>
  <si>
    <t>Guaranteed Annual Cash Bonus Northern Top Up</t>
  </si>
  <si>
    <t>TB-930</t>
  </si>
  <si>
    <t>GUARANTEED_ANNUAL_CASH_BONUS_REGIONAL_TOP_UP</t>
  </si>
  <si>
    <t>Guaranteed Annual Cash Bonus Regional Top Up</t>
  </si>
  <si>
    <t>FP-015</t>
  </si>
  <si>
    <t>TOTAL_GUARANTEED_DEFERRAL</t>
  </si>
  <si>
    <t>Total Guaranteed Deferral</t>
  </si>
  <si>
    <t>FP-025</t>
  </si>
  <si>
    <t>GUARANTEED_DEFERRED_CASH_BONUS</t>
  </si>
  <si>
    <t>Guaranteed Deferred Cash Bonus</t>
  </si>
  <si>
    <t>FP-035</t>
  </si>
  <si>
    <t>GUARANTEED_DEFERRED_SHARES_BONUS</t>
  </si>
  <si>
    <t>Guaranteed Deferred Shares Bonus</t>
  </si>
  <si>
    <t>TB-035</t>
  </si>
  <si>
    <t>TOTAL_CONDITIONAL_BONUS</t>
  </si>
  <si>
    <t>Total Conditional Bonus</t>
  </si>
  <si>
    <t>TB-040_T</t>
  </si>
  <si>
    <t>TOTAL_CONDITIONAL_ANNUAL_CASH_BONUS</t>
  </si>
  <si>
    <t>Total Conditional Annual Cash Bonus</t>
  </si>
  <si>
    <t>TB-040</t>
  </si>
  <si>
    <t>CONDITIONAL_ANNUAL_CASH_BONUS</t>
  </si>
  <si>
    <t>Conditional Annual Cash Bonus</t>
  </si>
  <si>
    <t>TB-840</t>
  </si>
  <si>
    <t>CONDITIONAL_ANNUAL_CASH_BONUS_NORTHENRN_TOP_UP</t>
  </si>
  <si>
    <t>Conditional Annual Cash Bonus Northern Top Up</t>
  </si>
  <si>
    <t>TB-940</t>
  </si>
  <si>
    <t>CONDITIONAL_ANNUAL_CASH_BONUS_REGIONAL_TOP_UP</t>
  </si>
  <si>
    <t>Conditional Annual Cash Bonus Regional Top Up</t>
  </si>
  <si>
    <t>TB-110</t>
  </si>
  <si>
    <t>TOTAL_RETENTION_BONUS</t>
  </si>
  <si>
    <t>Total Retention Bonus</t>
  </si>
  <si>
    <t>TB-120</t>
  </si>
  <si>
    <t>RETENTION_ANNUAL_CASH_BONUS</t>
  </si>
  <si>
    <t>Retention Annual Cash Bonus</t>
  </si>
  <si>
    <t>FP-110</t>
  </si>
  <si>
    <t>TOTAL_RETENTION_DEFERRAL</t>
  </si>
  <si>
    <t>Total Retention Deferral</t>
  </si>
  <si>
    <t>FP-120</t>
  </si>
  <si>
    <t>RETENTION_DEFERRED_CASH_BONUS</t>
  </si>
  <si>
    <t>Retention Deferred  Cash Bonus</t>
  </si>
  <si>
    <t>TB-045</t>
  </si>
  <si>
    <t>TOTAL_OTHER_BONUSES</t>
  </si>
  <si>
    <t>Total Other Bonuses</t>
  </si>
  <si>
    <t>TB-055</t>
  </si>
  <si>
    <t>TOTAL_QUARTERLY_BONUS</t>
  </si>
  <si>
    <t>Total Quarterly Bonus</t>
  </si>
  <si>
    <t>4015690010</t>
  </si>
  <si>
    <t>Quarterly bonus</t>
  </si>
  <si>
    <t>4015690010~Quarterly bonus</t>
  </si>
  <si>
    <t>01.01.03.04</t>
  </si>
  <si>
    <t>Квартальное премирование</t>
  </si>
  <si>
    <t>TB-050</t>
  </si>
  <si>
    <t>QUARTERLY_BONUS</t>
  </si>
  <si>
    <t>Quarterly Bonus</t>
  </si>
  <si>
    <t>TB-050_UP</t>
  </si>
  <si>
    <t>QUARTERLY_BONUS_UPLIFT</t>
  </si>
  <si>
    <t>Quarterly Bonus Uplift</t>
  </si>
  <si>
    <t>TB-050_0</t>
  </si>
  <si>
    <t>QUARTERLY_BONUS_SUB_CORRECTION</t>
  </si>
  <si>
    <t>Quarterly Bonus - Sub Correction</t>
  </si>
  <si>
    <t>TB-050_080</t>
  </si>
  <si>
    <t>QUARTERLY_BONUS_NORTHERN_TOP_UP</t>
  </si>
  <si>
    <t>Quarterly Bonus Northern Top Up</t>
  </si>
  <si>
    <t>TB-050_090</t>
  </si>
  <si>
    <t>QUARTERLY_BONUS_REGIONAL_TOP_UP</t>
  </si>
  <si>
    <t>Quarterly Bonus Regional Top Up</t>
  </si>
  <si>
    <t>TB-050_FP</t>
  </si>
  <si>
    <t>DEFERRED_QUARTERLY_BONUS</t>
  </si>
  <si>
    <t>Deferred Quarterly Bonus</t>
  </si>
  <si>
    <t>TB-065</t>
  </si>
  <si>
    <t>TOTAL_MONTHLY_BONUS</t>
  </si>
  <si>
    <t>Total Monthly Bonus</t>
  </si>
  <si>
    <t>4015680010</t>
  </si>
  <si>
    <t>Monthly bonus</t>
  </si>
  <si>
    <t>4015680010~Monthly bonus</t>
  </si>
  <si>
    <t>01.01.03.02</t>
  </si>
  <si>
    <t>Ежемесячное премирование</t>
  </si>
  <si>
    <t>TB-060</t>
  </si>
  <si>
    <t>MONTHLY_BONUS</t>
  </si>
  <si>
    <t>Monthly Bonus</t>
  </si>
  <si>
    <t>TB-060_0</t>
  </si>
  <si>
    <t>MONTHLY_BONUS_SUB_CORRECTION</t>
  </si>
  <si>
    <t>Monthly Bonus - Sub Correction</t>
  </si>
  <si>
    <t>TB-060_080</t>
  </si>
  <si>
    <t>MONTHLY_BONUS_NORTHERN_TOP_UP</t>
  </si>
  <si>
    <t>Monthly Bonus Northern Top Up</t>
  </si>
  <si>
    <t>TB-060_090</t>
  </si>
  <si>
    <t>MONTHLY_BONUS_REGIONAL_TOP_UP</t>
  </si>
  <si>
    <t>Monthly Bonus Regional Top Up</t>
  </si>
  <si>
    <t>TB-075</t>
  </si>
  <si>
    <t>TOTAL_OTHER_BONUS</t>
  </si>
  <si>
    <t>Total Other Bonus</t>
  </si>
  <si>
    <t>01.01.03.01</t>
  </si>
  <si>
    <t>Единовременное премирование</t>
  </si>
  <si>
    <t>TB-070</t>
  </si>
  <si>
    <t>OTHER_BONUS_NOT_REGULAR</t>
  </si>
  <si>
    <t>Other Bonus (not regular)</t>
  </si>
  <si>
    <t>TB-070_028</t>
  </si>
  <si>
    <t>REFERRAL_BONUS</t>
  </si>
  <si>
    <t>Referral Bonus</t>
  </si>
  <si>
    <t>Реферральная программа</t>
  </si>
  <si>
    <t>01.01.02.08</t>
  </si>
  <si>
    <t>Реферальные программы</t>
  </si>
  <si>
    <t>TB-070_0</t>
  </si>
  <si>
    <t>OTHER_BONUS_SUB_CORRECTION</t>
  </si>
  <si>
    <t>Other Bonus - Sub Correction</t>
  </si>
  <si>
    <t>TB-070_080</t>
  </si>
  <si>
    <t>OTHER_BONUS_NORTHERN_TOP_UP</t>
  </si>
  <si>
    <t>Other Bonus Northern Top Up</t>
  </si>
  <si>
    <t>TB-070_201</t>
  </si>
  <si>
    <t>OTHER_BONUS_PATENTS</t>
  </si>
  <si>
    <t>Other Bonus IT Patents</t>
  </si>
  <si>
    <t>Выплаты вознаграждений за патенты ИТ</t>
  </si>
  <si>
    <t>01.01.03.09</t>
  </si>
  <si>
    <t>TB-070_090</t>
  </si>
  <si>
    <t>OTHER_BONUS_REGIONAL_TOP_UP</t>
  </si>
  <si>
    <t>Other Bonus Regional Top Up</t>
  </si>
  <si>
    <t>TB-070_202</t>
  </si>
  <si>
    <t>OTHER_BONUS_IT_PRODUCTS</t>
  </si>
  <si>
    <t>Other Bonus IT Products</t>
  </si>
  <si>
    <t>Выплаты вознаграждений за служебные произведения ИТ</t>
  </si>
  <si>
    <t>01.01.03.08</t>
  </si>
  <si>
    <t>TB-100_T</t>
  </si>
  <si>
    <t>TOTAL_CROSS_SALE_BONUS</t>
  </si>
  <si>
    <t>Total Cross Sale Bonus</t>
  </si>
  <si>
    <t>Кросс-продажи</t>
  </si>
  <si>
    <t>01.01.03.06</t>
  </si>
  <si>
    <t>Премирование за кросс-продажи</t>
  </si>
  <si>
    <t>TB-100</t>
  </si>
  <si>
    <t>CROSS_SALE_BONUS</t>
  </si>
  <si>
    <t>Cross Sale Bonus</t>
  </si>
  <si>
    <t>TB-100_080</t>
  </si>
  <si>
    <t>CROSS_SALE_BONUS_NORTHERN_TOP_UP</t>
  </si>
  <si>
    <t>Cross Sale Bonus Northern Top Up</t>
  </si>
  <si>
    <t>TB-100_090</t>
  </si>
  <si>
    <t>CROSS_SALE_BONUS_REGIONAL_TOP_UP</t>
  </si>
  <si>
    <t>Cross Sale Bonus Regional Top Up</t>
  </si>
  <si>
    <t>ST-010</t>
  </si>
  <si>
    <t>TOTAL_SOCIAL_TAX</t>
  </si>
  <si>
    <t>Total Social Tax</t>
  </si>
  <si>
    <t>ST-020</t>
  </si>
  <si>
    <t>SOCIAL_TAX</t>
  </si>
  <si>
    <t>Social Tax</t>
  </si>
  <si>
    <t>ST-020_TS-025_UP</t>
  </si>
  <si>
    <t>SOCIAL_TAX_SALARY_UPLIFT</t>
  </si>
  <si>
    <t>Social Tax (Salary Uplift)</t>
  </si>
  <si>
    <t>4015100020</t>
  </si>
  <si>
    <t>Social securities on salaries</t>
  </si>
  <si>
    <t>4015100020~Social securities on salaries</t>
  </si>
  <si>
    <t>ST-020_TS-010</t>
  </si>
  <si>
    <t>SOCIAL_TAX_TOTAL_SALARY</t>
  </si>
  <si>
    <t>Social Tax (Total Salary)</t>
  </si>
  <si>
    <t>01.01.05.01</t>
  </si>
  <si>
    <t>Страховые взносы на ФОТ (Зарплата)</t>
  </si>
  <si>
    <t>ST-020_TS-010_CAPEX</t>
  </si>
  <si>
    <t>SOCIAL_TAX_TOTAL_SALARY_CAPEX</t>
  </si>
  <si>
    <t>Social Tax (Total Salary CAPEX)</t>
  </si>
  <si>
    <t>52.01.03.13_ЗП</t>
  </si>
  <si>
    <t>ST-020_TS-025</t>
  </si>
  <si>
    <t>SOCIAL_TAX_MONTHLY_SALARY</t>
  </si>
  <si>
    <t>Social Tax (Monthly Salary)</t>
  </si>
  <si>
    <t>ST-020_TS-040</t>
  </si>
  <si>
    <t>SOCIAL_TAX_MONTHLY_SALARY_TOP_UP</t>
  </si>
  <si>
    <t>Social Tax (Monthly Salary Top Up)</t>
  </si>
  <si>
    <t>ST-020_TS-050</t>
  </si>
  <si>
    <t>SOCIAL_TAX_OTHER_SALARY_TOP_UP</t>
  </si>
  <si>
    <t>Social Tax (Other Salary Top Up)</t>
  </si>
  <si>
    <t>ST-020_TS-030</t>
  </si>
  <si>
    <t>SOCIAL_TAX_QUARTERLY_BONUS_AS_PAT_OF_SALARY</t>
  </si>
  <si>
    <t>Social Tax (Quarterly Bonus As Part Of Salary)</t>
  </si>
  <si>
    <t>ST-020_TS-060</t>
  </si>
  <si>
    <t>SOCIAL_TAX_MONTHLY_LIVING_ALLOWANCE_AS_PART_OF_SALARY</t>
  </si>
  <si>
    <t>Social Tax (Monthly Living Allowance As Part Of Salary)</t>
  </si>
  <si>
    <t>ST-020_TS-020</t>
  </si>
  <si>
    <t>SOCIAL_TAX_ANNUAL_SALARY</t>
  </si>
  <si>
    <t>Social Tax (Annual Salary)</t>
  </si>
  <si>
    <t>ST-020_TS-120</t>
  </si>
  <si>
    <t>SOCIAL_TAX_SICK_LEAVE_COMPENSATION</t>
  </si>
  <si>
    <t>Social Tax (Sick leave compensation)</t>
  </si>
  <si>
    <t>4015700026</t>
  </si>
  <si>
    <t>Social Security on Sick leave compensation</t>
  </si>
  <si>
    <t>4015700026~Social Security on Sick leave compensation</t>
  </si>
  <si>
    <t>ST-020_TS-125</t>
  </si>
  <si>
    <t>SOCIAL_TAX_SICK_LEAVE_COMPENSATION_MORE_3_DAYS</t>
  </si>
  <si>
    <t>Social Tax (Sick leave compensation (more then 3 days))</t>
  </si>
  <si>
    <t>ST-020_TS-130</t>
  </si>
  <si>
    <t>SOCIAL_TAX_DAY_OFF_COMPENSATION</t>
  </si>
  <si>
    <t>Social Tax (Day Off Compensation)</t>
  </si>
  <si>
    <t>ST-020_TS-140</t>
  </si>
  <si>
    <t>SOCIAL_TAX_BT_COMPENSATION</t>
  </si>
  <si>
    <t>Social Tax (Business Trip Compensation)</t>
  </si>
  <si>
    <t>ST-020_TS-160</t>
  </si>
  <si>
    <t>SOCIAL_TAX_OTHER_PAYMENTS</t>
  </si>
  <si>
    <t>Social Tax (Other payments)</t>
  </si>
  <si>
    <t>4015700060</t>
  </si>
  <si>
    <t>Social Security on Remaining Other Compensation</t>
  </si>
  <si>
    <t>4015700060~Social Security on Remaining Other Compensation</t>
  </si>
  <si>
    <t>HR.TRF.01.01.05.01_(01.01.02.07)</t>
  </si>
  <si>
    <t>Налог прочие выплаты</t>
  </si>
  <si>
    <t>ST-020_TO-070</t>
  </si>
  <si>
    <t>SOCIAL_TAX_MATERIAL_AID</t>
  </si>
  <si>
    <t>Social Tax (Material Aid)</t>
  </si>
  <si>
    <t>ST-020_TB-070_202</t>
  </si>
  <si>
    <t>SOCIAL_TAX_OTHER_BONUS_IT_PRODUCTS</t>
  </si>
  <si>
    <t>Social Tax (Other Bonus IT Products)</t>
  </si>
  <si>
    <t>ST-020_TB-070</t>
  </si>
  <si>
    <t>SOCIAL_TAX_OTHER_BONUS_NOT_REGULAR</t>
  </si>
  <si>
    <t>Social Tax (Other Bonus (not regular))</t>
  </si>
  <si>
    <t>ST-020_TS-150</t>
  </si>
  <si>
    <t>SOCIAL_TAX_WEEKEND_WORK</t>
  </si>
  <si>
    <t>Social Tax (Weekend work)</t>
  </si>
  <si>
    <t>HR.TRF.01.01.05.01_(01.01.02.02)</t>
  </si>
  <si>
    <t>Налог работа в выходные</t>
  </si>
  <si>
    <t>ST-020_TS-110</t>
  </si>
  <si>
    <t>SOCIAL_TAX_ACCRUALS_FOR_UNUSED_VACATIONS</t>
  </si>
  <si>
    <t>Social Tax (Accruals for unused vacations)</t>
  </si>
  <si>
    <t>01.01.05.03</t>
  </si>
  <si>
    <t>Страховые взносы на отпускной резерв</t>
  </si>
  <si>
    <t>ST-020_TO-090</t>
  </si>
  <si>
    <t>SOCIAL_TAX_SIGN_ONS</t>
  </si>
  <si>
    <t>Social Tax (Sign ons)</t>
  </si>
  <si>
    <t>4015300030</t>
  </si>
  <si>
    <t>Social Security on Sign-ons - cash</t>
  </si>
  <si>
    <t>4015300030~Social Security on Sign-ons - cash</t>
  </si>
  <si>
    <t>ST-020_TO-050</t>
  </si>
  <si>
    <t>SOCIAL_TAX_SEVERANCE</t>
  </si>
  <si>
    <t>Social Tax (Severance)</t>
  </si>
  <si>
    <t>4015400050</t>
  </si>
  <si>
    <t>Social Security on Severance</t>
  </si>
  <si>
    <t>4015400050~Social Security on Severance</t>
  </si>
  <si>
    <t>ST-020_TS-170</t>
  </si>
  <si>
    <t>SOCIAL_TAX_MATERNITY_LEAVE</t>
  </si>
  <si>
    <t>Social Tax (Maternity leave)</t>
  </si>
  <si>
    <t>4015700020</t>
  </si>
  <si>
    <t>Social Security on Maternity leave</t>
  </si>
  <si>
    <t>4015700020~Social Security on Maternity leave</t>
  </si>
  <si>
    <t>ST-020_TB-015</t>
  </si>
  <si>
    <t>SOCIAL_TAX_TOTAL_DISCRETIONARY_BONUS</t>
  </si>
  <si>
    <t>Social Tax (Total Discretionary Bonus)</t>
  </si>
  <si>
    <t>ST-020_TB-020_CAPEX</t>
  </si>
  <si>
    <t>SOCIAL_TAX_ANNUAL_CASH_BONUS_CAPEX</t>
  </si>
  <si>
    <t>Social Tax (Annual Cash Bonus CAPEX)</t>
  </si>
  <si>
    <t>4015510050</t>
  </si>
  <si>
    <t>Social Security on discretionary Bonus</t>
  </si>
  <si>
    <t>4015510050~Social Security on discretionary Bonus</t>
  </si>
  <si>
    <t>52.01.03.13_ГП</t>
  </si>
  <si>
    <t>Страховые взносы на ФОТ (Годовая премия)</t>
  </si>
  <si>
    <t>ST-020_TB-020</t>
  </si>
  <si>
    <t>SOCIAL_TAX_ANNUAL_CASH_BONUS</t>
  </si>
  <si>
    <t>Social Tax (Annual Cash Bonus)</t>
  </si>
  <si>
    <t>01.01.05.01_ГП</t>
  </si>
  <si>
    <t>ST-020_FP_010</t>
  </si>
  <si>
    <t>SOCIAL_TAX_TOTAL_DEFERRAL</t>
  </si>
  <si>
    <t>Social Tax (Total Deferral)</t>
  </si>
  <si>
    <t>4015530035</t>
  </si>
  <si>
    <t>Social Security on Discretionary incentive plan</t>
  </si>
  <si>
    <t>4015530035~Social Security on Discretionary incentive plan</t>
  </si>
  <si>
    <t>01.01.05.04</t>
  </si>
  <si>
    <t>Страховые взносы на отложенную часть годовой премии</t>
  </si>
  <si>
    <t>ST-020_TB-030</t>
  </si>
  <si>
    <t>SOCIAL_TAX_GUARANTEED_ANNUAL_CASH_BONUS</t>
  </si>
  <si>
    <t>Social Tax (Guaranteed Annual Cash Bonus)</t>
  </si>
  <si>
    <t>ST-020_TB-040</t>
  </si>
  <si>
    <t>SOCIAL_TAX_CONDITIONAL_ANNUAL_CASH_BONUS</t>
  </si>
  <si>
    <t>Social Tax (Conditional Annual Cash Bonus)</t>
  </si>
  <si>
    <t>ST-020_TB-050</t>
  </si>
  <si>
    <t>SOCIAL_TAX_QUARTERLY_BONUS</t>
  </si>
  <si>
    <t>Social Tax (Quarterly Bonus)</t>
  </si>
  <si>
    <t>4015690020</t>
  </si>
  <si>
    <t>Social Security on quarterly bonus</t>
  </si>
  <si>
    <t>4015690020~Social Security on quarterly bonus</t>
  </si>
  <si>
    <t>01.01.05.01_КВ</t>
  </si>
  <si>
    <t>Страховые взносы на ФОТ (Квартальная премия)</t>
  </si>
  <si>
    <t>ST-020_TB-050_UP</t>
  </si>
  <si>
    <t>SOCIAL_TAX_QUARTERLY_BONUS_UPLIFT</t>
  </si>
  <si>
    <t>Social Tax (Quarterly Bonus Uplift)</t>
  </si>
  <si>
    <t>ST-020_TB-060</t>
  </si>
  <si>
    <t>SOCIAL_TAX_MONTHLY_BONUS</t>
  </si>
  <si>
    <t>Social Tax (Monthly Bonus)</t>
  </si>
  <si>
    <t>4015680020</t>
  </si>
  <si>
    <t>Social Security on monthly bonus</t>
  </si>
  <si>
    <t>4015680020~Social Security on monthly bonus</t>
  </si>
  <si>
    <t>SOCIAL_TAX_OTHER_BONUS</t>
  </si>
  <si>
    <t>Social Tax (Other Bonus)</t>
  </si>
  <si>
    <t>01.01.05.01_Реф</t>
  </si>
  <si>
    <t>Страховые взносы на ФОТ (Реферральная программа)</t>
  </si>
  <si>
    <t>ST-020_TB-070_028</t>
  </si>
  <si>
    <t>SOCIAL_TAX_REFERRAL_BONUS</t>
  </si>
  <si>
    <t>Social Tax (Referral Bonus)</t>
  </si>
  <si>
    <t>HR.TRF.01.01.05.01_(01.01.02.08)</t>
  </si>
  <si>
    <t>Налог на реферальную программу</t>
  </si>
  <si>
    <t>ST-020_TB-070_201</t>
  </si>
  <si>
    <t>SOCIAL_TAX_OTHER_BONUS_PATENTS</t>
  </si>
  <si>
    <t>Social Tax (Other Bonus Patents)</t>
  </si>
  <si>
    <t>ST-020_TB-100</t>
  </si>
  <si>
    <t>SOCIAL_TAX_CROSS_SALE_BONUS</t>
  </si>
  <si>
    <t>Social Tax (Cross Sale Bonus)</t>
  </si>
  <si>
    <t>01.01.05.01_Крос</t>
  </si>
  <si>
    <t>Страховые взносы на ФОТ (Кросс-продажи)</t>
  </si>
  <si>
    <t>ST-025</t>
  </si>
  <si>
    <t>SOCIAL_TAX_VACATION_PAY</t>
  </si>
  <si>
    <t>Social Tax Vacation Pay</t>
  </si>
  <si>
    <t>4015100060</t>
  </si>
  <si>
    <t>Social Security on accruals for unused vacations</t>
  </si>
  <si>
    <t>4015100060~Social Security on accruals for unused vacations</t>
  </si>
  <si>
    <t>ST-030</t>
  </si>
  <si>
    <t>SOCIAL_TAX_VACATION_PAY_BONUS</t>
  </si>
  <si>
    <t>Social Tax Vacation Pay Bonus</t>
  </si>
  <si>
    <t>ST-040</t>
  </si>
  <si>
    <t>SOCIAL_TAX_VACATION_PAY_DEFERRAL</t>
  </si>
  <si>
    <t>Social Tax Vacation Pay Deferral</t>
  </si>
  <si>
    <t>BN-100</t>
  </si>
  <si>
    <t>TOTAL_BENEFITS</t>
  </si>
  <si>
    <t>Total Benefits</t>
  </si>
  <si>
    <t>4015230010</t>
  </si>
  <si>
    <t>Health &amp; welfare - Non-state mandated</t>
  </si>
  <si>
    <t>4015230010~Health &amp; welfare - Non-state mandated</t>
  </si>
  <si>
    <t>BN-010_T</t>
  </si>
  <si>
    <t>MEDICAL_INSURANCE_AND_REIMBURSEMENT</t>
  </si>
  <si>
    <t>Medical Insurance and Reimbursement</t>
  </si>
  <si>
    <t>BN-010</t>
  </si>
  <si>
    <t>MEDICAL_INSURANCE</t>
  </si>
  <si>
    <t>Medical insurance</t>
  </si>
  <si>
    <t>01.03.00.01</t>
  </si>
  <si>
    <t>Расходы на добровольное медицинское страхование работников</t>
  </si>
  <si>
    <t>BN-010_010</t>
  </si>
  <si>
    <t>HEALTH_SCREENING_REIMBURSEMENT</t>
  </si>
  <si>
    <t>Health Screening Reimbursement</t>
  </si>
  <si>
    <t>BN-010_020</t>
  </si>
  <si>
    <t>GST_REIMBURSEMENT</t>
  </si>
  <si>
    <t>GST Reimbursement</t>
  </si>
  <si>
    <t>BN-010_030</t>
  </si>
  <si>
    <t>CANCER_INSURANCE</t>
  </si>
  <si>
    <t>Cancer Insurance</t>
  </si>
  <si>
    <t>BN-020</t>
  </si>
  <si>
    <t>LIFE_AND_ACCIDENT_INSURANCE</t>
  </si>
  <si>
    <t>Life and accident insuranсe</t>
  </si>
  <si>
    <t>BN-020_010</t>
  </si>
  <si>
    <t>LIFE_INSURANCE</t>
  </si>
  <si>
    <t>Life Insurance</t>
  </si>
  <si>
    <t>BN-020_020</t>
  </si>
  <si>
    <t>ACCIDENT_INSURANCE</t>
  </si>
  <si>
    <t>Accident Insurance</t>
  </si>
  <si>
    <t>BN_010_ST</t>
  </si>
  <si>
    <t>HEALTH_WEFARE_STATE_MANDATED</t>
  </si>
  <si>
    <t>Health &amp; welfare-State mandated</t>
  </si>
  <si>
    <t>4015210020</t>
  </si>
  <si>
    <t>4015210020~Health &amp; welfare-State mandated</t>
  </si>
  <si>
    <t>BN-030</t>
  </si>
  <si>
    <t>PENSION_PLAN</t>
  </si>
  <si>
    <t>Pension plan</t>
  </si>
  <si>
    <t>12.01.01.04</t>
  </si>
  <si>
    <t>Негосударственное пенсионное обеспечение персонала</t>
  </si>
  <si>
    <t>BN-040</t>
  </si>
  <si>
    <t>OTHER_BENEFITS</t>
  </si>
  <si>
    <t>Other benefits</t>
  </si>
  <si>
    <t>4015230020</t>
  </si>
  <si>
    <t>Other benefits - Non-state mandated</t>
  </si>
  <si>
    <t>4015230020~Other benefits - Non-state mandated</t>
  </si>
  <si>
    <t>BN-040_ST</t>
  </si>
  <si>
    <t>OTHER_BENEFITS_STATE</t>
  </si>
  <si>
    <t>Other benefits State mandated</t>
  </si>
  <si>
    <t>4015210030</t>
  </si>
  <si>
    <t>Other benefits - State mandated</t>
  </si>
  <si>
    <t>4015210030~Other benefits - State mandated</t>
  </si>
  <si>
    <t>VP-010</t>
  </si>
  <si>
    <t>VACATION_PAY</t>
  </si>
  <si>
    <t>Total Vacation Pay</t>
  </si>
  <si>
    <t>4015100050</t>
  </si>
  <si>
    <t>Accruals for unused vacations</t>
  </si>
  <si>
    <t>4015100050~Accruals for unused vacations</t>
  </si>
  <si>
    <t>01.01.02.01</t>
  </si>
  <si>
    <t>Отпуска</t>
  </si>
  <si>
    <t>TO-010</t>
  </si>
  <si>
    <t>TOTAL_OTHER</t>
  </si>
  <si>
    <t>Total Other</t>
  </si>
  <si>
    <t>TO-020</t>
  </si>
  <si>
    <t>LIVING_ALLOWANCE</t>
  </si>
  <si>
    <t xml:space="preserve">Living Allowance_x000D_
</t>
  </si>
  <si>
    <t>TO-030</t>
  </si>
  <si>
    <t>CAR_ALLOWANCE</t>
  </si>
  <si>
    <t xml:space="preserve">Car Allowance_x000D_
</t>
  </si>
  <si>
    <t>TO-040</t>
  </si>
  <si>
    <t>OTHER_ALLOWANCE_ELEMENT</t>
  </si>
  <si>
    <t xml:space="preserve">Other Allowance Element_x000D_
</t>
  </si>
  <si>
    <t>TO-050</t>
  </si>
  <si>
    <t>SEVERANCE</t>
  </si>
  <si>
    <t>Severance</t>
  </si>
  <si>
    <t>4015400010</t>
  </si>
  <si>
    <t>Direct severance payments - cash</t>
  </si>
  <si>
    <t>4015400010~Direct severance payments - cash</t>
  </si>
  <si>
    <t>01.01.02.04</t>
  </si>
  <si>
    <t>Выплаты при увольнении</t>
  </si>
  <si>
    <t>TO-060</t>
  </si>
  <si>
    <t>BOD</t>
  </si>
  <si>
    <t>BoD Payment</t>
  </si>
  <si>
    <t>TO-080</t>
  </si>
  <si>
    <t>TRANSFER</t>
  </si>
  <si>
    <t>Transfer</t>
  </si>
  <si>
    <t>TO-090</t>
  </si>
  <si>
    <t>SIGN_ONS</t>
  </si>
  <si>
    <t>Sign-ons</t>
  </si>
  <si>
    <t>4015300010</t>
  </si>
  <si>
    <t>Sign-ons - cash</t>
  </si>
  <si>
    <t>4015300010~Sign-ons - cash</t>
  </si>
  <si>
    <t>TO-110</t>
  </si>
  <si>
    <t>LOD_COMPENSATION</t>
  </si>
  <si>
    <t>LoD Compensation</t>
  </si>
  <si>
    <t>TOTAL_SOCIAL_EXPENSES</t>
  </si>
  <si>
    <t>Total Social Expenses</t>
  </si>
  <si>
    <t>12.01.01.03</t>
  </si>
  <si>
    <t>Выплаты социального характера</t>
  </si>
  <si>
    <t>TO-070</t>
  </si>
  <si>
    <t>MATERIAL_AID</t>
  </si>
  <si>
    <t>Material aid</t>
  </si>
  <si>
    <t>12.01.01.01</t>
  </si>
  <si>
    <t>Материальная помощь</t>
  </si>
  <si>
    <t>TO-100</t>
  </si>
  <si>
    <t>SOCIAL_EXPENSE</t>
  </si>
  <si>
    <t>Social Expense</t>
  </si>
  <si>
    <t>DEM</t>
  </si>
  <si>
    <t>DEMOGRAPHY</t>
  </si>
  <si>
    <t>Demography</t>
  </si>
  <si>
    <t>HC</t>
  </si>
  <si>
    <t>HEADCOUNT</t>
  </si>
  <si>
    <t>Headcount</t>
  </si>
  <si>
    <t>HC_EMP</t>
  </si>
  <si>
    <t>Headcount (Employees)</t>
  </si>
  <si>
    <t>5000000011</t>
  </si>
  <si>
    <t>5000000011~Headcount</t>
  </si>
  <si>
    <t>HR.HEADCOUNT</t>
  </si>
  <si>
    <t>HC_VAC</t>
  </si>
  <si>
    <t>Headcount (Vacancies)</t>
  </si>
  <si>
    <t>5000000030</t>
  </si>
  <si>
    <t>5000000030~Headcount</t>
  </si>
  <si>
    <t>MSU</t>
  </si>
  <si>
    <t>MSU_EMP</t>
  </si>
  <si>
    <t>MSU (Employees)</t>
  </si>
  <si>
    <t>5600000020</t>
  </si>
  <si>
    <t>5600000020~MSU</t>
  </si>
  <si>
    <t>MSU_VAC</t>
  </si>
  <si>
    <t>MSU (Vacancies)</t>
  </si>
  <si>
    <t>5600000030</t>
  </si>
  <si>
    <t>5600000030~MSU</t>
  </si>
  <si>
    <t>MSU_SALARY</t>
  </si>
  <si>
    <t>MSU_Salary</t>
  </si>
  <si>
    <t>MSU based on Salary</t>
  </si>
  <si>
    <t>MSU_SALARY_EMP</t>
  </si>
  <si>
    <t>MSU based on Salary (Employees)</t>
  </si>
  <si>
    <t>5500000010</t>
  </si>
  <si>
    <t>5500000010~MSU</t>
  </si>
  <si>
    <t>MSU_SALARY_UPLIFT_EMP</t>
  </si>
  <si>
    <t>MSU based on Salary Uplift (Employees)</t>
  </si>
  <si>
    <t>MSU_SALARY_VAC</t>
  </si>
  <si>
    <t>MSU based on Salary (Vacancies)</t>
  </si>
  <si>
    <t>5500000030</t>
  </si>
  <si>
    <t>5500000030~MSU</t>
  </si>
  <si>
    <t>ACTIVE_HC</t>
  </si>
  <si>
    <t>ACTIVE_HEADCOUNT</t>
  </si>
  <si>
    <t>Active Headcount</t>
  </si>
  <si>
    <t>FTE</t>
  </si>
  <si>
    <t>STAFF_HC</t>
  </si>
  <si>
    <t>Staff number</t>
  </si>
  <si>
    <t>Штатная численность</t>
  </si>
  <si>
    <t>ACT_STAFF_HC</t>
  </si>
  <si>
    <t>Actual staff number</t>
  </si>
  <si>
    <t>Фактическая штатная численность</t>
  </si>
  <si>
    <t>AVG_STAFF_HC</t>
  </si>
  <si>
    <t>Average staff number</t>
  </si>
  <si>
    <t>Среднесписочная численность</t>
  </si>
  <si>
    <t>ССЧ</t>
  </si>
  <si>
    <t>Среднесписочная  численность</t>
  </si>
  <si>
    <t>STAFF_RATE</t>
  </si>
  <si>
    <t>Staff Rate</t>
  </si>
  <si>
    <t>Штатная численность с учетом занятости</t>
  </si>
  <si>
    <t>ШЧ</t>
  </si>
  <si>
    <t>ACT_STAFF_PERCENT_EMPLOYMENT</t>
  </si>
  <si>
    <t>Actual staff number  based on employment</t>
  </si>
  <si>
    <t>Фактическая штатная численность с учетом занятости</t>
  </si>
  <si>
    <t>ФШЧ</t>
  </si>
  <si>
    <t>NON_COMP</t>
  </si>
  <si>
    <t>Non-compensation</t>
  </si>
  <si>
    <t>Некомпнесационные расходы</t>
  </si>
  <si>
    <t>NC-010</t>
  </si>
  <si>
    <t>TEMP_CONTRACTORS_COSTS</t>
  </si>
  <si>
    <t>Costs for temporary staff &amp; contractors</t>
  </si>
  <si>
    <t>4016610010</t>
  </si>
  <si>
    <t>4016610010~Costs for temporary staff &amp; contractors</t>
  </si>
  <si>
    <t>NC-020</t>
  </si>
  <si>
    <t>INT_WORKSHOPS_OFFSITES_EXP</t>
  </si>
  <si>
    <t>Expenses for internal workshops/offsites</t>
  </si>
  <si>
    <t>4017320000</t>
  </si>
  <si>
    <t>4017320000~Expenses for internal workshops/offsites</t>
  </si>
  <si>
    <t>NC-030</t>
  </si>
  <si>
    <t>STAFF_TRAINING_EXP</t>
  </si>
  <si>
    <t>Expenses for staff training, seminars</t>
  </si>
  <si>
    <t>4017310000</t>
  </si>
  <si>
    <t>4017310000~Expenses for staff training, seminars</t>
  </si>
  <si>
    <t>NC-040</t>
  </si>
  <si>
    <t>RECRUITMENT_EXP</t>
  </si>
  <si>
    <t>Recruitment Expenses</t>
  </si>
  <si>
    <t>4016691000</t>
  </si>
  <si>
    <t>4016691000~Recruitment Expenses</t>
  </si>
  <si>
    <t>NC-050</t>
  </si>
  <si>
    <t>NON_COMP_OTHER</t>
  </si>
  <si>
    <t>Other remaining staff related non-compensation exp</t>
  </si>
  <si>
    <t>4017390000</t>
  </si>
  <si>
    <t>4017390000~Other remaining staff related non-compensation exp</t>
  </si>
  <si>
    <t>OTHER</t>
  </si>
  <si>
    <t>Other Components</t>
  </si>
  <si>
    <t>TSS</t>
  </si>
  <si>
    <t>TOTAL_SAMESTORE</t>
  </si>
  <si>
    <t>Total Samestore</t>
  </si>
  <si>
    <t>SS</t>
  </si>
  <si>
    <t>SAMESTORE</t>
  </si>
  <si>
    <t>Samestore</t>
  </si>
  <si>
    <t>SS_080</t>
  </si>
  <si>
    <t>SAMESTORE_NORTHERN_TOP_UP</t>
  </si>
  <si>
    <t>Samestore Northern Top Up</t>
  </si>
  <si>
    <t>SS_090</t>
  </si>
  <si>
    <t>SAMESTORE_REGIONAL_TOP_UP</t>
  </si>
  <si>
    <t>Samestore RegionalTop Up</t>
  </si>
  <si>
    <t>TS-110</t>
  </si>
  <si>
    <t>ACCRUALS_FOR_UNUSED_VACATIONS</t>
  </si>
  <si>
    <t>01.01.01.02</t>
  </si>
  <si>
    <t>Отпускной резерв</t>
  </si>
  <si>
    <t>TS-020_T</t>
  </si>
  <si>
    <t>TOTAL_ANNUAL_CONTRACTUAL_SALARY</t>
  </si>
  <si>
    <t>Total Annual Contractual Salary</t>
  </si>
  <si>
    <t>TS-020</t>
  </si>
  <si>
    <t>ANNUAL_CONTRACTUAL_SALARY</t>
  </si>
  <si>
    <t>Annual Contractual Salary</t>
  </si>
  <si>
    <t>TS-020_080</t>
  </si>
  <si>
    <t>ANNUAL_SALARY_NORTHERN_TOP_UP</t>
  </si>
  <si>
    <t>Annual Salary Northern Top Up</t>
  </si>
  <si>
    <t>TS-020_090</t>
  </si>
  <si>
    <t>ANNUAL_SALARY_REGIONAL_TOP_UP</t>
  </si>
  <si>
    <t>Annual Salary Regional Top Up</t>
  </si>
  <si>
    <t>TP-020</t>
  </si>
  <si>
    <t>TOTAL_PAYMENT_BONUS</t>
  </si>
  <si>
    <t>Total Payment Bonus</t>
  </si>
  <si>
    <t>TP-030</t>
  </si>
  <si>
    <t>TOTAL_PAYMENT_DEFERRAL</t>
  </si>
  <si>
    <t>Total Payment Deferral</t>
  </si>
  <si>
    <t>VP-020</t>
  </si>
  <si>
    <t>VACATION_PAY_BONUS</t>
  </si>
  <si>
    <t>Vacation Pay Bonus</t>
  </si>
  <si>
    <t>VP-030</t>
  </si>
  <si>
    <t>VACATION_PAY_DEFERRAL</t>
  </si>
  <si>
    <t>Vacation Pay Deferral</t>
  </si>
  <si>
    <t>OTH_ABI</t>
  </si>
  <si>
    <t>ANNUAL_BONUS_INDICATOR</t>
  </si>
  <si>
    <t>Annual Bonus Indicator</t>
  </si>
  <si>
    <t>Показатель годовой премии</t>
  </si>
  <si>
    <t>OTH_ABP</t>
  </si>
  <si>
    <t>ANNUAL_BONUS_PERCENT</t>
  </si>
  <si>
    <t>Annual Bonus Percent</t>
  </si>
  <si>
    <t xml:space="preserve">Годовая премия, %_x000D_
_x000D_
</t>
  </si>
  <si>
    <t>OTH_QBP</t>
  </si>
  <si>
    <t>QUARTERLY_BONUS_PERCENT</t>
  </si>
  <si>
    <t>Quarterly Bonus Percent</t>
  </si>
  <si>
    <t xml:space="preserve">Ежеквартальная премия %_x000D_
</t>
  </si>
  <si>
    <t>OTH_MBP</t>
  </si>
  <si>
    <t>MONTHLY_BONUS_PERCENT</t>
  </si>
  <si>
    <t>Monthly Bonus Percent</t>
  </si>
  <si>
    <t>Ежемесячная премия %</t>
  </si>
  <si>
    <t>EXP_CC</t>
  </si>
  <si>
    <t>EXPENSES_CIVIL_CONTRACTS</t>
  </si>
  <si>
    <t>Expenses under civil contracts</t>
  </si>
  <si>
    <t>Расходы по договорам гражданско-правового характера</t>
  </si>
  <si>
    <t>EXP_SCF</t>
  </si>
  <si>
    <t>EXPENSES_SPORT_CULTURAL</t>
  </si>
  <si>
    <t>Expenses for sports, cultural and festive events</t>
  </si>
  <si>
    <t>Расходы на проведение спортивных, культурных и праздничных мероприятий</t>
  </si>
  <si>
    <t>EXP_ICS</t>
  </si>
  <si>
    <t>EXPENSES_INFORMATION_CONSULTING</t>
  </si>
  <si>
    <t>Information and consulting services</t>
  </si>
  <si>
    <t>Информационно-консультационные услуги</t>
  </si>
  <si>
    <t>EXP_OTHER</t>
  </si>
  <si>
    <t>EXPENSES_OTHER</t>
  </si>
  <si>
    <t>Other professional services</t>
  </si>
  <si>
    <t>Прочие профессиональные услуги</t>
  </si>
  <si>
    <t>EXP_SWA</t>
  </si>
  <si>
    <t>EXPENSES_SOFTWARE_ACQUISITION</t>
  </si>
  <si>
    <t>Software acquisition</t>
  </si>
  <si>
    <t>Приобретение программного обеспечения</t>
  </si>
  <si>
    <t>TB-130</t>
  </si>
  <si>
    <t>TOTAL_PROJECT_BONUS</t>
  </si>
  <si>
    <t>Total Project Bonus</t>
  </si>
  <si>
    <t>EXP_IAA</t>
  </si>
  <si>
    <t>EXPENSES_INTANGIBLE_ASSETS_ACQUISITION</t>
  </si>
  <si>
    <t>Acquisition of intangible assets</t>
  </si>
  <si>
    <t>Приобретение нематериальных активов</t>
  </si>
  <si>
    <t>4015670010</t>
  </si>
  <si>
    <t>Deferred Compensation</t>
  </si>
  <si>
    <t>4015670010~Deferred Compensation</t>
  </si>
  <si>
    <t>4015640010</t>
  </si>
  <si>
    <t>Under-/overaccruals - cash</t>
  </si>
  <si>
    <t>4015640010~Under-/overaccruals - cash</t>
  </si>
  <si>
    <t>01.01.03.032</t>
  </si>
  <si>
    <t>Резерв годовой премии</t>
  </si>
  <si>
    <t>4015640030</t>
  </si>
  <si>
    <t>Under-/overaccruals - contribution to social secur</t>
  </si>
  <si>
    <t>4015640030~Under-/overaccruals - contribution to social secur</t>
  </si>
  <si>
    <t>01.01.05.01_ГП2</t>
  </si>
  <si>
    <t>Страховые взносы на ФОТ (Резерв годовой премии)</t>
  </si>
  <si>
    <t>4015670020</t>
  </si>
  <si>
    <t>Social Security on Deferrals</t>
  </si>
  <si>
    <t>4015670020~Social Security on Deferrals</t>
  </si>
  <si>
    <t>HRPT Dictionary</t>
  </si>
  <si>
    <t>dbo.tbl_D_COMPONENT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</si>
</sst>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8" tint="-0.499984740745262"/>
      <name val="Calibri"/>
      <family val="2"/>
      <charset val="204"/>
      <scheme val="minor"/>
    </font>
    <font>
      <i/>
      <sz val="11"/>
      <color rgb="FF00206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4" borderId="0" xfId="0" applyNumberFormat="1" applyFill="1" applyAlignment="1">
      <alignment horizontal="center"/>
    </xf>
    <xf numFmtId="0" fontId="0" fillId="4" borderId="0" xfId="0" applyNumberFormat="1" applyFill="1" applyAlignment="1"/>
    <xf numFmtId="0" fontId="0" fillId="4" borderId="0" xfId="0" applyFill="1" applyAlignment="1"/>
    <xf numFmtId="0" fontId="3" fillId="4" borderId="0" xfId="0" applyNumberFormat="1" applyFont="1" applyFill="1" applyAlignment="1" applyProtection="1">
      <protection hidden="1"/>
    </xf>
    <xf numFmtId="0" fontId="1" fillId="4" borderId="0" xfId="0" applyNumberFormat="1" applyFont="1" applyFill="1" applyAlignment="1" applyProtection="1">
      <protection hidden="1"/>
    </xf>
    <xf numFmtId="0" fontId="0" fillId="4" borderId="0" xfId="0" applyFill="1" applyAlignment="1" applyProtection="1"/>
    <xf numFmtId="0" fontId="1" fillId="0" borderId="0" xfId="0" applyNumberFormat="1" applyFont="1" applyFill="1" applyAlignment="1" applyProtection="1">
      <protection hidden="1"/>
    </xf>
    <xf numFmtId="0" fontId="1" fillId="0" borderId="0" xfId="0" applyNumberFormat="1" applyFont="1" applyFill="1" applyAlignment="1" applyProtection="1">
      <alignment horizontal="left"/>
      <protection hidden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theme="0" tint="-4.9989318521683403E-2"/>
        </patternFill>
      </fill>
      <alignment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vertical="bottom" textRotation="0" wrapText="0" indent="0" justifyLastLine="0" shrinkToFit="0" readingOrder="0"/>
      <protection locked="1" hidden="1"/>
    </dxf>
    <dxf>
      <font>
        <b/>
      </font>
      <numFmt numFmtId="0" formatCode="General"/>
      <fill>
        <patternFill patternType="solid">
          <fgColor indexed="64"/>
          <bgColor theme="0" tint="-4.9989318521683403E-2"/>
        </patternFill>
      </fill>
      <alignment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theme="0" tint="-4.9989318521683403E-2"/>
        </patternFill>
      </fill>
      <alignment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/>
        <color rgb="FFC00000"/>
      </font>
      <fill>
        <patternFill>
          <bgColor rgb="FFFFDDDD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b val="0"/>
        <i val="0"/>
      </font>
    </dxf>
    <dxf>
      <border>
        <left style="thin">
          <color theme="8"/>
        </left>
      </border>
    </dxf>
    <dxf>
      <border>
        <left style="thin">
          <color theme="8"/>
        </left>
      </border>
    </dxf>
    <dxf>
      <border>
        <top style="thin">
          <color theme="8"/>
        </top>
      </border>
    </dxf>
    <dxf>
      <border>
        <top style="thin">
          <color theme="8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theme="8" tint="-0.24994659260841701"/>
        </patternFill>
      </fill>
      <border>
        <vertical style="thin">
          <color theme="0"/>
        </vertical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Assumption" pivot="0" count="9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secondRowStripe" dxfId="39"/>
      <tableStyleElement type="firstColumnStripe" dxfId="38"/>
      <tableStyleElement type="secondColumnStripe" dxfId="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DICT" displayName="tDICT" ref="B4:AF235" totalsRowShown="0" headerRowDxfId="32" dataDxfId="31">
  <autoFilter ref="B4:AF235"/>
  <tableColumns count="31">
    <tableColumn id="40" name="nn" dataDxfId="30">
      <calculatedColumnFormula>(ROW(tDICT[[#This Row],[Table Name]])-ROW(tDICT[[#Headers],[Table Name]]))*8</calculatedColumnFormula>
    </tableColumn>
    <tableColumn id="38" name="Table Name" dataDxfId="29">
      <calculatedColumnFormula>pTABLE</calculatedColumnFormula>
    </tableColumn>
    <tableColumn id="2" name="Status" dataDxfId="28"/>
    <tableColumn id="23" name="Hierarchy" dataDxfId="27">
      <calculatedColumnFormula>IFERROR(REPT("  ", tDICT[[#This Row],[LVL]]-1) &amp; tDICT[[#This Row],[Name]], tDICT[[#This Row],[Name]])</calculatedColumnFormula>
    </tableColumn>
    <tableColumn id="24" name="LVL" dataDxfId="26">
      <calculatedColumnFormula>IF(tDICT[Level Number]="",OFFSET(tDICT[[#This Row],[Level Number]],-1,0),tDICT[Level Number])</calculatedColumnFormula>
    </tableColumn>
    <tableColumn id="25" name="Parent Label" dataDxfId="25">
      <calculatedColumnFormula>IFERROR(IF(tDICT[[#This Row],[LVL]]=OFFSET(tDICT[[#This Row],[LVL]],-1,0)+1,OFFSET(tDICT[[#This Row],[Label]],-1,0),IF(tDICT[[#This Row],[LVL]]&lt;OFFSET(tDICT[[#This Row],[LVL]],-1,0),"",OFFSET(tDICT[[#This Row],[Parent Label]],-1,0))),"")</calculatedColumnFormula>
    </tableColumn>
    <tableColumn id="36" name="IsLeaf" dataDxfId="24">
      <calculatedColumnFormula>_xlfn.IFNA(VLOOKUP(tDICT[[#This Row],[Label]],tDICT[Parent Label],1,0)&gt;0,"Leaf")</calculatedColumnFormula>
    </tableColumn>
    <tableColumn id="3" name="Id" dataDxfId="23"/>
    <tableColumn id="1" name="Parent Id" dataDxfId="22"/>
    <tableColumn id="4" name="Code" dataDxfId="21"/>
    <tableColumn id="5" name="SAP BW Code" dataDxfId="20"/>
    <tableColumn id="6" name="Label" dataDxfId="19"/>
    <tableColumn id="7" name="Name" dataDxfId="18"/>
    <tableColumn id="8" name="Name Local" dataDxfId="17"/>
    <tableColumn id="9" name="Parent Name" dataDxfId="16"/>
    <tableColumn id="10" name="Type" dataDxfId="15"/>
    <tableColumn id="11" name="Converted" dataDxfId="14"/>
    <tableColumn id="12" name="Modifier" dataDxfId="13"/>
    <tableColumn id="13" name="RN Top Up" dataDxfId="12"/>
    <tableColumn id="14" name="Annualization Factor" dataDxfId="11"/>
    <tableColumn id="15" name="Month Number 1" dataDxfId="10"/>
    <tableColumn id="16" name="Part Of Core Value 1" dataDxfId="9"/>
    <tableColumn id="17" name="Month Number 2" dataDxfId="8"/>
    <tableColumn id="18" name="Part Of Core Value 2" dataDxfId="7"/>
    <tableColumn id="19" name="Account Code" dataDxfId="6"/>
    <tableColumn id="20" name="Account Name" dataDxfId="5"/>
    <tableColumn id="21" name="Account" dataDxfId="4"/>
    <tableColumn id="22" name="Account Flag" dataDxfId="3"/>
    <tableColumn id="26" name="SAP Account Code" dataDxfId="2"/>
    <tableColumn id="64" name="SAP Account Name" dataDxfId="1"/>
    <tableColumn id="27" name="Level Number" dataDxfId="0"/>
  </tableColumns>
  <tableStyleInfo name="Assumption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235"/>
  <sheetViews>
    <sheetView showGridLines="0" tabSelected="1" workbookViewId="0">
      <selection activeCell="E4" sqref="E4"/>
    </sheetView>
  </sheetViews>
  <sheetFormatPr defaultRowHeight="15" x14ac:dyDescent="0.25"/>
  <cols>
    <col min="5" max="5" width="59.7109375" bestFit="1" customWidth="1"/>
  </cols>
  <sheetData>
    <row r="1" spans="2:32" ht="26.25" x14ac:dyDescent="0.25">
      <c r="B1" s="12" t="s">
        <v>913</v>
      </c>
    </row>
    <row r="2" spans="2:32" x14ac:dyDescent="0.25">
      <c r="B2" s="13" t="s">
        <v>914</v>
      </c>
    </row>
    <row r="4" spans="2:32" ht="45" x14ac:dyDescent="0.25">
      <c r="B4" s="1" t="s">
        <v>0</v>
      </c>
      <c r="C4" s="1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</row>
    <row r="5" spans="2:32" x14ac:dyDescent="0.25">
      <c r="B5" s="4">
        <f>(ROW(tDICT[[#This Row],[Table Name]])-ROW(tDICT[[#Headers],[Table Name]]))*8</f>
        <v>8</v>
      </c>
      <c r="C5" s="5" t="str">
        <f>pTABLE</f>
        <v>dbo.tbl_D_COMPONENT</v>
      </c>
      <c r="D5" s="6"/>
      <c r="E5" s="7" t="str">
        <f ca="1">IFERROR(REPT("  ", tDICT[[#This Row],[LVL]]-1) &amp; tDICT[[#This Row],[Name]], tDICT[[#This Row],[Name]])</f>
        <v>All Components</v>
      </c>
      <c r="F5" s="8">
        <f ca="1">IF(tDICT[Level Number]="",OFFSET(tDICT[[#This Row],[Level Number]],-1,0),tDICT[Level Number])</f>
        <v>1</v>
      </c>
      <c r="G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5" s="8" t="b">
        <f ca="1">_xlfn.IFNA(VLOOKUP(tDICT[[#This Row],[Label]],tDICT[Parent Label],1,0)&gt;0,"Leaf")</f>
        <v>1</v>
      </c>
      <c r="I5" s="9">
        <v>10001</v>
      </c>
      <c r="J5" s="10"/>
      <c r="K5" s="10" t="s">
        <v>31</v>
      </c>
      <c r="L5" s="10"/>
      <c r="M5" s="10" t="s">
        <v>32</v>
      </c>
      <c r="N5" s="10" t="s">
        <v>33</v>
      </c>
      <c r="O5" s="10"/>
      <c r="P5" s="10" t="s">
        <v>34</v>
      </c>
      <c r="Q5" s="11" t="s">
        <v>35</v>
      </c>
      <c r="R5" s="10" t="b">
        <v>0</v>
      </c>
      <c r="S5" s="10"/>
      <c r="T5" s="10" t="s">
        <v>36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>
        <v>1</v>
      </c>
    </row>
    <row r="6" spans="2:32" x14ac:dyDescent="0.25">
      <c r="B6" s="4">
        <f>(ROW(tDICT[[#This Row],[Table Name]])-ROW(tDICT[[#Headers],[Table Name]]))*8</f>
        <v>16</v>
      </c>
      <c r="C6" s="5" t="str">
        <f>pTABLE</f>
        <v>dbo.tbl_D_COMPONENT</v>
      </c>
      <c r="D6" s="6"/>
      <c r="E6" s="7" t="str">
        <f ca="1">IFERROR(REPT("  ", tDICT[[#This Row],[LVL]]-1) &amp; tDICT[[#This Row],[Name]], tDICT[[#This Row],[Name]])</f>
        <v xml:space="preserve">  Total Compensation</v>
      </c>
      <c r="F6" s="8">
        <f ca="1">IF(tDICT[Level Number]="",OFFSET(tDICT[[#This Row],[Level Number]],-1,0),tDICT[Level Number])</f>
        <v>2</v>
      </c>
      <c r="G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ALL_COMPONENTS</v>
      </c>
      <c r="H6" s="8" t="b">
        <f ca="1">_xlfn.IFNA(VLOOKUP(tDICT[[#This Row],[Label]],tDICT[Parent Label],1,0)&gt;0,"Leaf")</f>
        <v>1</v>
      </c>
      <c r="I6" s="9">
        <v>125</v>
      </c>
      <c r="J6" s="10">
        <v>10001</v>
      </c>
      <c r="K6" s="10" t="s">
        <v>37</v>
      </c>
      <c r="L6" s="10"/>
      <c r="M6" s="10" t="s">
        <v>38</v>
      </c>
      <c r="N6" s="10" t="s">
        <v>39</v>
      </c>
      <c r="O6" s="10"/>
      <c r="P6" s="10" t="s">
        <v>33</v>
      </c>
      <c r="Q6" s="11" t="s">
        <v>40</v>
      </c>
      <c r="R6" s="10" t="b">
        <v>1</v>
      </c>
      <c r="S6" s="10"/>
      <c r="T6" s="10" t="s">
        <v>36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>
        <v>2</v>
      </c>
    </row>
    <row r="7" spans="2:32" x14ac:dyDescent="0.25">
      <c r="B7" s="4">
        <f>(ROW(tDICT[[#This Row],[Table Name]])-ROW(tDICT[[#Headers],[Table Name]]))*8</f>
        <v>24</v>
      </c>
      <c r="C7" s="5" t="str">
        <f>pTABLE</f>
        <v>dbo.tbl_D_COMPONENT</v>
      </c>
      <c r="D7" s="6"/>
      <c r="E7" s="7" t="str">
        <f ca="1">IFERROR(REPT("  ", tDICT[[#This Row],[LVL]]-1) &amp; tDICT[[#This Row],[Name]], tDICT[[#This Row],[Name]])</f>
        <v xml:space="preserve">    Total Compensation</v>
      </c>
      <c r="F7" s="8">
        <f ca="1">IF(tDICT[Level Number]="",OFFSET(tDICT[[#This Row],[Level Number]],-1,0),tDICT[Level Number])</f>
        <v>3</v>
      </c>
      <c r="G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TOTAL_PERSONNEL_COSTS</v>
      </c>
      <c r="H7" s="8" t="b">
        <f ca="1">_xlfn.IFNA(VLOOKUP(tDICT[[#This Row],[Label]],tDICT[Parent Label],1,0)&gt;0,"Leaf")</f>
        <v>1</v>
      </c>
      <c r="I7" s="9">
        <v>1</v>
      </c>
      <c r="J7" s="10">
        <v>125</v>
      </c>
      <c r="K7" s="10" t="s">
        <v>41</v>
      </c>
      <c r="L7" s="10"/>
      <c r="M7" s="10" t="s">
        <v>42</v>
      </c>
      <c r="N7" s="10" t="s">
        <v>39</v>
      </c>
      <c r="O7" s="10"/>
      <c r="P7" s="10" t="s">
        <v>43</v>
      </c>
      <c r="Q7" s="11" t="s">
        <v>40</v>
      </c>
      <c r="R7" s="10" t="b">
        <v>1</v>
      </c>
      <c r="S7" s="10"/>
      <c r="T7" s="10" t="s">
        <v>36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>
        <v>3</v>
      </c>
    </row>
    <row r="8" spans="2:32" x14ac:dyDescent="0.25">
      <c r="B8" s="4">
        <f>(ROW(tDICT[[#This Row],[Table Name]])-ROW(tDICT[[#Headers],[Table Name]]))*8</f>
        <v>32</v>
      </c>
      <c r="C8" s="5" t="str">
        <f>pTABLE</f>
        <v>dbo.tbl_D_COMPONENT</v>
      </c>
      <c r="D8" s="6"/>
      <c r="E8" s="7" t="str">
        <f ca="1">IFERROR(REPT("  ", tDICT[[#This Row],[LVL]]-1) &amp; tDICT[[#This Row],[Name]], tDICT[[#This Row],[Name]])</f>
        <v xml:space="preserve">      Total Salary Uplift</v>
      </c>
      <c r="F8" s="8">
        <f ca="1">IF(tDICT[Level Number]="",OFFSET(tDICT[[#This Row],[Level Number]],-1,0),tDICT[Level Number])</f>
        <v>4</v>
      </c>
      <c r="G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TOTAL_COMPENSATION</v>
      </c>
      <c r="H8" s="8" t="b">
        <f ca="1">_xlfn.IFNA(VLOOKUP(tDICT[[#This Row],[Label]],tDICT[Parent Label],1,0)&gt;0,"Leaf")</f>
        <v>1</v>
      </c>
      <c r="I8" s="9">
        <v>1009</v>
      </c>
      <c r="J8" s="10">
        <v>1</v>
      </c>
      <c r="K8" s="10" t="s">
        <v>44</v>
      </c>
      <c r="L8" s="10"/>
      <c r="M8" s="10" t="s">
        <v>45</v>
      </c>
      <c r="N8" s="10" t="s">
        <v>46</v>
      </c>
      <c r="O8" s="10"/>
      <c r="P8" s="10" t="s">
        <v>47</v>
      </c>
      <c r="Q8" s="11" t="s">
        <v>40</v>
      </c>
      <c r="R8" s="10" t="b">
        <v>1</v>
      </c>
      <c r="S8" s="10">
        <v>4</v>
      </c>
      <c r="T8" s="10" t="s">
        <v>36</v>
      </c>
      <c r="U8" s="10"/>
      <c r="V8" s="10"/>
      <c r="W8" s="10"/>
      <c r="X8" s="10"/>
      <c r="Y8" s="10"/>
      <c r="Z8" s="10" t="s">
        <v>48</v>
      </c>
      <c r="AA8" s="10" t="s">
        <v>49</v>
      </c>
      <c r="AB8" s="10" t="s">
        <v>50</v>
      </c>
      <c r="AC8" s="10"/>
      <c r="AD8" s="10"/>
      <c r="AE8" s="10"/>
      <c r="AF8" s="10">
        <v>4</v>
      </c>
    </row>
    <row r="9" spans="2:32" x14ac:dyDescent="0.25">
      <c r="B9" s="4">
        <f>(ROW(tDICT[[#This Row],[Table Name]])-ROW(tDICT[[#Headers],[Table Name]]))*8</f>
        <v>40</v>
      </c>
      <c r="C9" s="5" t="str">
        <f>pTABLE</f>
        <v>dbo.tbl_D_COMPONENT</v>
      </c>
      <c r="D9" s="6"/>
      <c r="E9" s="7" t="str">
        <f ca="1">IFERROR(REPT("  ", tDICT[[#This Row],[LVL]]-1) &amp; tDICT[[#This Row],[Name]], tDICT[[#This Row],[Name]])</f>
        <v xml:space="preserve">        Salary Uplift</v>
      </c>
      <c r="F9" s="8">
        <f ca="1">IF(tDICT[Level Number]="",OFFSET(tDICT[[#This Row],[Level Number]],-1,0),tDICT[Level Number])</f>
        <v>5</v>
      </c>
      <c r="G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TOTAL_SALARY_UPLIFT</v>
      </c>
      <c r="H9" s="8" t="str">
        <f ca="1">_xlfn.IFNA(VLOOKUP(tDICT[[#This Row],[Label]],tDICT[Parent Label],1,0)&gt;0,"Leaf")</f>
        <v>Leaf</v>
      </c>
      <c r="I9" s="9">
        <v>257</v>
      </c>
      <c r="J9" s="10">
        <v>1009</v>
      </c>
      <c r="K9" s="10" t="s">
        <v>51</v>
      </c>
      <c r="L9" s="10"/>
      <c r="M9" s="10" t="s">
        <v>52</v>
      </c>
      <c r="N9" s="10" t="s">
        <v>53</v>
      </c>
      <c r="O9" s="10"/>
      <c r="P9" s="10" t="s">
        <v>47</v>
      </c>
      <c r="Q9" s="11" t="s">
        <v>40</v>
      </c>
      <c r="R9" s="10" t="b">
        <v>1</v>
      </c>
      <c r="S9" s="10">
        <v>4</v>
      </c>
      <c r="T9" s="10" t="s">
        <v>36</v>
      </c>
      <c r="U9" s="10"/>
      <c r="V9" s="10"/>
      <c r="W9" s="10"/>
      <c r="X9" s="10"/>
      <c r="Y9" s="10"/>
      <c r="Z9" s="10" t="s">
        <v>48</v>
      </c>
      <c r="AA9" s="10" t="s">
        <v>49</v>
      </c>
      <c r="AB9" s="10" t="s">
        <v>50</v>
      </c>
      <c r="AC9" s="10"/>
      <c r="AD9" s="10"/>
      <c r="AE9" s="10"/>
      <c r="AF9" s="10">
        <v>5</v>
      </c>
    </row>
    <row r="10" spans="2:32" x14ac:dyDescent="0.25">
      <c r="B10" s="4">
        <f>(ROW(tDICT[[#This Row],[Table Name]])-ROW(tDICT[[#Headers],[Table Name]]))*8</f>
        <v>48</v>
      </c>
      <c r="C10" s="5" t="str">
        <f>pTABLE</f>
        <v>dbo.tbl_D_COMPONENT</v>
      </c>
      <c r="D10" s="6"/>
      <c r="E10" s="7" t="str">
        <f ca="1">IFERROR(REPT("  ", tDICT[[#This Row],[LVL]]-1) &amp; tDICT[[#This Row],[Name]], tDICT[[#This Row],[Name]])</f>
        <v xml:space="preserve">      Total Salary Capex</v>
      </c>
      <c r="F10" s="8">
        <f ca="1">IF(tDICT[Level Number]="",OFFSET(tDICT[[#This Row],[Level Number]],-1,0),tDICT[Level Number])</f>
        <v>4</v>
      </c>
      <c r="G1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0" s="8" t="str">
        <f ca="1">_xlfn.IFNA(VLOOKUP(tDICT[[#This Row],[Label]],tDICT[Parent Label],1,0)&gt;0,"Leaf")</f>
        <v>Leaf</v>
      </c>
      <c r="I10" s="9">
        <v>4018</v>
      </c>
      <c r="J10" s="10">
        <v>1</v>
      </c>
      <c r="K10" s="10" t="s">
        <v>54</v>
      </c>
      <c r="L10" s="10"/>
      <c r="M10" s="10" t="s">
        <v>55</v>
      </c>
      <c r="N10" s="10" t="s">
        <v>56</v>
      </c>
      <c r="O10" s="10"/>
      <c r="P10" s="10" t="s">
        <v>39</v>
      </c>
      <c r="Q10" s="11" t="s">
        <v>40</v>
      </c>
      <c r="R10" s="10" t="b">
        <v>1</v>
      </c>
      <c r="S10" s="10"/>
      <c r="T10" s="10" t="s">
        <v>36</v>
      </c>
      <c r="U10" s="10"/>
      <c r="V10" s="10"/>
      <c r="W10" s="10"/>
      <c r="X10" s="10"/>
      <c r="Y10" s="10"/>
      <c r="Z10" s="10" t="s">
        <v>48</v>
      </c>
      <c r="AA10" s="10" t="s">
        <v>49</v>
      </c>
      <c r="AB10" s="10" t="s">
        <v>50</v>
      </c>
      <c r="AC10" s="10"/>
      <c r="AD10" s="10" t="s">
        <v>57</v>
      </c>
      <c r="AE10" s="10" t="s">
        <v>58</v>
      </c>
      <c r="AF10" s="10">
        <v>4</v>
      </c>
    </row>
    <row r="11" spans="2:32" x14ac:dyDescent="0.25">
      <c r="B11" s="4">
        <f>(ROW(tDICT[[#This Row],[Table Name]])-ROW(tDICT[[#Headers],[Table Name]]))*8</f>
        <v>56</v>
      </c>
      <c r="C11" s="5" t="str">
        <f>pTABLE</f>
        <v>dbo.tbl_D_COMPONENT</v>
      </c>
      <c r="D11" s="6"/>
      <c r="E11" s="7" t="str">
        <f ca="1">IFERROR(REPT("  ", tDICT[[#This Row],[LVL]]-1) &amp; tDICT[[#This Row],[Name]], tDICT[[#This Row],[Name]])</f>
        <v xml:space="preserve">      Total Salary</v>
      </c>
      <c r="F11" s="8">
        <f ca="1">IF(tDICT[Level Number]="",OFFSET(tDICT[[#This Row],[Level Number]],-1,0),tDICT[Level Number])</f>
        <v>4</v>
      </c>
      <c r="G1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1" s="8" t="b">
        <f ca="1">_xlfn.IFNA(VLOOKUP(tDICT[[#This Row],[Label]],tDICT[Parent Label],1,0)&gt;0,"Leaf")</f>
        <v>1</v>
      </c>
      <c r="I11" s="9">
        <v>18</v>
      </c>
      <c r="J11" s="10">
        <v>1</v>
      </c>
      <c r="K11" s="10" t="s">
        <v>59</v>
      </c>
      <c r="L11" s="10"/>
      <c r="M11" s="10" t="s">
        <v>60</v>
      </c>
      <c r="N11" s="10" t="s">
        <v>47</v>
      </c>
      <c r="O11" s="10"/>
      <c r="P11" s="10" t="s">
        <v>39</v>
      </c>
      <c r="Q11" s="11" t="s">
        <v>40</v>
      </c>
      <c r="R11" s="10" t="b">
        <v>1</v>
      </c>
      <c r="S11" s="10"/>
      <c r="T11" s="10" t="s">
        <v>36</v>
      </c>
      <c r="U11" s="10"/>
      <c r="V11" s="10"/>
      <c r="W11" s="10"/>
      <c r="X11" s="10"/>
      <c r="Y11" s="10"/>
      <c r="Z11" s="10" t="s">
        <v>48</v>
      </c>
      <c r="AA11" s="10" t="s">
        <v>49</v>
      </c>
      <c r="AB11" s="10" t="s">
        <v>50</v>
      </c>
      <c r="AC11" s="10">
        <v>1</v>
      </c>
      <c r="AD11" s="10" t="s">
        <v>61</v>
      </c>
      <c r="AE11" s="10" t="s">
        <v>62</v>
      </c>
      <c r="AF11" s="10">
        <v>4</v>
      </c>
    </row>
    <row r="12" spans="2:32" x14ac:dyDescent="0.25">
      <c r="B12" s="4">
        <f>(ROW(tDICT[[#This Row],[Table Name]])-ROW(tDICT[[#Headers],[Table Name]]))*8</f>
        <v>64</v>
      </c>
      <c r="C12" s="5" t="str">
        <f>pTABLE</f>
        <v>dbo.tbl_D_COMPONENT</v>
      </c>
      <c r="D12" s="6"/>
      <c r="E12" s="7" t="str">
        <f ca="1">IFERROR(REPT("  ", tDICT[[#This Row],[LVL]]-1) &amp; tDICT[[#This Row],[Name]], tDICT[[#This Row],[Name]])</f>
        <v xml:space="preserve">        Total Monthly Contractual Salary</v>
      </c>
      <c r="F12" s="8">
        <f ca="1">IF(tDICT[Level Number]="",OFFSET(tDICT[[#This Row],[Level Number]],-1,0),tDICT[Level Number])</f>
        <v>5</v>
      </c>
      <c r="G1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TOTAL_SALARY</v>
      </c>
      <c r="H12" s="8" t="b">
        <f ca="1">_xlfn.IFNA(VLOOKUP(tDICT[[#This Row],[Label]],tDICT[Parent Label],1,0)&gt;0,"Leaf")</f>
        <v>1</v>
      </c>
      <c r="I12" s="9">
        <v>1001</v>
      </c>
      <c r="J12" s="10">
        <v>18</v>
      </c>
      <c r="K12" s="10" t="s">
        <v>63</v>
      </c>
      <c r="L12" s="10"/>
      <c r="M12" s="10" t="s">
        <v>64</v>
      </c>
      <c r="N12" s="10" t="s">
        <v>65</v>
      </c>
      <c r="O12" s="10"/>
      <c r="P12" s="10" t="s">
        <v>47</v>
      </c>
      <c r="Q12" s="11" t="s">
        <v>40</v>
      </c>
      <c r="R12" s="10" t="b">
        <v>1</v>
      </c>
      <c r="S12" s="10">
        <v>4</v>
      </c>
      <c r="T12" s="10" t="s">
        <v>36</v>
      </c>
      <c r="U12" s="10"/>
      <c r="V12" s="10"/>
      <c r="W12" s="10"/>
      <c r="X12" s="10"/>
      <c r="Y12" s="10"/>
      <c r="Z12" s="10" t="s">
        <v>48</v>
      </c>
      <c r="AA12" s="10" t="s">
        <v>49</v>
      </c>
      <c r="AB12" s="10" t="s">
        <v>50</v>
      </c>
      <c r="AC12" s="10"/>
      <c r="AD12" s="10"/>
      <c r="AE12" s="10"/>
      <c r="AF12" s="10">
        <v>5</v>
      </c>
    </row>
    <row r="13" spans="2:32" x14ac:dyDescent="0.25">
      <c r="B13" s="4">
        <f>(ROW(tDICT[[#This Row],[Table Name]])-ROW(tDICT[[#Headers],[Table Name]]))*8</f>
        <v>72</v>
      </c>
      <c r="C13" s="5" t="str">
        <f>pTABLE</f>
        <v>dbo.tbl_D_COMPONENT</v>
      </c>
      <c r="D13" s="6"/>
      <c r="E13" s="7" t="str">
        <f ca="1">IFERROR(REPT("  ", tDICT[[#This Row],[LVL]]-1) &amp; tDICT[[#This Row],[Name]], tDICT[[#This Row],[Name]])</f>
        <v xml:space="preserve">          Monthly Contractual Salary</v>
      </c>
      <c r="F13" s="8">
        <f ca="1">IF(tDICT[Level Number]="",OFFSET(tDICT[[#This Row],[Level Number]],-1,0),tDICT[Level Number])</f>
        <v>6</v>
      </c>
      <c r="G1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TOTAL_MONTHLY_CONTRACTUAL_SALARY</v>
      </c>
      <c r="H13" s="8" t="str">
        <f ca="1">_xlfn.IFNA(VLOOKUP(tDICT[[#This Row],[Label]],tDICT[Parent Label],1,0)&gt;0,"Leaf")</f>
        <v>Leaf</v>
      </c>
      <c r="I13" s="9">
        <v>19</v>
      </c>
      <c r="J13" s="10">
        <v>1001</v>
      </c>
      <c r="K13" s="10" t="s">
        <v>66</v>
      </c>
      <c r="L13" s="10"/>
      <c r="M13" s="10" t="s">
        <v>67</v>
      </c>
      <c r="N13" s="10" t="s">
        <v>68</v>
      </c>
      <c r="O13" s="10"/>
      <c r="P13" s="10" t="s">
        <v>47</v>
      </c>
      <c r="Q13" s="11" t="s">
        <v>40</v>
      </c>
      <c r="R13" s="10" t="b">
        <v>1</v>
      </c>
      <c r="S13" s="10">
        <v>4</v>
      </c>
      <c r="T13" s="10" t="s">
        <v>36</v>
      </c>
      <c r="U13" s="10"/>
      <c r="V13" s="10"/>
      <c r="W13" s="10"/>
      <c r="X13" s="10"/>
      <c r="Y13" s="10"/>
      <c r="Z13" s="10" t="s">
        <v>48</v>
      </c>
      <c r="AA13" s="10" t="s">
        <v>49</v>
      </c>
      <c r="AB13" s="10" t="s">
        <v>50</v>
      </c>
      <c r="AC13" s="10"/>
      <c r="AD13" s="10"/>
      <c r="AE13" s="10"/>
      <c r="AF13" s="10">
        <v>6</v>
      </c>
    </row>
    <row r="14" spans="2:32" x14ac:dyDescent="0.25">
      <c r="B14" s="4">
        <f>(ROW(tDICT[[#This Row],[Table Name]])-ROW(tDICT[[#Headers],[Table Name]]))*8</f>
        <v>80</v>
      </c>
      <c r="C14" s="5" t="str">
        <f>pTABLE</f>
        <v>dbo.tbl_D_COMPONENT</v>
      </c>
      <c r="D14" s="6"/>
      <c r="E14" s="7" t="str">
        <f ca="1">IFERROR(REPT("  ", tDICT[[#This Row],[LVL]]-1) &amp; tDICT[[#This Row],[Name]], tDICT[[#This Row],[Name]])</f>
        <v xml:space="preserve">        Monthly Northern Top Up</v>
      </c>
      <c r="F14" s="8">
        <f ca="1">IF(tDICT[Level Number]="",OFFSET(tDICT[[#This Row],[Level Number]],-1,0),tDICT[Level Number])</f>
        <v>5</v>
      </c>
      <c r="G1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4" s="8" t="str">
        <f ca="1">_xlfn.IFNA(VLOOKUP(tDICT[[#This Row],[Label]],tDICT[Parent Label],1,0)&gt;0,"Leaf")</f>
        <v>Leaf</v>
      </c>
      <c r="I14" s="9">
        <v>27</v>
      </c>
      <c r="J14" s="10">
        <v>18</v>
      </c>
      <c r="K14" s="10" t="s">
        <v>69</v>
      </c>
      <c r="L14" s="10"/>
      <c r="M14" s="10" t="s">
        <v>70</v>
      </c>
      <c r="N14" s="10" t="s">
        <v>71</v>
      </c>
      <c r="O14" s="10"/>
      <c r="P14" s="10" t="s">
        <v>47</v>
      </c>
      <c r="Q14" s="11" t="s">
        <v>40</v>
      </c>
      <c r="R14" s="10" t="b">
        <v>1</v>
      </c>
      <c r="S14" s="10">
        <v>4</v>
      </c>
      <c r="T14" s="10" t="s">
        <v>72</v>
      </c>
      <c r="U14" s="10"/>
      <c r="V14" s="10"/>
      <c r="W14" s="10"/>
      <c r="X14" s="10"/>
      <c r="Y14" s="10"/>
      <c r="Z14" s="10" t="s">
        <v>48</v>
      </c>
      <c r="AA14" s="10" t="s">
        <v>49</v>
      </c>
      <c r="AB14" s="10" t="s">
        <v>50</v>
      </c>
      <c r="AC14" s="10"/>
      <c r="AD14" s="10"/>
      <c r="AE14" s="10"/>
      <c r="AF14" s="10">
        <v>5</v>
      </c>
    </row>
    <row r="15" spans="2:32" x14ac:dyDescent="0.25">
      <c r="B15" s="4">
        <f>(ROW(tDICT[[#This Row],[Table Name]])-ROW(tDICT[[#Headers],[Table Name]]))*8</f>
        <v>88</v>
      </c>
      <c r="C15" s="5" t="str">
        <f>pTABLE</f>
        <v>dbo.tbl_D_COMPONENT</v>
      </c>
      <c r="D15" s="6"/>
      <c r="E15" s="7" t="str">
        <f ca="1">IFERROR(REPT("  ", tDICT[[#This Row],[LVL]]-1) &amp; tDICT[[#This Row],[Name]], tDICT[[#This Row],[Name]])</f>
        <v xml:space="preserve">        Monthly Regional Top Up</v>
      </c>
      <c r="F15" s="8">
        <f ca="1">IF(tDICT[Level Number]="",OFFSET(tDICT[[#This Row],[Level Number]],-1,0),tDICT[Level Number])</f>
        <v>5</v>
      </c>
      <c r="G1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5" s="8" t="str">
        <f ca="1">_xlfn.IFNA(VLOOKUP(tDICT[[#This Row],[Label]],tDICT[Parent Label],1,0)&gt;0,"Leaf")</f>
        <v>Leaf</v>
      </c>
      <c r="I15" s="9">
        <v>28</v>
      </c>
      <c r="J15" s="10">
        <v>18</v>
      </c>
      <c r="K15" s="10" t="s">
        <v>73</v>
      </c>
      <c r="L15" s="10"/>
      <c r="M15" s="10" t="s">
        <v>74</v>
      </c>
      <c r="N15" s="10" t="s">
        <v>75</v>
      </c>
      <c r="O15" s="10"/>
      <c r="P15" s="10" t="s">
        <v>47</v>
      </c>
      <c r="Q15" s="11" t="s">
        <v>40</v>
      </c>
      <c r="R15" s="10" t="b">
        <v>1</v>
      </c>
      <c r="S15" s="10">
        <v>4</v>
      </c>
      <c r="T15" s="10" t="s">
        <v>76</v>
      </c>
      <c r="U15" s="10"/>
      <c r="V15" s="10"/>
      <c r="W15" s="10"/>
      <c r="X15" s="10"/>
      <c r="Y15" s="10"/>
      <c r="Z15" s="10" t="s">
        <v>48</v>
      </c>
      <c r="AA15" s="10" t="s">
        <v>49</v>
      </c>
      <c r="AB15" s="10" t="s">
        <v>50</v>
      </c>
      <c r="AC15" s="10"/>
      <c r="AD15" s="10"/>
      <c r="AE15" s="10"/>
      <c r="AF15" s="10">
        <v>5</v>
      </c>
    </row>
    <row r="16" spans="2:32" x14ac:dyDescent="0.25">
      <c r="B16" s="4">
        <f>(ROW(tDICT[[#This Row],[Table Name]])-ROW(tDICT[[#Headers],[Table Name]]))*8</f>
        <v>96</v>
      </c>
      <c r="C16" s="5" t="str">
        <f>pTABLE</f>
        <v>dbo.tbl_D_COMPONENT</v>
      </c>
      <c r="D16" s="6"/>
      <c r="E16" s="7" t="str">
        <f ca="1">IFERROR(REPT("  ", tDICT[[#This Row],[LVL]]-1) &amp; tDICT[[#This Row],[Name]], tDICT[[#This Row],[Name]])</f>
        <v xml:space="preserve">        Total Monthly Salary Top Up</v>
      </c>
      <c r="F16" s="8">
        <f ca="1">IF(tDICT[Level Number]="",OFFSET(tDICT[[#This Row],[Level Number]],-1,0),tDICT[Level Number])</f>
        <v>5</v>
      </c>
      <c r="G1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6" s="8" t="b">
        <f ca="1">_xlfn.IFNA(VLOOKUP(tDICT[[#This Row],[Label]],tDICT[Parent Label],1,0)&gt;0,"Leaf")</f>
        <v>1</v>
      </c>
      <c r="I16" s="9">
        <v>1002</v>
      </c>
      <c r="J16" s="10">
        <v>18</v>
      </c>
      <c r="K16" s="10" t="s">
        <v>77</v>
      </c>
      <c r="L16" s="10"/>
      <c r="M16" s="10" t="s">
        <v>78</v>
      </c>
      <c r="N16" s="10" t="s">
        <v>79</v>
      </c>
      <c r="O16" s="10"/>
      <c r="P16" s="10" t="s">
        <v>47</v>
      </c>
      <c r="Q16" s="11" t="s">
        <v>40</v>
      </c>
      <c r="R16" s="10" t="b">
        <v>1</v>
      </c>
      <c r="S16" s="10">
        <v>4</v>
      </c>
      <c r="T16" s="10" t="s">
        <v>36</v>
      </c>
      <c r="U16" s="10"/>
      <c r="V16" s="10"/>
      <c r="W16" s="10"/>
      <c r="X16" s="10"/>
      <c r="Y16" s="10"/>
      <c r="Z16" s="10" t="s">
        <v>48</v>
      </c>
      <c r="AA16" s="10" t="s">
        <v>49</v>
      </c>
      <c r="AB16" s="10" t="s">
        <v>50</v>
      </c>
      <c r="AC16" s="10"/>
      <c r="AD16" s="10"/>
      <c r="AE16" s="10"/>
      <c r="AF16" s="10">
        <v>5</v>
      </c>
    </row>
    <row r="17" spans="2:32" x14ac:dyDescent="0.25">
      <c r="B17" s="4">
        <f>(ROW(tDICT[[#This Row],[Table Name]])-ROW(tDICT[[#Headers],[Table Name]]))*8</f>
        <v>104</v>
      </c>
      <c r="C17" s="5" t="str">
        <f>pTABLE</f>
        <v>dbo.tbl_D_COMPONENT</v>
      </c>
      <c r="D17" s="6"/>
      <c r="E17" s="7" t="str">
        <f ca="1">IFERROR(REPT("  ", tDICT[[#This Row],[LVL]]-1) &amp; tDICT[[#This Row],[Name]], tDICT[[#This Row],[Name]])</f>
        <v xml:space="preserve">          Monthly Salary Top up</v>
      </c>
      <c r="F17" s="8">
        <f ca="1">IF(tDICT[Level Number]="",OFFSET(tDICT[[#This Row],[Level Number]],-1,0),tDICT[Level Number])</f>
        <v>6</v>
      </c>
      <c r="G1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TOTAL_MONTHLY_SALARY_TOP_UP</v>
      </c>
      <c r="H17" s="8" t="b">
        <f ca="1">_xlfn.IFNA(VLOOKUP(tDICT[[#This Row],[Label]],tDICT[Parent Label],1,0)&gt;0,"Leaf")</f>
        <v>1</v>
      </c>
      <c r="I17" s="9">
        <v>21</v>
      </c>
      <c r="J17" s="10">
        <v>1002</v>
      </c>
      <c r="K17" s="10" t="s">
        <v>80</v>
      </c>
      <c r="L17" s="10"/>
      <c r="M17" s="10" t="s">
        <v>81</v>
      </c>
      <c r="N17" s="10" t="s">
        <v>82</v>
      </c>
      <c r="O17" s="10"/>
      <c r="P17" s="10" t="s">
        <v>47</v>
      </c>
      <c r="Q17" s="11" t="s">
        <v>40</v>
      </c>
      <c r="R17" s="10" t="b">
        <v>1</v>
      </c>
      <c r="S17" s="10">
        <v>4</v>
      </c>
      <c r="T17" s="10" t="s">
        <v>36</v>
      </c>
      <c r="U17" s="10"/>
      <c r="V17" s="10"/>
      <c r="W17" s="10"/>
      <c r="X17" s="10"/>
      <c r="Y17" s="10"/>
      <c r="Z17" s="10" t="s">
        <v>48</v>
      </c>
      <c r="AA17" s="10" t="s">
        <v>49</v>
      </c>
      <c r="AB17" s="10" t="s">
        <v>50</v>
      </c>
      <c r="AC17" s="10"/>
      <c r="AD17" s="10"/>
      <c r="AE17" s="10"/>
      <c r="AF17" s="10">
        <v>6</v>
      </c>
    </row>
    <row r="18" spans="2:32" x14ac:dyDescent="0.25">
      <c r="B18" s="4">
        <f>(ROW(tDICT[[#This Row],[Table Name]])-ROW(tDICT[[#Headers],[Table Name]]))*8</f>
        <v>112</v>
      </c>
      <c r="C18" s="5" t="str">
        <f>pTABLE</f>
        <v>dbo.tbl_D_COMPONENT</v>
      </c>
      <c r="D18" s="6"/>
      <c r="E18" s="7" t="str">
        <f ca="1">IFERROR(REPT("  ", tDICT[[#This Row],[LVL]]-1) &amp; tDICT[[#This Row],[Name]], tDICT[[#This Row],[Name]])</f>
        <v xml:space="preserve">            Monthly Top Up</v>
      </c>
      <c r="F18" s="8">
        <f ca="1">IF(tDICT[Level Number]="",OFFSET(tDICT[[#This Row],[Level Number]],-1,0),tDICT[Level Number])</f>
        <v>7</v>
      </c>
      <c r="G1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18" s="8" t="str">
        <f ca="1">_xlfn.IFNA(VLOOKUP(tDICT[[#This Row],[Label]],tDICT[Parent Label],1,0)&gt;0,"Leaf")</f>
        <v>Leaf</v>
      </c>
      <c r="I18" s="9">
        <v>205</v>
      </c>
      <c r="J18" s="10">
        <v>21</v>
      </c>
      <c r="K18" s="10" t="s">
        <v>83</v>
      </c>
      <c r="L18" s="10"/>
      <c r="M18" s="10" t="s">
        <v>84</v>
      </c>
      <c r="N18" s="10" t="s">
        <v>85</v>
      </c>
      <c r="O18" s="10" t="s">
        <v>86</v>
      </c>
      <c r="P18" s="10" t="s">
        <v>87</v>
      </c>
      <c r="Q18" s="11" t="s">
        <v>40</v>
      </c>
      <c r="R18" s="10" t="b">
        <v>1</v>
      </c>
      <c r="S18" s="10">
        <v>4</v>
      </c>
      <c r="T18" s="10" t="s">
        <v>36</v>
      </c>
      <c r="U18" s="10"/>
      <c r="V18" s="10"/>
      <c r="W18" s="10"/>
      <c r="X18" s="10"/>
      <c r="Y18" s="10"/>
      <c r="Z18" s="10" t="s">
        <v>48</v>
      </c>
      <c r="AA18" s="10" t="s">
        <v>49</v>
      </c>
      <c r="AB18" s="10" t="s">
        <v>50</v>
      </c>
      <c r="AC18" s="10"/>
      <c r="AD18" s="10"/>
      <c r="AE18" s="10"/>
      <c r="AF18" s="10">
        <v>7</v>
      </c>
    </row>
    <row r="19" spans="2:32" x14ac:dyDescent="0.25">
      <c r="B19" s="4">
        <f>(ROW(tDICT[[#This Row],[Table Name]])-ROW(tDICT[[#Headers],[Table Name]]))*8</f>
        <v>120</v>
      </c>
      <c r="C19" s="5" t="str">
        <f>pTABLE</f>
        <v>dbo.tbl_D_COMPONENT</v>
      </c>
      <c r="D19" s="6"/>
      <c r="E19" s="7" t="str">
        <f ca="1">IFERROR(REPT("  ", tDICT[[#This Row],[LVL]]-1) &amp; tDICT[[#This Row],[Name]], tDICT[[#This Row],[Name]])</f>
        <v xml:space="preserve">            Monthly Top Up (%)</v>
      </c>
      <c r="F19" s="8">
        <f ca="1">IF(tDICT[Level Number]="",OFFSET(tDICT[[#This Row],[Level Number]],-1,0),tDICT[Level Number])</f>
        <v>7</v>
      </c>
      <c r="G1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19" s="8" t="str">
        <f ca="1">_xlfn.IFNA(VLOOKUP(tDICT[[#This Row],[Label]],tDICT[Parent Label],1,0)&gt;0,"Leaf")</f>
        <v>Leaf</v>
      </c>
      <c r="I19" s="9">
        <v>206</v>
      </c>
      <c r="J19" s="10">
        <v>21</v>
      </c>
      <c r="K19" s="10" t="s">
        <v>88</v>
      </c>
      <c r="L19" s="10"/>
      <c r="M19" s="10" t="s">
        <v>89</v>
      </c>
      <c r="N19" s="10" t="s">
        <v>90</v>
      </c>
      <c r="O19" s="10" t="s">
        <v>91</v>
      </c>
      <c r="P19" s="10" t="s">
        <v>87</v>
      </c>
      <c r="Q19" s="11" t="s">
        <v>40</v>
      </c>
      <c r="R19" s="10" t="b">
        <v>1</v>
      </c>
      <c r="S19" s="10">
        <v>4</v>
      </c>
      <c r="T19" s="10" t="s">
        <v>36</v>
      </c>
      <c r="U19" s="10"/>
      <c r="V19" s="10"/>
      <c r="W19" s="10"/>
      <c r="X19" s="10"/>
      <c r="Y19" s="10"/>
      <c r="Z19" s="10" t="s">
        <v>48</v>
      </c>
      <c r="AA19" s="10" t="s">
        <v>49</v>
      </c>
      <c r="AB19" s="10" t="s">
        <v>50</v>
      </c>
      <c r="AC19" s="10"/>
      <c r="AD19" s="10"/>
      <c r="AE19" s="10"/>
      <c r="AF19" s="10">
        <v>7</v>
      </c>
    </row>
    <row r="20" spans="2:32" x14ac:dyDescent="0.25">
      <c r="B20" s="4">
        <f>(ROW(tDICT[[#This Row],[Table Name]])-ROW(tDICT[[#Headers],[Table Name]]))*8</f>
        <v>128</v>
      </c>
      <c r="C20" s="5" t="str">
        <f>pTABLE</f>
        <v>dbo.tbl_D_COMPONENT</v>
      </c>
      <c r="D20" s="6"/>
      <c r="E20" s="7" t="str">
        <f ca="1">IFERROR(REPT("  ", tDICT[[#This Row],[LVL]]-1) &amp; tDICT[[#This Row],[Name]], tDICT[[#This Row],[Name]])</f>
        <v xml:space="preserve">            Monthly Surcharge</v>
      </c>
      <c r="F20" s="8">
        <f ca="1">IF(tDICT[Level Number]="",OFFSET(tDICT[[#This Row],[Level Number]],-1,0),tDICT[Level Number])</f>
        <v>7</v>
      </c>
      <c r="G2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20" s="8" t="str">
        <f ca="1">_xlfn.IFNA(VLOOKUP(tDICT[[#This Row],[Label]],tDICT[Parent Label],1,0)&gt;0,"Leaf")</f>
        <v>Leaf</v>
      </c>
      <c r="I20" s="9">
        <v>207</v>
      </c>
      <c r="J20" s="10">
        <v>21</v>
      </c>
      <c r="K20" s="10" t="s">
        <v>92</v>
      </c>
      <c r="L20" s="10"/>
      <c r="M20" s="10" t="s">
        <v>93</v>
      </c>
      <c r="N20" s="10" t="s">
        <v>94</v>
      </c>
      <c r="O20" s="10" t="s">
        <v>95</v>
      </c>
      <c r="P20" s="10" t="s">
        <v>87</v>
      </c>
      <c r="Q20" s="11" t="s">
        <v>40</v>
      </c>
      <c r="R20" s="10" t="b">
        <v>1</v>
      </c>
      <c r="S20" s="10">
        <v>4</v>
      </c>
      <c r="T20" s="10" t="s">
        <v>36</v>
      </c>
      <c r="U20" s="10"/>
      <c r="V20" s="10"/>
      <c r="W20" s="10"/>
      <c r="X20" s="10"/>
      <c r="Y20" s="10"/>
      <c r="Z20" s="10" t="s">
        <v>48</v>
      </c>
      <c r="AA20" s="10" t="s">
        <v>49</v>
      </c>
      <c r="AB20" s="10" t="s">
        <v>50</v>
      </c>
      <c r="AC20" s="10"/>
      <c r="AD20" s="10"/>
      <c r="AE20" s="10"/>
      <c r="AF20" s="10">
        <v>7</v>
      </c>
    </row>
    <row r="21" spans="2:32" x14ac:dyDescent="0.25">
      <c r="B21" s="4">
        <f>(ROW(tDICT[[#This Row],[Table Name]])-ROW(tDICT[[#Headers],[Table Name]]))*8</f>
        <v>136</v>
      </c>
      <c r="C21" s="5" t="str">
        <f>pTABLE</f>
        <v>dbo.tbl_D_COMPONENT</v>
      </c>
      <c r="D21" s="6"/>
      <c r="E21" s="7" t="str">
        <f ca="1">IFERROR(REPT("  ", tDICT[[#This Row],[LVL]]-1) &amp; tDICT[[#This Row],[Name]], tDICT[[#This Row],[Name]])</f>
        <v xml:space="preserve">            Combining Surcharge</v>
      </c>
      <c r="F21" s="8">
        <f ca="1">IF(tDICT[Level Number]="",OFFSET(tDICT[[#This Row],[Level Number]],-1,0),tDICT[Level Number])</f>
        <v>7</v>
      </c>
      <c r="G2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21" s="8" t="str">
        <f ca="1">_xlfn.IFNA(VLOOKUP(tDICT[[#This Row],[Label]],tDICT[Parent Label],1,0)&gt;0,"Leaf")</f>
        <v>Leaf</v>
      </c>
      <c r="I21" s="9">
        <v>208</v>
      </c>
      <c r="J21" s="10">
        <v>21</v>
      </c>
      <c r="K21" s="10" t="s">
        <v>96</v>
      </c>
      <c r="L21" s="10"/>
      <c r="M21" s="10" t="s">
        <v>97</v>
      </c>
      <c r="N21" s="10" t="s">
        <v>98</v>
      </c>
      <c r="O21" s="10" t="s">
        <v>99</v>
      </c>
      <c r="P21" s="10" t="s">
        <v>87</v>
      </c>
      <c r="Q21" s="11" t="s">
        <v>40</v>
      </c>
      <c r="R21" s="10" t="b">
        <v>1</v>
      </c>
      <c r="S21" s="10">
        <v>4</v>
      </c>
      <c r="T21" s="10" t="s">
        <v>36</v>
      </c>
      <c r="U21" s="10"/>
      <c r="V21" s="10"/>
      <c r="W21" s="10"/>
      <c r="X21" s="10"/>
      <c r="Y21" s="10"/>
      <c r="Z21" s="10" t="s">
        <v>48</v>
      </c>
      <c r="AA21" s="10" t="s">
        <v>49</v>
      </c>
      <c r="AB21" s="10" t="s">
        <v>50</v>
      </c>
      <c r="AC21" s="10"/>
      <c r="AD21" s="10"/>
      <c r="AE21" s="10"/>
      <c r="AF21" s="10">
        <v>7</v>
      </c>
    </row>
    <row r="22" spans="2:32" x14ac:dyDescent="0.25">
      <c r="B22" s="4">
        <f>(ROW(tDICT[[#This Row],[Table Name]])-ROW(tDICT[[#Headers],[Table Name]]))*8</f>
        <v>144</v>
      </c>
      <c r="C22" s="5" t="str">
        <f>pTABLE</f>
        <v>dbo.tbl_D_COMPONENT</v>
      </c>
      <c r="D22" s="6"/>
      <c r="E22" s="7" t="str">
        <f ca="1">IFERROR(REPT("  ", tDICT[[#This Row],[LVL]]-1) &amp; tDICT[[#This Row],[Name]], tDICT[[#This Row],[Name]])</f>
        <v xml:space="preserve">            Surcharge (%)</v>
      </c>
      <c r="F22" s="8">
        <f ca="1">IF(tDICT[Level Number]="",OFFSET(tDICT[[#This Row],[Level Number]],-1,0),tDICT[Level Number])</f>
        <v>7</v>
      </c>
      <c r="G2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22" s="8" t="str">
        <f ca="1">_xlfn.IFNA(VLOOKUP(tDICT[[#This Row],[Label]],tDICT[Parent Label],1,0)&gt;0,"Leaf")</f>
        <v>Leaf</v>
      </c>
      <c r="I22" s="9">
        <v>209</v>
      </c>
      <c r="J22" s="10">
        <v>21</v>
      </c>
      <c r="K22" s="10" t="s">
        <v>100</v>
      </c>
      <c r="L22" s="10"/>
      <c r="M22" s="10" t="s">
        <v>101</v>
      </c>
      <c r="N22" s="10" t="s">
        <v>102</v>
      </c>
      <c r="O22" s="10" t="s">
        <v>103</v>
      </c>
      <c r="P22" s="10" t="s">
        <v>87</v>
      </c>
      <c r="Q22" s="11" t="s">
        <v>40</v>
      </c>
      <c r="R22" s="10" t="b">
        <v>1</v>
      </c>
      <c r="S22" s="10">
        <v>4</v>
      </c>
      <c r="T22" s="10" t="s">
        <v>36</v>
      </c>
      <c r="U22" s="10"/>
      <c r="V22" s="10"/>
      <c r="W22" s="10"/>
      <c r="X22" s="10"/>
      <c r="Y22" s="10"/>
      <c r="Z22" s="10" t="s">
        <v>48</v>
      </c>
      <c r="AA22" s="10" t="s">
        <v>49</v>
      </c>
      <c r="AB22" s="10" t="s">
        <v>50</v>
      </c>
      <c r="AC22" s="10"/>
      <c r="AD22" s="10"/>
      <c r="AE22" s="10"/>
      <c r="AF22" s="10">
        <v>7</v>
      </c>
    </row>
    <row r="23" spans="2:32" x14ac:dyDescent="0.25">
      <c r="B23" s="4">
        <f>(ROW(tDICT[[#This Row],[Table Name]])-ROW(tDICT[[#Headers],[Table Name]]))*8</f>
        <v>152</v>
      </c>
      <c r="C23" s="5" t="str">
        <f>pTABLE</f>
        <v>dbo.tbl_D_COMPONENT</v>
      </c>
      <c r="D23" s="6"/>
      <c r="E23" s="7" t="str">
        <f ca="1">IFERROR(REPT("  ", tDICT[[#This Row],[LVL]]-1) &amp; tDICT[[#This Row],[Name]], tDICT[[#This Row],[Name]])</f>
        <v xml:space="preserve">            Performance Surcharge</v>
      </c>
      <c r="F23" s="8">
        <f ca="1">IF(tDICT[Level Number]="",OFFSET(tDICT[[#This Row],[Level Number]],-1,0),tDICT[Level Number])</f>
        <v>7</v>
      </c>
      <c r="G2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23" s="8" t="str">
        <f ca="1">_xlfn.IFNA(VLOOKUP(tDICT[[#This Row],[Label]],tDICT[Parent Label],1,0)&gt;0,"Leaf")</f>
        <v>Leaf</v>
      </c>
      <c r="I23" s="9">
        <v>210</v>
      </c>
      <c r="J23" s="10">
        <v>21</v>
      </c>
      <c r="K23" s="10" t="s">
        <v>104</v>
      </c>
      <c r="L23" s="10"/>
      <c r="M23" s="10" t="s">
        <v>105</v>
      </c>
      <c r="N23" s="10" t="s">
        <v>106</v>
      </c>
      <c r="O23" s="10" t="s">
        <v>107</v>
      </c>
      <c r="P23" s="10" t="s">
        <v>87</v>
      </c>
      <c r="Q23" s="11" t="s">
        <v>40</v>
      </c>
      <c r="R23" s="10" t="b">
        <v>1</v>
      </c>
      <c r="S23" s="10">
        <v>4</v>
      </c>
      <c r="T23" s="10" t="s">
        <v>36</v>
      </c>
      <c r="U23" s="10"/>
      <c r="V23" s="10"/>
      <c r="W23" s="10"/>
      <c r="X23" s="10"/>
      <c r="Y23" s="10"/>
      <c r="Z23" s="10" t="s">
        <v>48</v>
      </c>
      <c r="AA23" s="10" t="s">
        <v>49</v>
      </c>
      <c r="AB23" s="10" t="s">
        <v>50</v>
      </c>
      <c r="AC23" s="10"/>
      <c r="AD23" s="10"/>
      <c r="AE23" s="10"/>
      <c r="AF23" s="10">
        <v>7</v>
      </c>
    </row>
    <row r="24" spans="2:32" x14ac:dyDescent="0.25">
      <c r="B24" s="4">
        <f>(ROW(tDICT[[#This Row],[Table Name]])-ROW(tDICT[[#Headers],[Table Name]]))*8</f>
        <v>160</v>
      </c>
      <c r="C24" s="5" t="str">
        <f>pTABLE</f>
        <v>dbo.tbl_D_COMPONENT</v>
      </c>
      <c r="D24" s="6"/>
      <c r="E24" s="7" t="str">
        <f ca="1">IFERROR(REPT("  ", tDICT[[#This Row],[LVL]]-1) &amp; tDICT[[#This Row],[Name]], tDICT[[#This Row],[Name]])</f>
        <v xml:space="preserve">            Performance Surcharge (%)</v>
      </c>
      <c r="F24" s="8">
        <f ca="1">IF(tDICT[Level Number]="",OFFSET(tDICT[[#This Row],[Level Number]],-1,0),tDICT[Level Number])</f>
        <v>7</v>
      </c>
      <c r="G2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24" s="8" t="str">
        <f ca="1">_xlfn.IFNA(VLOOKUP(tDICT[[#This Row],[Label]],tDICT[Parent Label],1,0)&gt;0,"Leaf")</f>
        <v>Leaf</v>
      </c>
      <c r="I24" s="9">
        <v>211</v>
      </c>
      <c r="J24" s="10">
        <v>21</v>
      </c>
      <c r="K24" s="10" t="s">
        <v>108</v>
      </c>
      <c r="L24" s="10"/>
      <c r="M24" s="10" t="s">
        <v>109</v>
      </c>
      <c r="N24" s="10" t="s">
        <v>110</v>
      </c>
      <c r="O24" s="10" t="s">
        <v>111</v>
      </c>
      <c r="P24" s="10" t="s">
        <v>87</v>
      </c>
      <c r="Q24" s="11" t="s">
        <v>40</v>
      </c>
      <c r="R24" s="10" t="b">
        <v>1</v>
      </c>
      <c r="S24" s="10">
        <v>4</v>
      </c>
      <c r="T24" s="10" t="s">
        <v>36</v>
      </c>
      <c r="U24" s="10"/>
      <c r="V24" s="10"/>
      <c r="W24" s="10"/>
      <c r="X24" s="10"/>
      <c r="Y24" s="10"/>
      <c r="Z24" s="10" t="s">
        <v>48</v>
      </c>
      <c r="AA24" s="10" t="s">
        <v>49</v>
      </c>
      <c r="AB24" s="10" t="s">
        <v>50</v>
      </c>
      <c r="AC24" s="10"/>
      <c r="AD24" s="10"/>
      <c r="AE24" s="10"/>
      <c r="AF24" s="10">
        <v>7</v>
      </c>
    </row>
    <row r="25" spans="2:32" x14ac:dyDescent="0.25">
      <c r="B25" s="4">
        <f>(ROW(tDICT[[#This Row],[Table Name]])-ROW(tDICT[[#Headers],[Table Name]]))*8</f>
        <v>168</v>
      </c>
      <c r="C25" s="5" t="str">
        <f>pTABLE</f>
        <v>dbo.tbl_D_COMPONENT</v>
      </c>
      <c r="D25" s="6"/>
      <c r="E25" s="7" t="str">
        <f ca="1">IFERROR(REPT("  ", tDICT[[#This Row],[LVL]]-1) &amp; tDICT[[#This Row],[Name]], tDICT[[#This Row],[Name]])</f>
        <v xml:space="preserve">            Admission to State secret Top Up</v>
      </c>
      <c r="F25" s="8">
        <f ca="1">IF(tDICT[Level Number]="",OFFSET(tDICT[[#This Row],[Level Number]],-1,0),tDICT[Level Number])</f>
        <v>7</v>
      </c>
      <c r="G2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25" s="8" t="str">
        <f ca="1">_xlfn.IFNA(VLOOKUP(tDICT[[#This Row],[Label]],tDICT[Parent Label],1,0)&gt;0,"Leaf")</f>
        <v>Leaf</v>
      </c>
      <c r="I25" s="9">
        <v>212</v>
      </c>
      <c r="J25" s="10">
        <v>21</v>
      </c>
      <c r="K25" s="10" t="s">
        <v>112</v>
      </c>
      <c r="L25" s="10"/>
      <c r="M25" s="10" t="s">
        <v>113</v>
      </c>
      <c r="N25" s="10" t="s">
        <v>114</v>
      </c>
      <c r="O25" s="10" t="s">
        <v>115</v>
      </c>
      <c r="P25" s="10" t="s">
        <v>87</v>
      </c>
      <c r="Q25" s="11" t="s">
        <v>40</v>
      </c>
      <c r="R25" s="10" t="b">
        <v>1</v>
      </c>
      <c r="S25" s="10">
        <v>4</v>
      </c>
      <c r="T25" s="10" t="s">
        <v>36</v>
      </c>
      <c r="U25" s="10"/>
      <c r="V25" s="10"/>
      <c r="W25" s="10"/>
      <c r="X25" s="10"/>
      <c r="Y25" s="10"/>
      <c r="Z25" s="10" t="s">
        <v>48</v>
      </c>
      <c r="AA25" s="10" t="s">
        <v>49</v>
      </c>
      <c r="AB25" s="10" t="s">
        <v>50</v>
      </c>
      <c r="AC25" s="10"/>
      <c r="AD25" s="10"/>
      <c r="AE25" s="10"/>
      <c r="AF25" s="10">
        <v>7</v>
      </c>
    </row>
    <row r="26" spans="2:32" x14ac:dyDescent="0.25">
      <c r="B26" s="4">
        <f>(ROW(tDICT[[#This Row],[Table Name]])-ROW(tDICT[[#Headers],[Table Name]]))*8</f>
        <v>176</v>
      </c>
      <c r="C26" s="5" t="str">
        <f>pTABLE</f>
        <v>dbo.tbl_D_COMPONENT</v>
      </c>
      <c r="D26" s="6"/>
      <c r="E26" s="7" t="str">
        <f ca="1">IFERROR(REPT("  ", tDICT[[#This Row],[LVL]]-1) &amp; tDICT[[#This Row],[Name]], tDICT[[#This Row],[Name]])</f>
        <v xml:space="preserve">            Experience Top Up</v>
      </c>
      <c r="F26" s="8">
        <f ca="1">IF(tDICT[Level Number]="",OFFSET(tDICT[[#This Row],[Level Number]],-1,0),tDICT[Level Number])</f>
        <v>7</v>
      </c>
      <c r="G2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26" s="8" t="str">
        <f ca="1">_xlfn.IFNA(VLOOKUP(tDICT[[#This Row],[Label]],tDICT[Parent Label],1,0)&gt;0,"Leaf")</f>
        <v>Leaf</v>
      </c>
      <c r="I26" s="9">
        <v>213</v>
      </c>
      <c r="J26" s="10">
        <v>21</v>
      </c>
      <c r="K26" s="10" t="s">
        <v>116</v>
      </c>
      <c r="L26" s="10"/>
      <c r="M26" s="10" t="s">
        <v>117</v>
      </c>
      <c r="N26" s="10" t="s">
        <v>118</v>
      </c>
      <c r="O26" s="10" t="s">
        <v>119</v>
      </c>
      <c r="P26" s="10" t="s">
        <v>87</v>
      </c>
      <c r="Q26" s="11" t="s">
        <v>40</v>
      </c>
      <c r="R26" s="10" t="b">
        <v>1</v>
      </c>
      <c r="S26" s="10">
        <v>4</v>
      </c>
      <c r="T26" s="10" t="s">
        <v>36</v>
      </c>
      <c r="U26" s="10"/>
      <c r="V26" s="10"/>
      <c r="W26" s="10"/>
      <c r="X26" s="10"/>
      <c r="Y26" s="10"/>
      <c r="Z26" s="10" t="s">
        <v>48</v>
      </c>
      <c r="AA26" s="10" t="s">
        <v>49</v>
      </c>
      <c r="AB26" s="10" t="s">
        <v>50</v>
      </c>
      <c r="AC26" s="10"/>
      <c r="AD26" s="10"/>
      <c r="AE26" s="10"/>
      <c r="AF26" s="10">
        <v>7</v>
      </c>
    </row>
    <row r="27" spans="2:32" x14ac:dyDescent="0.25">
      <c r="B27" s="4">
        <f>(ROW(tDICT[[#This Row],[Table Name]])-ROW(tDICT[[#Headers],[Table Name]]))*8</f>
        <v>184</v>
      </c>
      <c r="C27" s="5" t="str">
        <f>pTABLE</f>
        <v>dbo.tbl_D_COMPONENT</v>
      </c>
      <c r="D27" s="6"/>
      <c r="E27" s="7" t="str">
        <f ca="1">IFERROR(REPT("  ", tDICT[[#This Row],[LVL]]-1) &amp; tDICT[[#This Row],[Name]], tDICT[[#This Row],[Name]])</f>
        <v xml:space="preserve">            Encryption Top Up</v>
      </c>
      <c r="F27" s="8">
        <f ca="1">IF(tDICT[Level Number]="",OFFSET(tDICT[[#This Row],[Level Number]],-1,0),tDICT[Level Number])</f>
        <v>7</v>
      </c>
      <c r="G2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27" s="8" t="str">
        <f ca="1">_xlfn.IFNA(VLOOKUP(tDICT[[#This Row],[Label]],tDICT[Parent Label],1,0)&gt;0,"Leaf")</f>
        <v>Leaf</v>
      </c>
      <c r="I27" s="9">
        <v>214</v>
      </c>
      <c r="J27" s="10">
        <v>21</v>
      </c>
      <c r="K27" s="10" t="s">
        <v>120</v>
      </c>
      <c r="L27" s="10"/>
      <c r="M27" s="10" t="s">
        <v>121</v>
      </c>
      <c r="N27" s="10" t="s">
        <v>122</v>
      </c>
      <c r="O27" s="10" t="s">
        <v>123</v>
      </c>
      <c r="P27" s="10" t="s">
        <v>87</v>
      </c>
      <c r="Q27" s="11" t="s">
        <v>40</v>
      </c>
      <c r="R27" s="10" t="b">
        <v>1</v>
      </c>
      <c r="S27" s="10">
        <v>4</v>
      </c>
      <c r="T27" s="10" t="s">
        <v>36</v>
      </c>
      <c r="U27" s="10"/>
      <c r="V27" s="10"/>
      <c r="W27" s="10"/>
      <c r="X27" s="10"/>
      <c r="Y27" s="10"/>
      <c r="Z27" s="10" t="s">
        <v>48</v>
      </c>
      <c r="AA27" s="10" t="s">
        <v>49</v>
      </c>
      <c r="AB27" s="10" t="s">
        <v>50</v>
      </c>
      <c r="AC27" s="10"/>
      <c r="AD27" s="10"/>
      <c r="AE27" s="10"/>
      <c r="AF27" s="10">
        <v>7</v>
      </c>
    </row>
    <row r="28" spans="2:32" x14ac:dyDescent="0.25">
      <c r="B28" s="4">
        <f>(ROW(tDICT[[#This Row],[Table Name]])-ROW(tDICT[[#Headers],[Table Name]]))*8</f>
        <v>192</v>
      </c>
      <c r="C28" s="5" t="str">
        <f>pTABLE</f>
        <v>dbo.tbl_D_COMPONENT</v>
      </c>
      <c r="D28" s="6"/>
      <c r="E28" s="7" t="str">
        <f ca="1">IFERROR(REPT("  ", tDICT[[#This Row],[LVL]]-1) &amp; tDICT[[#This Row],[Name]], tDICT[[#This Row],[Name]])</f>
        <v xml:space="preserve">            Personal Top Up</v>
      </c>
      <c r="F28" s="8">
        <f ca="1">IF(tDICT[Level Number]="",OFFSET(tDICT[[#This Row],[Level Number]],-1,0),tDICT[Level Number])</f>
        <v>7</v>
      </c>
      <c r="G2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28" s="8" t="str">
        <f ca="1">_xlfn.IFNA(VLOOKUP(tDICT[[#This Row],[Label]],tDICT[Parent Label],1,0)&gt;0,"Leaf")</f>
        <v>Leaf</v>
      </c>
      <c r="I28" s="9">
        <v>215</v>
      </c>
      <c r="J28" s="10">
        <v>21</v>
      </c>
      <c r="K28" s="10" t="s">
        <v>124</v>
      </c>
      <c r="L28" s="10"/>
      <c r="M28" s="10" t="s">
        <v>125</v>
      </c>
      <c r="N28" s="10" t="s">
        <v>126</v>
      </c>
      <c r="O28" s="10" t="s">
        <v>127</v>
      </c>
      <c r="P28" s="10" t="s">
        <v>87</v>
      </c>
      <c r="Q28" s="11" t="s">
        <v>40</v>
      </c>
      <c r="R28" s="10" t="b">
        <v>1</v>
      </c>
      <c r="S28" s="10">
        <v>4</v>
      </c>
      <c r="T28" s="10" t="s">
        <v>36</v>
      </c>
      <c r="U28" s="10"/>
      <c r="V28" s="10"/>
      <c r="W28" s="10"/>
      <c r="X28" s="10"/>
      <c r="Y28" s="10"/>
      <c r="Z28" s="10" t="s">
        <v>48</v>
      </c>
      <c r="AA28" s="10" t="s">
        <v>49</v>
      </c>
      <c r="AB28" s="10" t="s">
        <v>50</v>
      </c>
      <c r="AC28" s="10"/>
      <c r="AD28" s="10"/>
      <c r="AE28" s="10"/>
      <c r="AF28" s="10">
        <v>7</v>
      </c>
    </row>
    <row r="29" spans="2:32" x14ac:dyDescent="0.25">
      <c r="B29" s="4">
        <f>(ROW(tDICT[[#This Row],[Table Name]])-ROW(tDICT[[#Headers],[Table Name]]))*8</f>
        <v>200</v>
      </c>
      <c r="C29" s="5" t="str">
        <f>pTABLE</f>
        <v>dbo.tbl_D_COMPONENT</v>
      </c>
      <c r="D29" s="6"/>
      <c r="E29" s="7" t="str">
        <f ca="1">IFERROR(REPT("  ", tDICT[[#This Row],[LVL]]-1) &amp; tDICT[[#This Row],[Name]], tDICT[[#This Row],[Name]])</f>
        <v xml:space="preserve">            Personal Top Up (%)</v>
      </c>
      <c r="F29" s="8">
        <f ca="1">IF(tDICT[Level Number]="",OFFSET(tDICT[[#This Row],[Level Number]],-1,0),tDICT[Level Number])</f>
        <v>7</v>
      </c>
      <c r="G2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29" s="8" t="str">
        <f ca="1">_xlfn.IFNA(VLOOKUP(tDICT[[#This Row],[Label]],tDICT[Parent Label],1,0)&gt;0,"Leaf")</f>
        <v>Leaf</v>
      </c>
      <c r="I29" s="9">
        <v>216</v>
      </c>
      <c r="J29" s="10">
        <v>21</v>
      </c>
      <c r="K29" s="10" t="s">
        <v>128</v>
      </c>
      <c r="L29" s="10"/>
      <c r="M29" s="10" t="s">
        <v>129</v>
      </c>
      <c r="N29" s="10" t="s">
        <v>130</v>
      </c>
      <c r="O29" s="10" t="s">
        <v>131</v>
      </c>
      <c r="P29" s="10" t="s">
        <v>87</v>
      </c>
      <c r="Q29" s="11" t="s">
        <v>40</v>
      </c>
      <c r="R29" s="10" t="b">
        <v>1</v>
      </c>
      <c r="S29" s="10">
        <v>4</v>
      </c>
      <c r="T29" s="10" t="s">
        <v>36</v>
      </c>
      <c r="U29" s="10"/>
      <c r="V29" s="10"/>
      <c r="W29" s="10"/>
      <c r="X29" s="10"/>
      <c r="Y29" s="10"/>
      <c r="Z29" s="10" t="s">
        <v>48</v>
      </c>
      <c r="AA29" s="10" t="s">
        <v>49</v>
      </c>
      <c r="AB29" s="10" t="s">
        <v>50</v>
      </c>
      <c r="AC29" s="10"/>
      <c r="AD29" s="10"/>
      <c r="AE29" s="10"/>
      <c r="AF29" s="10">
        <v>7</v>
      </c>
    </row>
    <row r="30" spans="2:32" x14ac:dyDescent="0.25">
      <c r="B30" s="4">
        <f>(ROW(tDICT[[#This Row],[Table Name]])-ROW(tDICT[[#Headers],[Table Name]]))*8</f>
        <v>208</v>
      </c>
      <c r="C30" s="5" t="str">
        <f>pTABLE</f>
        <v>dbo.tbl_D_COMPONENT</v>
      </c>
      <c r="D30" s="6"/>
      <c r="E30" s="7" t="str">
        <f ca="1">IFERROR(REPT("  ", tDICT[[#This Row],[LVL]]-1) &amp; tDICT[[#This Row],[Name]], tDICT[[#This Row],[Name]])</f>
        <v xml:space="preserve">            Business Trip Top Up</v>
      </c>
      <c r="F30" s="8">
        <f ca="1">IF(tDICT[Level Number]="",OFFSET(tDICT[[#This Row],[Level Number]],-1,0),tDICT[Level Number])</f>
        <v>7</v>
      </c>
      <c r="G3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30" s="8" t="str">
        <f ca="1">_xlfn.IFNA(VLOOKUP(tDICT[[#This Row],[Label]],tDICT[Parent Label],1,0)&gt;0,"Leaf")</f>
        <v>Leaf</v>
      </c>
      <c r="I30" s="9">
        <v>217</v>
      </c>
      <c r="J30" s="10">
        <v>21</v>
      </c>
      <c r="K30" s="10" t="s">
        <v>132</v>
      </c>
      <c r="L30" s="10"/>
      <c r="M30" s="10" t="s">
        <v>133</v>
      </c>
      <c r="N30" s="10" t="s">
        <v>134</v>
      </c>
      <c r="O30" s="10" t="s">
        <v>135</v>
      </c>
      <c r="P30" s="10" t="s">
        <v>87</v>
      </c>
      <c r="Q30" s="11" t="s">
        <v>40</v>
      </c>
      <c r="R30" s="10" t="b">
        <v>1</v>
      </c>
      <c r="S30" s="10">
        <v>4</v>
      </c>
      <c r="T30" s="10" t="s">
        <v>36</v>
      </c>
      <c r="U30" s="10"/>
      <c r="V30" s="10"/>
      <c r="W30" s="10"/>
      <c r="X30" s="10"/>
      <c r="Y30" s="10"/>
      <c r="Z30" s="10" t="s">
        <v>48</v>
      </c>
      <c r="AA30" s="10" t="s">
        <v>49</v>
      </c>
      <c r="AB30" s="10" t="s">
        <v>50</v>
      </c>
      <c r="AC30" s="10"/>
      <c r="AD30" s="10"/>
      <c r="AE30" s="10"/>
      <c r="AF30" s="10">
        <v>7</v>
      </c>
    </row>
    <row r="31" spans="2:32" x14ac:dyDescent="0.25">
      <c r="B31" s="4">
        <f>(ROW(tDICT[[#This Row],[Table Name]])-ROW(tDICT[[#Headers],[Table Name]]))*8</f>
        <v>216</v>
      </c>
      <c r="C31" s="5" t="str">
        <f>pTABLE</f>
        <v>dbo.tbl_D_COMPONENT</v>
      </c>
      <c r="D31" s="6"/>
      <c r="E31" s="7" t="str">
        <f ca="1">IFERROR(REPT("  ", tDICT[[#This Row],[LVL]]-1) &amp; tDICT[[#This Row],[Name]], tDICT[[#This Row],[Name]])</f>
        <v xml:space="preserve">            Dangerous working conditions Top Up</v>
      </c>
      <c r="F31" s="8">
        <f ca="1">IF(tDICT[Level Number]="",OFFSET(tDICT[[#This Row],[Level Number]],-1,0),tDICT[Level Number])</f>
        <v>7</v>
      </c>
      <c r="G3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31" s="8" t="str">
        <f ca="1">_xlfn.IFNA(VLOOKUP(tDICT[[#This Row],[Label]],tDICT[Parent Label],1,0)&gt;0,"Leaf")</f>
        <v>Leaf</v>
      </c>
      <c r="I31" s="9">
        <v>218</v>
      </c>
      <c r="J31" s="10">
        <v>21</v>
      </c>
      <c r="K31" s="10" t="s">
        <v>136</v>
      </c>
      <c r="L31" s="10"/>
      <c r="M31" s="10" t="s">
        <v>137</v>
      </c>
      <c r="N31" s="10" t="s">
        <v>138</v>
      </c>
      <c r="O31" s="10" t="s">
        <v>139</v>
      </c>
      <c r="P31" s="10" t="s">
        <v>87</v>
      </c>
      <c r="Q31" s="11" t="s">
        <v>40</v>
      </c>
      <c r="R31" s="10" t="b">
        <v>1</v>
      </c>
      <c r="S31" s="10">
        <v>4</v>
      </c>
      <c r="T31" s="10" t="s">
        <v>36</v>
      </c>
      <c r="U31" s="10"/>
      <c r="V31" s="10"/>
      <c r="W31" s="10"/>
      <c r="X31" s="10"/>
      <c r="Y31" s="10"/>
      <c r="Z31" s="10" t="s">
        <v>48</v>
      </c>
      <c r="AA31" s="10" t="s">
        <v>49</v>
      </c>
      <c r="AB31" s="10" t="s">
        <v>50</v>
      </c>
      <c r="AC31" s="10"/>
      <c r="AD31" s="10"/>
      <c r="AE31" s="10"/>
      <c r="AF31" s="10">
        <v>7</v>
      </c>
    </row>
    <row r="32" spans="2:32" x14ac:dyDescent="0.25">
      <c r="B32" s="4">
        <f>(ROW(tDICT[[#This Row],[Table Name]])-ROW(tDICT[[#Headers],[Table Name]]))*8</f>
        <v>224</v>
      </c>
      <c r="C32" s="5" t="str">
        <f>pTABLE</f>
        <v>dbo.tbl_D_COMPONENT</v>
      </c>
      <c r="D32" s="6"/>
      <c r="E32" s="7" t="str">
        <f ca="1">IFERROR(REPT("  ", tDICT[[#This Row],[LVL]]-1) &amp; tDICT[[#This Row],[Name]], tDICT[[#This Row],[Name]])</f>
        <v xml:space="preserve">            Combining Surcharge (%)</v>
      </c>
      <c r="F32" s="8">
        <f ca="1">IF(tDICT[Level Number]="",OFFSET(tDICT[[#This Row],[Level Number]],-1,0),tDICT[Level Number])</f>
        <v>7</v>
      </c>
      <c r="G3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MONTHLY_SALARY_TOP_UP</v>
      </c>
      <c r="H32" s="8" t="str">
        <f ca="1">_xlfn.IFNA(VLOOKUP(tDICT[[#This Row],[Label]],tDICT[Parent Label],1,0)&gt;0,"Leaf")</f>
        <v>Leaf</v>
      </c>
      <c r="I32" s="9">
        <v>226</v>
      </c>
      <c r="J32" s="10">
        <v>21</v>
      </c>
      <c r="K32" s="10" t="s">
        <v>140</v>
      </c>
      <c r="L32" s="10"/>
      <c r="M32" s="10" t="s">
        <v>141</v>
      </c>
      <c r="N32" s="10" t="s">
        <v>142</v>
      </c>
      <c r="O32" s="10" t="s">
        <v>143</v>
      </c>
      <c r="P32" s="10" t="s">
        <v>87</v>
      </c>
      <c r="Q32" s="11" t="s">
        <v>40</v>
      </c>
      <c r="R32" s="10" t="b">
        <v>1</v>
      </c>
      <c r="S32" s="10">
        <v>4</v>
      </c>
      <c r="T32" s="10" t="s">
        <v>36</v>
      </c>
      <c r="U32" s="10"/>
      <c r="V32" s="10"/>
      <c r="W32" s="10"/>
      <c r="X32" s="10"/>
      <c r="Y32" s="10"/>
      <c r="Z32" s="10" t="s">
        <v>48</v>
      </c>
      <c r="AA32" s="10" t="s">
        <v>49</v>
      </c>
      <c r="AB32" s="10" t="s">
        <v>50</v>
      </c>
      <c r="AC32" s="10"/>
      <c r="AD32" s="10"/>
      <c r="AE32" s="10"/>
      <c r="AF32" s="10">
        <v>7</v>
      </c>
    </row>
    <row r="33" spans="2:32" x14ac:dyDescent="0.25">
      <c r="B33" s="4">
        <f>(ROW(tDICT[[#This Row],[Table Name]])-ROW(tDICT[[#Headers],[Table Name]]))*8</f>
        <v>232</v>
      </c>
      <c r="C33" s="5" t="str">
        <f>pTABLE</f>
        <v>dbo.tbl_D_COMPONENT</v>
      </c>
      <c r="D33" s="6"/>
      <c r="E33" s="7" t="str">
        <f ca="1">IFERROR(REPT("  ", tDICT[[#This Row],[LVL]]-1) &amp; tDICT[[#This Row],[Name]], tDICT[[#This Row],[Name]])</f>
        <v xml:space="preserve">          Monthly Salary Top Up Northern Top Up</v>
      </c>
      <c r="F33" s="8">
        <f ca="1">IF(tDICT[Level Number]="",OFFSET(tDICT[[#This Row],[Level Number]],-1,0),tDICT[Level Number])</f>
        <v>6</v>
      </c>
      <c r="G3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33" s="8" t="str">
        <f ca="1">_xlfn.IFNA(VLOOKUP(tDICT[[#This Row],[Label]],tDICT[Parent Label],1,0)&gt;0,"Leaf")</f>
        <v>Leaf</v>
      </c>
      <c r="I33" s="9">
        <v>161</v>
      </c>
      <c r="J33" s="10">
        <v>1002</v>
      </c>
      <c r="K33" s="10" t="s">
        <v>144</v>
      </c>
      <c r="L33" s="10"/>
      <c r="M33" s="10" t="s">
        <v>145</v>
      </c>
      <c r="N33" s="10" t="s">
        <v>146</v>
      </c>
      <c r="O33" s="10"/>
      <c r="P33" s="10" t="s">
        <v>82</v>
      </c>
      <c r="Q33" s="11" t="s">
        <v>40</v>
      </c>
      <c r="R33" s="10" t="b">
        <v>1</v>
      </c>
      <c r="S33" s="10">
        <v>4</v>
      </c>
      <c r="T33" s="10" t="s">
        <v>72</v>
      </c>
      <c r="U33" s="10"/>
      <c r="V33" s="10"/>
      <c r="W33" s="10"/>
      <c r="X33" s="10"/>
      <c r="Y33" s="10"/>
      <c r="Z33" s="10" t="s">
        <v>48</v>
      </c>
      <c r="AA33" s="10" t="s">
        <v>49</v>
      </c>
      <c r="AB33" s="10" t="s">
        <v>50</v>
      </c>
      <c r="AC33" s="10"/>
      <c r="AD33" s="10"/>
      <c r="AE33" s="10"/>
      <c r="AF33" s="10">
        <v>6</v>
      </c>
    </row>
    <row r="34" spans="2:32" x14ac:dyDescent="0.25">
      <c r="B34" s="4">
        <f>(ROW(tDICT[[#This Row],[Table Name]])-ROW(tDICT[[#Headers],[Table Name]]))*8</f>
        <v>240</v>
      </c>
      <c r="C34" s="5" t="str">
        <f>pTABLE</f>
        <v>dbo.tbl_D_COMPONENT</v>
      </c>
      <c r="D34" s="6"/>
      <c r="E34" s="7" t="str">
        <f ca="1">IFERROR(REPT("  ", tDICT[[#This Row],[LVL]]-1) &amp; tDICT[[#This Row],[Name]], tDICT[[#This Row],[Name]])</f>
        <v xml:space="preserve">          Monthly Salary Top Up Regional Top Up</v>
      </c>
      <c r="F34" s="8">
        <f ca="1">IF(tDICT[Level Number]="",OFFSET(tDICT[[#This Row],[Level Number]],-1,0),tDICT[Level Number])</f>
        <v>6</v>
      </c>
      <c r="G3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34" s="8" t="str">
        <f ca="1">_xlfn.IFNA(VLOOKUP(tDICT[[#This Row],[Label]],tDICT[Parent Label],1,0)&gt;0,"Leaf")</f>
        <v>Leaf</v>
      </c>
      <c r="I34" s="9">
        <v>162</v>
      </c>
      <c r="J34" s="10">
        <v>1002</v>
      </c>
      <c r="K34" s="10" t="s">
        <v>147</v>
      </c>
      <c r="L34" s="10"/>
      <c r="M34" s="10" t="s">
        <v>148</v>
      </c>
      <c r="N34" s="10" t="s">
        <v>149</v>
      </c>
      <c r="O34" s="10"/>
      <c r="P34" s="10" t="s">
        <v>82</v>
      </c>
      <c r="Q34" s="11" t="s">
        <v>40</v>
      </c>
      <c r="R34" s="10" t="b">
        <v>1</v>
      </c>
      <c r="S34" s="10">
        <v>4</v>
      </c>
      <c r="T34" s="10" t="s">
        <v>76</v>
      </c>
      <c r="U34" s="10"/>
      <c r="V34" s="10"/>
      <c r="W34" s="10"/>
      <c r="X34" s="10"/>
      <c r="Y34" s="10"/>
      <c r="Z34" s="10" t="s">
        <v>48</v>
      </c>
      <c r="AA34" s="10" t="s">
        <v>49</v>
      </c>
      <c r="AB34" s="10" t="s">
        <v>50</v>
      </c>
      <c r="AC34" s="10"/>
      <c r="AD34" s="10"/>
      <c r="AE34" s="10"/>
      <c r="AF34" s="10">
        <v>6</v>
      </c>
    </row>
    <row r="35" spans="2:32" x14ac:dyDescent="0.25">
      <c r="B35" s="4">
        <f>(ROW(tDICT[[#This Row],[Table Name]])-ROW(tDICT[[#Headers],[Table Name]]))*8</f>
        <v>248</v>
      </c>
      <c r="C35" s="5" t="str">
        <f>pTABLE</f>
        <v>dbo.tbl_D_COMPONENT</v>
      </c>
      <c r="D35" s="6"/>
      <c r="E35" s="7" t="str">
        <f ca="1">IFERROR(REPT("  ", tDICT[[#This Row],[LVL]]-1) &amp; tDICT[[#This Row],[Name]], tDICT[[#This Row],[Name]])</f>
        <v xml:space="preserve">        13.5 Month Salary Payment</v>
      </c>
      <c r="F35" s="8">
        <f ca="1">IF(tDICT[Level Number]="",OFFSET(tDICT[[#This Row],[Level Number]],-1,0),tDICT[Level Number])</f>
        <v>5</v>
      </c>
      <c r="G3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35" s="8" t="str">
        <f ca="1">_xlfn.IFNA(VLOOKUP(tDICT[[#This Row],[Label]],tDICT[Parent Label],1,0)&gt;0,"Leaf")</f>
        <v>Leaf</v>
      </c>
      <c r="I35" s="9">
        <v>25</v>
      </c>
      <c r="J35" s="10">
        <v>18</v>
      </c>
      <c r="K35" s="10" t="s">
        <v>150</v>
      </c>
      <c r="L35" s="10"/>
      <c r="M35" s="10" t="s">
        <v>151</v>
      </c>
      <c r="N35" s="10" t="s">
        <v>152</v>
      </c>
      <c r="O35" s="10"/>
      <c r="P35" s="10" t="s">
        <v>47</v>
      </c>
      <c r="Q35" s="11" t="s">
        <v>40</v>
      </c>
      <c r="R35" s="10" t="b">
        <v>1</v>
      </c>
      <c r="S35" s="10">
        <v>5</v>
      </c>
      <c r="T35" s="10" t="s">
        <v>36</v>
      </c>
      <c r="U35" s="10">
        <v>13.5</v>
      </c>
      <c r="V35" s="10">
        <v>6</v>
      </c>
      <c r="W35" s="10">
        <v>0.5</v>
      </c>
      <c r="X35" s="10">
        <v>11</v>
      </c>
      <c r="Y35" s="10">
        <v>1</v>
      </c>
      <c r="Z35" s="10" t="s">
        <v>48</v>
      </c>
      <c r="AA35" s="10" t="s">
        <v>49</v>
      </c>
      <c r="AB35" s="10" t="s">
        <v>50</v>
      </c>
      <c r="AC35" s="10"/>
      <c r="AD35" s="10"/>
      <c r="AE35" s="10"/>
      <c r="AF35" s="10">
        <v>5</v>
      </c>
    </row>
    <row r="36" spans="2:32" x14ac:dyDescent="0.25">
      <c r="B36" s="4">
        <f>(ROW(tDICT[[#This Row],[Table Name]])-ROW(tDICT[[#Headers],[Table Name]]))*8</f>
        <v>256</v>
      </c>
      <c r="C36" s="5" t="str">
        <f>pTABLE</f>
        <v>dbo.tbl_D_COMPONENT</v>
      </c>
      <c r="D36" s="6"/>
      <c r="E36" s="7" t="str">
        <f ca="1">IFERROR(REPT("  ", tDICT[[#This Row],[LVL]]-1) &amp; tDICT[[#This Row],[Name]], tDICT[[#This Row],[Name]])</f>
        <v xml:space="preserve">        13 Month Salary Payment</v>
      </c>
      <c r="F36" s="8">
        <f ca="1">IF(tDICT[Level Number]="",OFFSET(tDICT[[#This Row],[Level Number]],-1,0),tDICT[Level Number])</f>
        <v>5</v>
      </c>
      <c r="G3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36" s="8" t="str">
        <f ca="1">_xlfn.IFNA(VLOOKUP(tDICT[[#This Row],[Label]],tDICT[Parent Label],1,0)&gt;0,"Leaf")</f>
        <v>Leaf</v>
      </c>
      <c r="I36" s="9">
        <v>181</v>
      </c>
      <c r="J36" s="10">
        <v>18</v>
      </c>
      <c r="K36" s="10" t="s">
        <v>153</v>
      </c>
      <c r="L36" s="10"/>
      <c r="M36" s="10" t="s">
        <v>154</v>
      </c>
      <c r="N36" s="10" t="s">
        <v>155</v>
      </c>
      <c r="O36" s="10"/>
      <c r="P36" s="10" t="s">
        <v>47</v>
      </c>
      <c r="Q36" s="11" t="s">
        <v>40</v>
      </c>
      <c r="R36" s="10" t="b">
        <v>1</v>
      </c>
      <c r="S36" s="10">
        <v>5</v>
      </c>
      <c r="T36" s="10" t="s">
        <v>36</v>
      </c>
      <c r="U36" s="10">
        <v>13</v>
      </c>
      <c r="V36" s="10"/>
      <c r="W36" s="10"/>
      <c r="X36" s="10"/>
      <c r="Y36" s="10"/>
      <c r="Z36" s="10" t="s">
        <v>48</v>
      </c>
      <c r="AA36" s="10" t="s">
        <v>49</v>
      </c>
      <c r="AB36" s="10" t="s">
        <v>50</v>
      </c>
      <c r="AC36" s="10"/>
      <c r="AD36" s="10"/>
      <c r="AE36" s="10"/>
      <c r="AF36" s="10">
        <v>5</v>
      </c>
    </row>
    <row r="37" spans="2:32" x14ac:dyDescent="0.25">
      <c r="B37" s="4">
        <f>(ROW(tDICT[[#This Row],[Table Name]])-ROW(tDICT[[#Headers],[Table Name]]))*8</f>
        <v>264</v>
      </c>
      <c r="C37" s="5" t="str">
        <f>pTABLE</f>
        <v>dbo.tbl_D_COMPONENT</v>
      </c>
      <c r="D37" s="6"/>
      <c r="E37" s="7" t="str">
        <f ca="1">IFERROR(REPT("  ", tDICT[[#This Row],[LVL]]-1) &amp; tDICT[[#This Row],[Name]], tDICT[[#This Row],[Name]])</f>
        <v xml:space="preserve">        14 Month Salary Payment</v>
      </c>
      <c r="F37" s="8">
        <f ca="1">IF(tDICT[Level Number]="",OFFSET(tDICT[[#This Row],[Level Number]],-1,0),tDICT[Level Number])</f>
        <v>5</v>
      </c>
      <c r="G3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37" s="8" t="str">
        <f ca="1">_xlfn.IFNA(VLOOKUP(tDICT[[#This Row],[Label]],tDICT[Parent Label],1,0)&gt;0,"Leaf")</f>
        <v>Leaf</v>
      </c>
      <c r="I37" s="9">
        <v>26</v>
      </c>
      <c r="J37" s="10">
        <v>18</v>
      </c>
      <c r="K37" s="10" t="s">
        <v>156</v>
      </c>
      <c r="L37" s="10"/>
      <c r="M37" s="10" t="s">
        <v>157</v>
      </c>
      <c r="N37" s="10" t="s">
        <v>158</v>
      </c>
      <c r="O37" s="10"/>
      <c r="P37" s="10" t="s">
        <v>47</v>
      </c>
      <c r="Q37" s="11" t="s">
        <v>40</v>
      </c>
      <c r="R37" s="10" t="b">
        <v>1</v>
      </c>
      <c r="S37" s="10">
        <v>5</v>
      </c>
      <c r="T37" s="10" t="s">
        <v>36</v>
      </c>
      <c r="U37" s="10">
        <v>14</v>
      </c>
      <c r="V37" s="10">
        <v>6</v>
      </c>
      <c r="W37" s="10">
        <v>1</v>
      </c>
      <c r="X37" s="10">
        <v>12</v>
      </c>
      <c r="Y37" s="10">
        <v>1</v>
      </c>
      <c r="Z37" s="10" t="s">
        <v>48</v>
      </c>
      <c r="AA37" s="10" t="s">
        <v>49</v>
      </c>
      <c r="AB37" s="10" t="s">
        <v>50</v>
      </c>
      <c r="AC37" s="10"/>
      <c r="AD37" s="10"/>
      <c r="AE37" s="10"/>
      <c r="AF37" s="10">
        <v>5</v>
      </c>
    </row>
    <row r="38" spans="2:32" x14ac:dyDescent="0.25">
      <c r="B38" s="4">
        <f>(ROW(tDICT[[#This Row],[Table Name]])-ROW(tDICT[[#Headers],[Table Name]]))*8</f>
        <v>272</v>
      </c>
      <c r="C38" s="5" t="str">
        <f>pTABLE</f>
        <v>dbo.tbl_D_COMPONENT</v>
      </c>
      <c r="D38" s="6"/>
      <c r="E38" s="7" t="str">
        <f ca="1">IFERROR(REPT("  ", tDICT[[#This Row],[LVL]]-1) &amp; tDICT[[#This Row],[Name]], tDICT[[#This Row],[Name]])</f>
        <v xml:space="preserve">        Total Other Salary Top Up</v>
      </c>
      <c r="F38" s="8">
        <f ca="1">IF(tDICT[Level Number]="",OFFSET(tDICT[[#This Row],[Level Number]],-1,0),tDICT[Level Number])</f>
        <v>5</v>
      </c>
      <c r="G3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38" s="8" t="b">
        <f ca="1">_xlfn.IFNA(VLOOKUP(tDICT[[#This Row],[Label]],tDICT[Parent Label],1,0)&gt;0,"Leaf")</f>
        <v>1</v>
      </c>
      <c r="I38" s="9">
        <v>1004</v>
      </c>
      <c r="J38" s="10">
        <v>18</v>
      </c>
      <c r="K38" s="10" t="s">
        <v>159</v>
      </c>
      <c r="L38" s="10"/>
      <c r="M38" s="10" t="s">
        <v>160</v>
      </c>
      <c r="N38" s="10" t="s">
        <v>161</v>
      </c>
      <c r="O38" s="10"/>
      <c r="P38" s="10" t="s">
        <v>47</v>
      </c>
      <c r="Q38" s="11" t="s">
        <v>40</v>
      </c>
      <c r="R38" s="10" t="b">
        <v>1</v>
      </c>
      <c r="S38" s="10"/>
      <c r="T38" s="10" t="s">
        <v>36</v>
      </c>
      <c r="U38" s="10"/>
      <c r="V38" s="10"/>
      <c r="W38" s="10"/>
      <c r="X38" s="10"/>
      <c r="Y38" s="10"/>
      <c r="Z38" s="10" t="s">
        <v>48</v>
      </c>
      <c r="AA38" s="10" t="s">
        <v>49</v>
      </c>
      <c r="AB38" s="10" t="s">
        <v>50</v>
      </c>
      <c r="AC38" s="10"/>
      <c r="AD38" s="10"/>
      <c r="AE38" s="10"/>
      <c r="AF38" s="10">
        <v>5</v>
      </c>
    </row>
    <row r="39" spans="2:32" x14ac:dyDescent="0.25">
      <c r="B39" s="4">
        <f>(ROW(tDICT[[#This Row],[Table Name]])-ROW(tDICT[[#Headers],[Table Name]]))*8</f>
        <v>280</v>
      </c>
      <c r="C39" s="5" t="str">
        <f>pTABLE</f>
        <v>dbo.tbl_D_COMPONENT</v>
      </c>
      <c r="D39" s="6"/>
      <c r="E39" s="7" t="str">
        <f ca="1">IFERROR(REPT("  ", tDICT[[#This Row],[LVL]]-1) &amp; tDICT[[#This Row],[Name]], tDICT[[#This Row],[Name]])</f>
        <v xml:space="preserve">          Other Salary Top Up</v>
      </c>
      <c r="F39" s="8">
        <f ca="1">IF(tDICT[Level Number]="",OFFSET(tDICT[[#This Row],[Level Number]],-1,0),tDICT[Level Number])</f>
        <v>6</v>
      </c>
      <c r="G3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TOTAL_OTHER_SALARY_TOP_UP</v>
      </c>
      <c r="H39" s="8" t="str">
        <f ca="1">_xlfn.IFNA(VLOOKUP(tDICT[[#This Row],[Label]],tDICT[Parent Label],1,0)&gt;0,"Leaf")</f>
        <v>Leaf</v>
      </c>
      <c r="I39" s="9">
        <v>149</v>
      </c>
      <c r="J39" s="10">
        <v>1004</v>
      </c>
      <c r="K39" s="10" t="s">
        <v>162</v>
      </c>
      <c r="L39" s="10"/>
      <c r="M39" s="10" t="s">
        <v>163</v>
      </c>
      <c r="N39" s="10" t="s">
        <v>164</v>
      </c>
      <c r="O39" s="10"/>
      <c r="P39" s="10" t="s">
        <v>47</v>
      </c>
      <c r="Q39" s="11" t="s">
        <v>40</v>
      </c>
      <c r="R39" s="10" t="b">
        <v>1</v>
      </c>
      <c r="S39" s="10"/>
      <c r="T39" s="10" t="s">
        <v>36</v>
      </c>
      <c r="U39" s="10"/>
      <c r="V39" s="10"/>
      <c r="W39" s="10"/>
      <c r="X39" s="10"/>
      <c r="Y39" s="10"/>
      <c r="Z39" s="10" t="s">
        <v>48</v>
      </c>
      <c r="AA39" s="10" t="s">
        <v>49</v>
      </c>
      <c r="AB39" s="10" t="s">
        <v>50</v>
      </c>
      <c r="AC39" s="10"/>
      <c r="AD39" s="10"/>
      <c r="AE39" s="10"/>
      <c r="AF39" s="10">
        <v>6</v>
      </c>
    </row>
    <row r="40" spans="2:32" x14ac:dyDescent="0.25">
      <c r="B40" s="4">
        <f>(ROW(tDICT[[#This Row],[Table Name]])-ROW(tDICT[[#Headers],[Table Name]]))*8</f>
        <v>288</v>
      </c>
      <c r="C40" s="5" t="str">
        <f>pTABLE</f>
        <v>dbo.tbl_D_COMPONENT</v>
      </c>
      <c r="D40" s="6"/>
      <c r="E40" s="7" t="str">
        <f ca="1">IFERROR(REPT("  ", tDICT[[#This Row],[LVL]]-1) &amp; tDICT[[#This Row],[Name]], tDICT[[#This Row],[Name]])</f>
        <v xml:space="preserve">          Other Salary Top Up Northern Top Up</v>
      </c>
      <c r="F40" s="8">
        <f ca="1">IF(tDICT[Level Number]="",OFFSET(tDICT[[#This Row],[Level Number]],-1,0),tDICT[Level Number])</f>
        <v>6</v>
      </c>
      <c r="G4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TOTAL_OTHER_SALARY_TOP_UP</v>
      </c>
      <c r="H40" s="8" t="str">
        <f ca="1">_xlfn.IFNA(VLOOKUP(tDICT[[#This Row],[Label]],tDICT[Parent Label],1,0)&gt;0,"Leaf")</f>
        <v>Leaf</v>
      </c>
      <c r="I40" s="9">
        <v>165</v>
      </c>
      <c r="J40" s="10">
        <v>1004</v>
      </c>
      <c r="K40" s="10" t="s">
        <v>165</v>
      </c>
      <c r="L40" s="10"/>
      <c r="M40" s="10" t="s">
        <v>166</v>
      </c>
      <c r="N40" s="10" t="s">
        <v>167</v>
      </c>
      <c r="O40" s="10"/>
      <c r="P40" s="10" t="s">
        <v>164</v>
      </c>
      <c r="Q40" s="11" t="s">
        <v>40</v>
      </c>
      <c r="R40" s="10" t="b">
        <v>1</v>
      </c>
      <c r="S40" s="10"/>
      <c r="T40" s="10" t="s">
        <v>72</v>
      </c>
      <c r="U40" s="10"/>
      <c r="V40" s="10"/>
      <c r="W40" s="10"/>
      <c r="X40" s="10"/>
      <c r="Y40" s="10"/>
      <c r="Z40" s="10" t="s">
        <v>48</v>
      </c>
      <c r="AA40" s="10" t="s">
        <v>49</v>
      </c>
      <c r="AB40" s="10" t="s">
        <v>50</v>
      </c>
      <c r="AC40" s="10"/>
      <c r="AD40" s="10"/>
      <c r="AE40" s="10"/>
      <c r="AF40" s="10">
        <v>6</v>
      </c>
    </row>
    <row r="41" spans="2:32" x14ac:dyDescent="0.25">
      <c r="B41" s="4">
        <f>(ROW(tDICT[[#This Row],[Table Name]])-ROW(tDICT[[#Headers],[Table Name]]))*8</f>
        <v>296</v>
      </c>
      <c r="C41" s="5" t="str">
        <f>pTABLE</f>
        <v>dbo.tbl_D_COMPONENT</v>
      </c>
      <c r="D41" s="6"/>
      <c r="E41" s="7" t="str">
        <f ca="1">IFERROR(REPT("  ", tDICT[[#This Row],[LVL]]-1) &amp; tDICT[[#This Row],[Name]], tDICT[[#This Row],[Name]])</f>
        <v xml:space="preserve">          Other Salary Top Up Regional Top Up</v>
      </c>
      <c r="F41" s="8">
        <f ca="1">IF(tDICT[Level Number]="",OFFSET(tDICT[[#This Row],[Level Number]],-1,0),tDICT[Level Number])</f>
        <v>6</v>
      </c>
      <c r="G4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TOTAL_OTHER_SALARY_TOP_UP</v>
      </c>
      <c r="H41" s="8" t="str">
        <f ca="1">_xlfn.IFNA(VLOOKUP(tDICT[[#This Row],[Label]],tDICT[Parent Label],1,0)&gt;0,"Leaf")</f>
        <v>Leaf</v>
      </c>
      <c r="I41" s="9">
        <v>166</v>
      </c>
      <c r="J41" s="10">
        <v>1004</v>
      </c>
      <c r="K41" s="10" t="s">
        <v>168</v>
      </c>
      <c r="L41" s="10"/>
      <c r="M41" s="10" t="s">
        <v>169</v>
      </c>
      <c r="N41" s="10" t="s">
        <v>170</v>
      </c>
      <c r="O41" s="10"/>
      <c r="P41" s="10" t="s">
        <v>164</v>
      </c>
      <c r="Q41" s="11" t="s">
        <v>40</v>
      </c>
      <c r="R41" s="10" t="b">
        <v>1</v>
      </c>
      <c r="S41" s="10"/>
      <c r="T41" s="10" t="s">
        <v>76</v>
      </c>
      <c r="U41" s="10"/>
      <c r="V41" s="10"/>
      <c r="W41" s="10"/>
      <c r="X41" s="10"/>
      <c r="Y41" s="10"/>
      <c r="Z41" s="10" t="s">
        <v>48</v>
      </c>
      <c r="AA41" s="10" t="s">
        <v>49</v>
      </c>
      <c r="AB41" s="10" t="s">
        <v>50</v>
      </c>
      <c r="AC41" s="10"/>
      <c r="AD41" s="10"/>
      <c r="AE41" s="10"/>
      <c r="AF41" s="10">
        <v>6</v>
      </c>
    </row>
    <row r="42" spans="2:32" x14ac:dyDescent="0.25">
      <c r="B42" s="4">
        <f>(ROW(tDICT[[#This Row],[Table Name]])-ROW(tDICT[[#Headers],[Table Name]]))*8</f>
        <v>304</v>
      </c>
      <c r="C42" s="5" t="str">
        <f>pTABLE</f>
        <v>dbo.tbl_D_COMPONENT</v>
      </c>
      <c r="D42" s="6"/>
      <c r="E42" s="7" t="str">
        <f ca="1">IFERROR(REPT("  ", tDICT[[#This Row],[LVL]]-1) &amp; tDICT[[#This Row],[Name]], tDICT[[#This Row],[Name]])</f>
        <v xml:space="preserve">        Total Quarterly Bonus As Part Of Salary</v>
      </c>
      <c r="F42" s="8">
        <f ca="1">IF(tDICT[Level Number]="",OFFSET(tDICT[[#This Row],[Level Number]],-1,0),tDICT[Level Number])</f>
        <v>5</v>
      </c>
      <c r="G4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42" s="8" t="b">
        <f ca="1">_xlfn.IFNA(VLOOKUP(tDICT[[#This Row],[Label]],tDICT[Parent Label],1,0)&gt;0,"Leaf")</f>
        <v>1</v>
      </c>
      <c r="I42" s="9">
        <v>1005</v>
      </c>
      <c r="J42" s="10">
        <v>18</v>
      </c>
      <c r="K42" s="10" t="s">
        <v>171</v>
      </c>
      <c r="L42" s="10"/>
      <c r="M42" s="10" t="s">
        <v>172</v>
      </c>
      <c r="N42" s="10" t="s">
        <v>173</v>
      </c>
      <c r="O42" s="10"/>
      <c r="P42" s="10" t="s">
        <v>47</v>
      </c>
      <c r="Q42" s="11" t="s">
        <v>40</v>
      </c>
      <c r="R42" s="10" t="b">
        <v>1</v>
      </c>
      <c r="S42" s="10">
        <v>2</v>
      </c>
      <c r="T42" s="10" t="s">
        <v>36</v>
      </c>
      <c r="U42" s="10"/>
      <c r="V42" s="10"/>
      <c r="W42" s="10"/>
      <c r="X42" s="10"/>
      <c r="Y42" s="10"/>
      <c r="Z42" s="10" t="s">
        <v>48</v>
      </c>
      <c r="AA42" s="10" t="s">
        <v>49</v>
      </c>
      <c r="AB42" s="10" t="s">
        <v>50</v>
      </c>
      <c r="AC42" s="10"/>
      <c r="AD42" s="10"/>
      <c r="AE42" s="10"/>
      <c r="AF42" s="10">
        <v>5</v>
      </c>
    </row>
    <row r="43" spans="2:32" x14ac:dyDescent="0.25">
      <c r="B43" s="4">
        <f>(ROW(tDICT[[#This Row],[Table Name]])-ROW(tDICT[[#Headers],[Table Name]]))*8</f>
        <v>312</v>
      </c>
      <c r="C43" s="5" t="str">
        <f>pTABLE</f>
        <v>dbo.tbl_D_COMPONENT</v>
      </c>
      <c r="D43" s="6"/>
      <c r="E43" s="7" t="str">
        <f ca="1">IFERROR(REPT("  ", tDICT[[#This Row],[LVL]]-1) &amp; tDICT[[#This Row],[Name]], tDICT[[#This Row],[Name]])</f>
        <v xml:space="preserve">          Quarterly Bonus As Part Of Salary</v>
      </c>
      <c r="F43" s="8">
        <f ca="1">IF(tDICT[Level Number]="",OFFSET(tDICT[[#This Row],[Level Number]],-1,0),tDICT[Level Number])</f>
        <v>6</v>
      </c>
      <c r="G4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TOTAL_QUARTERLY_BONUS_AS_PAT_OF_SALARY</v>
      </c>
      <c r="H43" s="8" t="str">
        <f ca="1">_xlfn.IFNA(VLOOKUP(tDICT[[#This Row],[Label]],tDICT[Parent Label],1,0)&gt;0,"Leaf")</f>
        <v>Leaf</v>
      </c>
      <c r="I43" s="9">
        <v>148</v>
      </c>
      <c r="J43" s="10">
        <v>1005</v>
      </c>
      <c r="K43" s="10" t="s">
        <v>174</v>
      </c>
      <c r="L43" s="10"/>
      <c r="M43" s="10" t="s">
        <v>175</v>
      </c>
      <c r="N43" s="10" t="s">
        <v>176</v>
      </c>
      <c r="O43" s="10"/>
      <c r="P43" s="10" t="s">
        <v>47</v>
      </c>
      <c r="Q43" s="11" t="s">
        <v>40</v>
      </c>
      <c r="R43" s="10" t="b">
        <v>1</v>
      </c>
      <c r="S43" s="10">
        <v>2</v>
      </c>
      <c r="T43" s="10" t="s">
        <v>36</v>
      </c>
      <c r="U43" s="10"/>
      <c r="V43" s="10"/>
      <c r="W43" s="10"/>
      <c r="X43" s="10"/>
      <c r="Y43" s="10"/>
      <c r="Z43" s="10" t="s">
        <v>48</v>
      </c>
      <c r="AA43" s="10" t="s">
        <v>49</v>
      </c>
      <c r="AB43" s="10" t="s">
        <v>50</v>
      </c>
      <c r="AC43" s="10"/>
      <c r="AD43" s="10"/>
      <c r="AE43" s="10"/>
      <c r="AF43" s="10">
        <v>6</v>
      </c>
    </row>
    <row r="44" spans="2:32" x14ac:dyDescent="0.25">
      <c r="B44" s="4">
        <f>(ROW(tDICT[[#This Row],[Table Name]])-ROW(tDICT[[#Headers],[Table Name]]))*8</f>
        <v>320</v>
      </c>
      <c r="C44" s="5" t="str">
        <f>pTABLE</f>
        <v>dbo.tbl_D_COMPONENT</v>
      </c>
      <c r="D44" s="6"/>
      <c r="E44" s="7" t="str">
        <f ca="1">IFERROR(REPT("  ", tDICT[[#This Row],[LVL]]-1) &amp; tDICT[[#This Row],[Name]], tDICT[[#This Row],[Name]])</f>
        <v xml:space="preserve">          Quarterly Bonus As Part Of Salary Northern Top Up</v>
      </c>
      <c r="F44" s="8">
        <f ca="1">IF(tDICT[Level Number]="",OFFSET(tDICT[[#This Row],[Level Number]],-1,0),tDICT[Level Number])</f>
        <v>6</v>
      </c>
      <c r="G4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TOTAL_QUARTERLY_BONUS_AS_PAT_OF_SALARY</v>
      </c>
      <c r="H44" s="8" t="str">
        <f ca="1">_xlfn.IFNA(VLOOKUP(tDICT[[#This Row],[Label]],tDICT[Parent Label],1,0)&gt;0,"Leaf")</f>
        <v>Leaf</v>
      </c>
      <c r="I44" s="9">
        <v>167</v>
      </c>
      <c r="J44" s="10">
        <v>1005</v>
      </c>
      <c r="K44" s="10" t="s">
        <v>177</v>
      </c>
      <c r="L44" s="10"/>
      <c r="M44" s="10" t="s">
        <v>178</v>
      </c>
      <c r="N44" s="10" t="s">
        <v>179</v>
      </c>
      <c r="O44" s="10"/>
      <c r="P44" s="10" t="s">
        <v>176</v>
      </c>
      <c r="Q44" s="11" t="s">
        <v>40</v>
      </c>
      <c r="R44" s="10" t="b">
        <v>1</v>
      </c>
      <c r="S44" s="10">
        <v>2</v>
      </c>
      <c r="T44" s="10" t="s">
        <v>72</v>
      </c>
      <c r="U44" s="10"/>
      <c r="V44" s="10"/>
      <c r="W44" s="10"/>
      <c r="X44" s="10"/>
      <c r="Y44" s="10"/>
      <c r="Z44" s="10" t="s">
        <v>48</v>
      </c>
      <c r="AA44" s="10" t="s">
        <v>49</v>
      </c>
      <c r="AB44" s="10" t="s">
        <v>50</v>
      </c>
      <c r="AC44" s="10"/>
      <c r="AD44" s="10"/>
      <c r="AE44" s="10"/>
      <c r="AF44" s="10">
        <v>6</v>
      </c>
    </row>
    <row r="45" spans="2:32" x14ac:dyDescent="0.25">
      <c r="B45" s="4">
        <f>(ROW(tDICT[[#This Row],[Table Name]])-ROW(tDICT[[#Headers],[Table Name]]))*8</f>
        <v>328</v>
      </c>
      <c r="C45" s="5" t="str">
        <f>pTABLE</f>
        <v>dbo.tbl_D_COMPONENT</v>
      </c>
      <c r="D45" s="6"/>
      <c r="E45" s="7" t="str">
        <f ca="1">IFERROR(REPT("  ", tDICT[[#This Row],[LVL]]-1) &amp; tDICT[[#This Row],[Name]], tDICT[[#This Row],[Name]])</f>
        <v xml:space="preserve">          Quarterly Bonus As Part Of Salary Regional Top Up</v>
      </c>
      <c r="F45" s="8">
        <f ca="1">IF(tDICT[Level Number]="",OFFSET(tDICT[[#This Row],[Level Number]],-1,0),tDICT[Level Number])</f>
        <v>6</v>
      </c>
      <c r="G4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TOTAL_QUARTERLY_BONUS_AS_PAT_OF_SALARY</v>
      </c>
      <c r="H45" s="8" t="str">
        <f ca="1">_xlfn.IFNA(VLOOKUP(tDICT[[#This Row],[Label]],tDICT[Parent Label],1,0)&gt;0,"Leaf")</f>
        <v>Leaf</v>
      </c>
      <c r="I45" s="9">
        <v>168</v>
      </c>
      <c r="J45" s="10">
        <v>1005</v>
      </c>
      <c r="K45" s="10" t="s">
        <v>180</v>
      </c>
      <c r="L45" s="10"/>
      <c r="M45" s="10" t="s">
        <v>181</v>
      </c>
      <c r="N45" s="10" t="s">
        <v>182</v>
      </c>
      <c r="O45" s="10"/>
      <c r="P45" s="10" t="s">
        <v>176</v>
      </c>
      <c r="Q45" s="11" t="s">
        <v>40</v>
      </c>
      <c r="R45" s="10" t="b">
        <v>1</v>
      </c>
      <c r="S45" s="10">
        <v>2</v>
      </c>
      <c r="T45" s="10" t="s">
        <v>76</v>
      </c>
      <c r="U45" s="10"/>
      <c r="V45" s="10"/>
      <c r="W45" s="10"/>
      <c r="X45" s="10"/>
      <c r="Y45" s="10"/>
      <c r="Z45" s="10" t="s">
        <v>48</v>
      </c>
      <c r="AA45" s="10" t="s">
        <v>49</v>
      </c>
      <c r="AB45" s="10" t="s">
        <v>50</v>
      </c>
      <c r="AC45" s="10"/>
      <c r="AD45" s="10"/>
      <c r="AE45" s="10"/>
      <c r="AF45" s="10">
        <v>6</v>
      </c>
    </row>
    <row r="46" spans="2:32" x14ac:dyDescent="0.25">
      <c r="B46" s="4">
        <f>(ROW(tDICT[[#This Row],[Table Name]])-ROW(tDICT[[#Headers],[Table Name]]))*8</f>
        <v>336</v>
      </c>
      <c r="C46" s="5" t="str">
        <f>pTABLE</f>
        <v>dbo.tbl_D_COMPONENT</v>
      </c>
      <c r="D46" s="6"/>
      <c r="E46" s="7" t="str">
        <f ca="1">IFERROR(REPT("  ", tDICT[[#This Row],[LVL]]-1) &amp; tDICT[[#This Row],[Name]], tDICT[[#This Row],[Name]])</f>
        <v xml:space="preserve">        Total Monthly Living Allowance As Part Of Salary</v>
      </c>
      <c r="F46" s="8">
        <f ca="1">IF(tDICT[Level Number]="",OFFSET(tDICT[[#This Row],[Level Number]],-1,0),tDICT[Level Number])</f>
        <v>5</v>
      </c>
      <c r="G4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46" s="8" t="b">
        <f ca="1">_xlfn.IFNA(VLOOKUP(tDICT[[#This Row],[Label]],tDICT[Parent Label],1,0)&gt;0,"Leaf")</f>
        <v>1</v>
      </c>
      <c r="I46" s="9">
        <v>1006</v>
      </c>
      <c r="J46" s="10">
        <v>18</v>
      </c>
      <c r="K46" s="10" t="s">
        <v>183</v>
      </c>
      <c r="L46" s="10"/>
      <c r="M46" s="10" t="s">
        <v>184</v>
      </c>
      <c r="N46" s="10" t="s">
        <v>185</v>
      </c>
      <c r="O46" s="10"/>
      <c r="P46" s="10" t="s">
        <v>47</v>
      </c>
      <c r="Q46" s="11" t="s">
        <v>40</v>
      </c>
      <c r="R46" s="10" t="b">
        <v>1</v>
      </c>
      <c r="S46" s="10">
        <v>1</v>
      </c>
      <c r="T46" s="10" t="s">
        <v>36</v>
      </c>
      <c r="U46" s="10"/>
      <c r="V46" s="10"/>
      <c r="W46" s="10"/>
      <c r="X46" s="10"/>
      <c r="Y46" s="10"/>
      <c r="Z46" s="10" t="s">
        <v>48</v>
      </c>
      <c r="AA46" s="10" t="s">
        <v>49</v>
      </c>
      <c r="AB46" s="10" t="s">
        <v>50</v>
      </c>
      <c r="AC46" s="10"/>
      <c r="AD46" s="10"/>
      <c r="AE46" s="10"/>
      <c r="AF46" s="10">
        <v>5</v>
      </c>
    </row>
    <row r="47" spans="2:32" x14ac:dyDescent="0.25">
      <c r="B47" s="4">
        <f>(ROW(tDICT[[#This Row],[Table Name]])-ROW(tDICT[[#Headers],[Table Name]]))*8</f>
        <v>344</v>
      </c>
      <c r="C47" s="5" t="str">
        <f>pTABLE</f>
        <v>dbo.tbl_D_COMPONENT</v>
      </c>
      <c r="D47" s="6"/>
      <c r="E47" s="7" t="str">
        <f ca="1">IFERROR(REPT("  ", tDICT[[#This Row],[LVL]]-1) &amp; tDICT[[#This Row],[Name]], tDICT[[#This Row],[Name]])</f>
        <v xml:space="preserve">          Monthly Living Allowance As Part Of Salary</v>
      </c>
      <c r="F47" s="8">
        <f ca="1">IF(tDICT[Level Number]="",OFFSET(tDICT[[#This Row],[Level Number]],-1,0),tDICT[Level Number])</f>
        <v>6</v>
      </c>
      <c r="G4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TOTAL_MONTHLY_LIVING_ALLOWANCE_AS_PART_OF_SALARY</v>
      </c>
      <c r="H47" s="8" t="str">
        <f ca="1">_xlfn.IFNA(VLOOKUP(tDICT[[#This Row],[Label]],tDICT[Parent Label],1,0)&gt;0,"Leaf")</f>
        <v>Leaf</v>
      </c>
      <c r="I47" s="9">
        <v>150</v>
      </c>
      <c r="J47" s="10">
        <v>1006</v>
      </c>
      <c r="K47" s="10" t="s">
        <v>186</v>
      </c>
      <c r="L47" s="10"/>
      <c r="M47" s="10" t="s">
        <v>187</v>
      </c>
      <c r="N47" s="10" t="s">
        <v>188</v>
      </c>
      <c r="O47" s="10"/>
      <c r="P47" s="10" t="s">
        <v>47</v>
      </c>
      <c r="Q47" s="11" t="s">
        <v>40</v>
      </c>
      <c r="R47" s="10" t="b">
        <v>1</v>
      </c>
      <c r="S47" s="10">
        <v>1</v>
      </c>
      <c r="T47" s="10" t="s">
        <v>36</v>
      </c>
      <c r="U47" s="10"/>
      <c r="V47" s="10"/>
      <c r="W47" s="10"/>
      <c r="X47" s="10"/>
      <c r="Y47" s="10"/>
      <c r="Z47" s="10" t="s">
        <v>48</v>
      </c>
      <c r="AA47" s="10" t="s">
        <v>49</v>
      </c>
      <c r="AB47" s="10" t="s">
        <v>50</v>
      </c>
      <c r="AC47" s="10"/>
      <c r="AD47" s="10"/>
      <c r="AE47" s="10"/>
      <c r="AF47" s="10">
        <v>6</v>
      </c>
    </row>
    <row r="48" spans="2:32" x14ac:dyDescent="0.25">
      <c r="B48" s="4">
        <f>(ROW(tDICT[[#This Row],[Table Name]])-ROW(tDICT[[#Headers],[Table Name]]))*8</f>
        <v>352</v>
      </c>
      <c r="C48" s="5" t="str">
        <f>pTABLE</f>
        <v>dbo.tbl_D_COMPONENT</v>
      </c>
      <c r="D48" s="6"/>
      <c r="E48" s="7" t="str">
        <f ca="1">IFERROR(REPT("  ", tDICT[[#This Row],[LVL]]-1) &amp; tDICT[[#This Row],[Name]], tDICT[[#This Row],[Name]])</f>
        <v xml:space="preserve">          Monthly Living Allowance As Part Of Salary Northern Top Up</v>
      </c>
      <c r="F48" s="8">
        <f ca="1">IF(tDICT[Level Number]="",OFFSET(tDICT[[#This Row],[Level Number]],-1,0),tDICT[Level Number])</f>
        <v>6</v>
      </c>
      <c r="G4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TOTAL_MONTHLY_LIVING_ALLOWANCE_AS_PART_OF_SALARY</v>
      </c>
      <c r="H48" s="8" t="str">
        <f ca="1">_xlfn.IFNA(VLOOKUP(tDICT[[#This Row],[Label]],tDICT[Parent Label],1,0)&gt;0,"Leaf")</f>
        <v>Leaf</v>
      </c>
      <c r="I48" s="9">
        <v>169</v>
      </c>
      <c r="J48" s="10">
        <v>1006</v>
      </c>
      <c r="K48" s="10" t="s">
        <v>189</v>
      </c>
      <c r="L48" s="10"/>
      <c r="M48" s="10" t="s">
        <v>190</v>
      </c>
      <c r="N48" s="10" t="s">
        <v>191</v>
      </c>
      <c r="O48" s="10"/>
      <c r="P48" s="10" t="s">
        <v>188</v>
      </c>
      <c r="Q48" s="11" t="s">
        <v>40</v>
      </c>
      <c r="R48" s="10" t="b">
        <v>1</v>
      </c>
      <c r="S48" s="10">
        <v>4</v>
      </c>
      <c r="T48" s="10" t="s">
        <v>72</v>
      </c>
      <c r="U48" s="10"/>
      <c r="V48" s="10"/>
      <c r="W48" s="10"/>
      <c r="X48" s="10"/>
      <c r="Y48" s="10"/>
      <c r="Z48" s="10" t="s">
        <v>48</v>
      </c>
      <c r="AA48" s="10" t="s">
        <v>49</v>
      </c>
      <c r="AB48" s="10" t="s">
        <v>50</v>
      </c>
      <c r="AC48" s="10"/>
      <c r="AD48" s="10"/>
      <c r="AE48" s="10"/>
      <c r="AF48" s="10">
        <v>6</v>
      </c>
    </row>
    <row r="49" spans="2:32" x14ac:dyDescent="0.25">
      <c r="B49" s="4">
        <f>(ROW(tDICT[[#This Row],[Table Name]])-ROW(tDICT[[#Headers],[Table Name]]))*8</f>
        <v>360</v>
      </c>
      <c r="C49" s="5" t="str">
        <f>pTABLE</f>
        <v>dbo.tbl_D_COMPONENT</v>
      </c>
      <c r="D49" s="6"/>
      <c r="E49" s="7" t="str">
        <f ca="1">IFERROR(REPT("  ", tDICT[[#This Row],[LVL]]-1) &amp; tDICT[[#This Row],[Name]], tDICT[[#This Row],[Name]])</f>
        <v xml:space="preserve">          Monthly Living Allowance As Part Of Salary Regional Top Up</v>
      </c>
      <c r="F49" s="8">
        <f ca="1">IF(tDICT[Level Number]="",OFFSET(tDICT[[#This Row],[Level Number]],-1,0),tDICT[Level Number])</f>
        <v>6</v>
      </c>
      <c r="G4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TOTAL_MONTHLY_LIVING_ALLOWANCE_AS_PART_OF_SALARY</v>
      </c>
      <c r="H49" s="8" t="str">
        <f ca="1">_xlfn.IFNA(VLOOKUP(tDICT[[#This Row],[Label]],tDICT[Parent Label],1,0)&gt;0,"Leaf")</f>
        <v>Leaf</v>
      </c>
      <c r="I49" s="9">
        <v>170</v>
      </c>
      <c r="J49" s="10">
        <v>1006</v>
      </c>
      <c r="K49" s="10" t="s">
        <v>192</v>
      </c>
      <c r="L49" s="10"/>
      <c r="M49" s="10" t="s">
        <v>193</v>
      </c>
      <c r="N49" s="10" t="s">
        <v>194</v>
      </c>
      <c r="O49" s="10"/>
      <c r="P49" s="10" t="s">
        <v>188</v>
      </c>
      <c r="Q49" s="11" t="s">
        <v>40</v>
      </c>
      <c r="R49" s="10" t="b">
        <v>1</v>
      </c>
      <c r="S49" s="10">
        <v>4</v>
      </c>
      <c r="T49" s="10" t="s">
        <v>76</v>
      </c>
      <c r="U49" s="10"/>
      <c r="V49" s="10"/>
      <c r="W49" s="10"/>
      <c r="X49" s="10"/>
      <c r="Y49" s="10"/>
      <c r="Z49" s="10" t="s">
        <v>48</v>
      </c>
      <c r="AA49" s="10" t="s">
        <v>49</v>
      </c>
      <c r="AB49" s="10" t="s">
        <v>50</v>
      </c>
      <c r="AC49" s="10"/>
      <c r="AD49" s="10"/>
      <c r="AE49" s="10"/>
      <c r="AF49" s="10">
        <v>6</v>
      </c>
    </row>
    <row r="50" spans="2:32" x14ac:dyDescent="0.25">
      <c r="B50" s="4">
        <f>(ROW(tDICT[[#This Row],[Table Name]])-ROW(tDICT[[#Headers],[Table Name]]))*8</f>
        <v>368</v>
      </c>
      <c r="C50" s="5" t="str">
        <f>pTABLE</f>
        <v>dbo.tbl_D_COMPONENT</v>
      </c>
      <c r="D50" s="6"/>
      <c r="E50" s="7" t="str">
        <f ca="1">IFERROR(REPT("  ", tDICT[[#This Row],[LVL]]-1) &amp; tDICT[[#This Row],[Name]], tDICT[[#This Row],[Name]])</f>
        <v xml:space="preserve">        Sick leave compensation </v>
      </c>
      <c r="F50" s="8">
        <f ca="1">IF(tDICT[Level Number]="",OFFSET(tDICT[[#This Row],[Level Number]],-1,0),tDICT[Level Number])</f>
        <v>5</v>
      </c>
      <c r="G5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50" s="8" t="str">
        <f ca="1">_xlfn.IFNA(VLOOKUP(tDICT[[#This Row],[Label]],tDICT[Parent Label],1,0)&gt;0,"Leaf")</f>
        <v>Leaf</v>
      </c>
      <c r="I50" s="9">
        <v>198</v>
      </c>
      <c r="J50" s="10">
        <v>18</v>
      </c>
      <c r="K50" s="10" t="s">
        <v>195</v>
      </c>
      <c r="L50" s="10"/>
      <c r="M50" s="10" t="s">
        <v>196</v>
      </c>
      <c r="N50" s="10" t="s">
        <v>197</v>
      </c>
      <c r="O50" s="10"/>
      <c r="P50" s="10" t="s">
        <v>47</v>
      </c>
      <c r="Q50" s="11" t="s">
        <v>40</v>
      </c>
      <c r="R50" s="10" t="b">
        <v>1</v>
      </c>
      <c r="S50" s="10"/>
      <c r="T50" s="10" t="s">
        <v>36</v>
      </c>
      <c r="U50" s="10"/>
      <c r="V50" s="10"/>
      <c r="W50" s="10"/>
      <c r="X50" s="10"/>
      <c r="Y50" s="10"/>
      <c r="Z50" s="10" t="s">
        <v>198</v>
      </c>
      <c r="AA50" s="10" t="s">
        <v>199</v>
      </c>
      <c r="AB50" s="10" t="s">
        <v>200</v>
      </c>
      <c r="AC50" s="10">
        <v>1</v>
      </c>
      <c r="AD50" s="10"/>
      <c r="AE50" s="10"/>
      <c r="AF50" s="10">
        <v>5</v>
      </c>
    </row>
    <row r="51" spans="2:32" x14ac:dyDescent="0.25">
      <c r="B51" s="4">
        <f>(ROW(tDICT[[#This Row],[Table Name]])-ROW(tDICT[[#Headers],[Table Name]]))*8</f>
        <v>376</v>
      </c>
      <c r="C51" s="5" t="str">
        <f>pTABLE</f>
        <v>dbo.tbl_D_COMPONENT</v>
      </c>
      <c r="D51" s="6"/>
      <c r="E51" s="7" t="str">
        <f ca="1">IFERROR(REPT("  ", tDICT[[#This Row],[LVL]]-1) &amp; tDICT[[#This Row],[Name]], tDICT[[#This Row],[Name]])</f>
        <v xml:space="preserve">        Sick leave compensation (more then 3 days)</v>
      </c>
      <c r="F51" s="8">
        <f ca="1">IF(tDICT[Level Number]="",OFFSET(tDICT[[#This Row],[Level Number]],-1,0),tDICT[Level Number])</f>
        <v>5</v>
      </c>
      <c r="G5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51" s="8" t="str">
        <f ca="1">_xlfn.IFNA(VLOOKUP(tDICT[[#This Row],[Label]],tDICT[Parent Label],1,0)&gt;0,"Leaf")</f>
        <v>Leaf</v>
      </c>
      <c r="I51" s="9">
        <v>199</v>
      </c>
      <c r="J51" s="10">
        <v>18</v>
      </c>
      <c r="K51" s="10" t="s">
        <v>201</v>
      </c>
      <c r="L51" s="10"/>
      <c r="M51" s="10" t="s">
        <v>202</v>
      </c>
      <c r="N51" s="10" t="s">
        <v>203</v>
      </c>
      <c r="O51" s="10"/>
      <c r="P51" s="10" t="s">
        <v>47</v>
      </c>
      <c r="Q51" s="11" t="s">
        <v>40</v>
      </c>
      <c r="R51" s="10" t="b">
        <v>1</v>
      </c>
      <c r="S51" s="10"/>
      <c r="T51" s="10" t="s">
        <v>36</v>
      </c>
      <c r="U51" s="10"/>
      <c r="V51" s="10"/>
      <c r="W51" s="10"/>
      <c r="X51" s="10"/>
      <c r="Y51" s="10"/>
      <c r="Z51" s="10" t="s">
        <v>198</v>
      </c>
      <c r="AA51" s="10" t="s">
        <v>199</v>
      </c>
      <c r="AB51" s="10" t="s">
        <v>200</v>
      </c>
      <c r="AC51" s="10"/>
      <c r="AD51" s="10"/>
      <c r="AE51" s="10"/>
      <c r="AF51" s="10">
        <v>5</v>
      </c>
    </row>
    <row r="52" spans="2:32" x14ac:dyDescent="0.25">
      <c r="B52" s="4">
        <f>(ROW(tDICT[[#This Row],[Table Name]])-ROW(tDICT[[#Headers],[Table Name]]))*8</f>
        <v>384</v>
      </c>
      <c r="C52" s="5" t="str">
        <f>pTABLE</f>
        <v>dbo.tbl_D_COMPONENT</v>
      </c>
      <c r="D52" s="6"/>
      <c r="E52" s="7" t="str">
        <f ca="1">IFERROR(REPT("  ", tDICT[[#This Row],[LVL]]-1) &amp; tDICT[[#This Row],[Name]], tDICT[[#This Row],[Name]])</f>
        <v xml:space="preserve">        Day Off Compensation</v>
      </c>
      <c r="F52" s="8">
        <f ca="1">IF(tDICT[Level Number]="",OFFSET(tDICT[[#This Row],[Level Number]],-1,0),tDICT[Level Number])</f>
        <v>5</v>
      </c>
      <c r="G5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52" s="8" t="str">
        <f ca="1">_xlfn.IFNA(VLOOKUP(tDICT[[#This Row],[Label]],tDICT[Parent Label],1,0)&gt;0,"Leaf")</f>
        <v>Leaf</v>
      </c>
      <c r="I52" s="9">
        <v>221</v>
      </c>
      <c r="J52" s="10">
        <v>18</v>
      </c>
      <c r="K52" s="10" t="s">
        <v>204</v>
      </c>
      <c r="L52" s="10"/>
      <c r="M52" s="10" t="s">
        <v>205</v>
      </c>
      <c r="N52" s="10" t="s">
        <v>206</v>
      </c>
      <c r="O52" s="10"/>
      <c r="P52" s="10" t="s">
        <v>47</v>
      </c>
      <c r="Q52" s="11" t="s">
        <v>40</v>
      </c>
      <c r="R52" s="10" t="b">
        <v>1</v>
      </c>
      <c r="S52" s="10"/>
      <c r="T52" s="10" t="s">
        <v>36</v>
      </c>
      <c r="U52" s="10"/>
      <c r="V52" s="10"/>
      <c r="W52" s="10"/>
      <c r="X52" s="10"/>
      <c r="Y52" s="10"/>
      <c r="Z52" s="10"/>
      <c r="AA52" s="10"/>
      <c r="AB52" s="10"/>
      <c r="AC52" s="10"/>
      <c r="AD52" s="10" t="s">
        <v>207</v>
      </c>
      <c r="AE52" s="10" t="s">
        <v>208</v>
      </c>
      <c r="AF52" s="10">
        <v>5</v>
      </c>
    </row>
    <row r="53" spans="2:32" x14ac:dyDescent="0.25">
      <c r="B53" s="4">
        <f>(ROW(tDICT[[#This Row],[Table Name]])-ROW(tDICT[[#Headers],[Table Name]]))*8</f>
        <v>392</v>
      </c>
      <c r="C53" s="5" t="str">
        <f>pTABLE</f>
        <v>dbo.tbl_D_COMPONENT</v>
      </c>
      <c r="D53" s="6"/>
      <c r="E53" s="7" t="str">
        <f ca="1">IFERROR(REPT("  ", tDICT[[#This Row],[LVL]]-1) &amp; tDICT[[#This Row],[Name]], tDICT[[#This Row],[Name]])</f>
        <v xml:space="preserve">        Business Trip Compensation</v>
      </c>
      <c r="F53" s="8">
        <f ca="1">IF(tDICT[Level Number]="",OFFSET(tDICT[[#This Row],[Level Number]],-1,0),tDICT[Level Number])</f>
        <v>5</v>
      </c>
      <c r="G5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53" s="8" t="str">
        <f ca="1">_xlfn.IFNA(VLOOKUP(tDICT[[#This Row],[Label]],tDICT[Parent Label],1,0)&gt;0,"Leaf")</f>
        <v>Leaf</v>
      </c>
      <c r="I53" s="9">
        <v>222</v>
      </c>
      <c r="J53" s="10">
        <v>18</v>
      </c>
      <c r="K53" s="10" t="s">
        <v>209</v>
      </c>
      <c r="L53" s="10"/>
      <c r="M53" s="10" t="s">
        <v>210</v>
      </c>
      <c r="N53" s="10" t="s">
        <v>211</v>
      </c>
      <c r="O53" s="10"/>
      <c r="P53" s="10" t="s">
        <v>47</v>
      </c>
      <c r="Q53" s="11" t="s">
        <v>40</v>
      </c>
      <c r="R53" s="10" t="b">
        <v>1</v>
      </c>
      <c r="S53" s="10"/>
      <c r="T53" s="10" t="s">
        <v>36</v>
      </c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>
        <v>5</v>
      </c>
    </row>
    <row r="54" spans="2:32" x14ac:dyDescent="0.25">
      <c r="B54" s="4">
        <f>(ROW(tDICT[[#This Row],[Table Name]])-ROW(tDICT[[#Headers],[Table Name]]))*8</f>
        <v>400</v>
      </c>
      <c r="C54" s="5" t="str">
        <f>pTABLE</f>
        <v>dbo.tbl_D_COMPONENT</v>
      </c>
      <c r="D54" s="6"/>
      <c r="E54" s="7" t="str">
        <f ca="1">IFERROR(REPT("  ", tDICT[[#This Row],[LVL]]-1) &amp; tDICT[[#This Row],[Name]], tDICT[[#This Row],[Name]])</f>
        <v xml:space="preserve">        Weekend work</v>
      </c>
      <c r="F54" s="8">
        <f ca="1">IF(tDICT[Level Number]="",OFFSET(tDICT[[#This Row],[Level Number]],-1,0),tDICT[Level Number])</f>
        <v>5</v>
      </c>
      <c r="G5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54" s="8" t="str">
        <f ca="1">_xlfn.IFNA(VLOOKUP(tDICT[[#This Row],[Label]],tDICT[Parent Label],1,0)&gt;0,"Leaf")</f>
        <v>Leaf</v>
      </c>
      <c r="I54" s="9">
        <v>228</v>
      </c>
      <c r="J54" s="10">
        <v>18</v>
      </c>
      <c r="K54" s="10" t="s">
        <v>212</v>
      </c>
      <c r="L54" s="10"/>
      <c r="M54" s="10" t="s">
        <v>213</v>
      </c>
      <c r="N54" s="10" t="s">
        <v>214</v>
      </c>
      <c r="O54" s="10"/>
      <c r="P54" s="10" t="s">
        <v>47</v>
      </c>
      <c r="Q54" s="11" t="s">
        <v>40</v>
      </c>
      <c r="R54" s="10" t="b">
        <v>1</v>
      </c>
      <c r="S54" s="10"/>
      <c r="T54" s="10" t="s">
        <v>36</v>
      </c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>
        <v>5</v>
      </c>
    </row>
    <row r="55" spans="2:32" x14ac:dyDescent="0.25">
      <c r="B55" s="4">
        <f>(ROW(tDICT[[#This Row],[Table Name]])-ROW(tDICT[[#Headers],[Table Name]]))*8</f>
        <v>408</v>
      </c>
      <c r="C55" s="5" t="str">
        <f>pTABLE</f>
        <v>dbo.tbl_D_COMPONENT</v>
      </c>
      <c r="D55" s="6"/>
      <c r="E55" s="7" t="str">
        <f ca="1">IFERROR(REPT("  ", tDICT[[#This Row],[LVL]]-1) &amp; tDICT[[#This Row],[Name]], tDICT[[#This Row],[Name]])</f>
        <v xml:space="preserve">        Maternity leave</v>
      </c>
      <c r="F55" s="8">
        <f ca="1">IF(tDICT[Level Number]="",OFFSET(tDICT[[#This Row],[Level Number]],-1,0),tDICT[Level Number])</f>
        <v>5</v>
      </c>
      <c r="G5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55" s="8" t="str">
        <f ca="1">_xlfn.IFNA(VLOOKUP(tDICT[[#This Row],[Label]],tDICT[Parent Label],1,0)&gt;0,"Leaf")</f>
        <v>Leaf</v>
      </c>
      <c r="I55" s="9">
        <v>42141</v>
      </c>
      <c r="J55" s="10">
        <v>18</v>
      </c>
      <c r="K55" s="10" t="s">
        <v>215</v>
      </c>
      <c r="L55" s="10"/>
      <c r="M55" s="10" t="s">
        <v>216</v>
      </c>
      <c r="N55" s="10" t="s">
        <v>217</v>
      </c>
      <c r="O55" s="10"/>
      <c r="P55" s="10"/>
      <c r="Q55" s="11" t="s">
        <v>40</v>
      </c>
      <c r="R55" s="10" t="b">
        <v>1</v>
      </c>
      <c r="S55" s="10"/>
      <c r="T55" s="10" t="s">
        <v>36</v>
      </c>
      <c r="U55" s="10"/>
      <c r="V55" s="10"/>
      <c r="W55" s="10"/>
      <c r="X55" s="10"/>
      <c r="Y55" s="10"/>
      <c r="Z55" s="10" t="s">
        <v>218</v>
      </c>
      <c r="AA55" s="10" t="s">
        <v>217</v>
      </c>
      <c r="AB55" s="10" t="s">
        <v>219</v>
      </c>
      <c r="AC55" s="10">
        <v>1</v>
      </c>
      <c r="AD55" s="10"/>
      <c r="AE55" s="10"/>
      <c r="AF55" s="10">
        <v>5</v>
      </c>
    </row>
    <row r="56" spans="2:32" x14ac:dyDescent="0.25">
      <c r="B56" s="4">
        <f>(ROW(tDICT[[#This Row],[Table Name]])-ROW(tDICT[[#Headers],[Table Name]]))*8</f>
        <v>416</v>
      </c>
      <c r="C56" s="5" t="str">
        <f>pTABLE</f>
        <v>dbo.tbl_D_COMPONENT</v>
      </c>
      <c r="D56" s="6"/>
      <c r="E56" s="7" t="str">
        <f ca="1">IFERROR(REPT("  ", tDICT[[#This Row],[LVL]]-1) &amp; tDICT[[#This Row],[Name]], tDICT[[#This Row],[Name]])</f>
        <v xml:space="preserve">        Other payments</v>
      </c>
      <c r="F56" s="8">
        <f ca="1">IF(tDICT[Level Number]="",OFFSET(tDICT[[#This Row],[Level Number]],-1,0),tDICT[Level Number])</f>
        <v>5</v>
      </c>
      <c r="G5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56" s="8" t="str">
        <f ca="1">_xlfn.IFNA(VLOOKUP(tDICT[[#This Row],[Label]],tDICT[Parent Label],1,0)&gt;0,"Leaf")</f>
        <v>Leaf</v>
      </c>
      <c r="I56" s="9">
        <v>230</v>
      </c>
      <c r="J56" s="10">
        <v>18</v>
      </c>
      <c r="K56" s="10" t="s">
        <v>220</v>
      </c>
      <c r="L56" s="10"/>
      <c r="M56" s="10" t="s">
        <v>221</v>
      </c>
      <c r="N56" s="10" t="s">
        <v>222</v>
      </c>
      <c r="O56" s="10"/>
      <c r="P56" s="10" t="s">
        <v>47</v>
      </c>
      <c r="Q56" s="11" t="s">
        <v>40</v>
      </c>
      <c r="R56" s="10" t="b">
        <v>1</v>
      </c>
      <c r="S56" s="10"/>
      <c r="T56" s="10" t="s">
        <v>36</v>
      </c>
      <c r="U56" s="10"/>
      <c r="V56" s="10"/>
      <c r="W56" s="10"/>
      <c r="X56" s="10"/>
      <c r="Y56" s="10"/>
      <c r="Z56" s="10" t="s">
        <v>223</v>
      </c>
      <c r="AA56" s="10" t="s">
        <v>224</v>
      </c>
      <c r="AB56" s="10" t="s">
        <v>225</v>
      </c>
      <c r="AC56" s="10">
        <v>1</v>
      </c>
      <c r="AD56" s="10" t="s">
        <v>226</v>
      </c>
      <c r="AE56" s="10" t="s">
        <v>227</v>
      </c>
      <c r="AF56" s="10">
        <v>5</v>
      </c>
    </row>
    <row r="57" spans="2:32" x14ac:dyDescent="0.25">
      <c r="B57" s="4">
        <f>(ROW(tDICT[[#This Row],[Table Name]])-ROW(tDICT[[#Headers],[Table Name]]))*8</f>
        <v>424</v>
      </c>
      <c r="C57" s="5" t="str">
        <f>pTABLE</f>
        <v>dbo.tbl_D_COMPONENT</v>
      </c>
      <c r="D57" s="6"/>
      <c r="E57" s="7" t="str">
        <f ca="1">IFERROR(REPT("  ", tDICT[[#This Row],[LVL]]-1) &amp; tDICT[[#This Row],[Name]], tDICT[[#This Row],[Name]])</f>
        <v xml:space="preserve">      Total Bonus</v>
      </c>
      <c r="F57" s="8">
        <f ca="1">IF(tDICT[Level Number]="",OFFSET(tDICT[[#This Row],[Level Number]],-1,0),tDICT[Level Number])</f>
        <v>4</v>
      </c>
      <c r="G5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57" s="8" t="b">
        <f ca="1">_xlfn.IFNA(VLOOKUP(tDICT[[#This Row],[Label]],tDICT[Parent Label],1,0)&gt;0,"Leaf")</f>
        <v>1</v>
      </c>
      <c r="I57" s="9">
        <v>43</v>
      </c>
      <c r="J57" s="10">
        <v>1</v>
      </c>
      <c r="K57" s="10" t="s">
        <v>228</v>
      </c>
      <c r="L57" s="10" t="s">
        <v>228</v>
      </c>
      <c r="M57" s="10" t="s">
        <v>229</v>
      </c>
      <c r="N57" s="10" t="s">
        <v>230</v>
      </c>
      <c r="O57" s="10"/>
      <c r="P57" s="10" t="s">
        <v>39</v>
      </c>
      <c r="Q57" s="11" t="s">
        <v>40</v>
      </c>
      <c r="R57" s="10" t="b">
        <v>1</v>
      </c>
      <c r="S57" s="10"/>
      <c r="T57" s="10" t="s">
        <v>36</v>
      </c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>
        <v>4</v>
      </c>
    </row>
    <row r="58" spans="2:32" x14ac:dyDescent="0.25">
      <c r="B58" s="4">
        <f>(ROW(tDICT[[#This Row],[Table Name]])-ROW(tDICT[[#Headers],[Table Name]]))*8</f>
        <v>432</v>
      </c>
      <c r="C58" s="5" t="str">
        <f>pTABLE</f>
        <v>dbo.tbl_D_COMPONENT</v>
      </c>
      <c r="D58" s="6"/>
      <c r="E58" s="7" t="str">
        <f ca="1">IFERROR(REPT("  ", tDICT[[#This Row],[LVL]]-1) &amp; tDICT[[#This Row],[Name]], tDICT[[#This Row],[Name]])</f>
        <v xml:space="preserve">        Total Discretionary Bonus</v>
      </c>
      <c r="F58" s="8">
        <f ca="1">IF(tDICT[Level Number]="",OFFSET(tDICT[[#This Row],[Level Number]],-1,0),tDICT[Level Number])</f>
        <v>5</v>
      </c>
      <c r="G5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TOTAL_BONUS</v>
      </c>
      <c r="H58" s="8" t="b">
        <f ca="1">_xlfn.IFNA(VLOOKUP(tDICT[[#This Row],[Label]],tDICT[Parent Label],1,0)&gt;0,"Leaf")</f>
        <v>1</v>
      </c>
      <c r="I58" s="9">
        <v>101</v>
      </c>
      <c r="J58" s="10">
        <v>43</v>
      </c>
      <c r="K58" s="10" t="s">
        <v>231</v>
      </c>
      <c r="L58" s="10"/>
      <c r="M58" s="10" t="s">
        <v>232</v>
      </c>
      <c r="N58" s="10" t="s">
        <v>233</v>
      </c>
      <c r="O58" s="10"/>
      <c r="P58" s="10" t="s">
        <v>230</v>
      </c>
      <c r="Q58" s="11" t="s">
        <v>40</v>
      </c>
      <c r="R58" s="10" t="b">
        <v>1</v>
      </c>
      <c r="S58" s="10">
        <v>1</v>
      </c>
      <c r="T58" s="10" t="s">
        <v>36</v>
      </c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>
        <v>5</v>
      </c>
    </row>
    <row r="59" spans="2:32" x14ac:dyDescent="0.25">
      <c r="B59" s="4">
        <f>(ROW(tDICT[[#This Row],[Table Name]])-ROW(tDICT[[#Headers],[Table Name]]))*8</f>
        <v>440</v>
      </c>
      <c r="C59" s="5" t="str">
        <f>pTABLE</f>
        <v>dbo.tbl_D_COMPONENT</v>
      </c>
      <c r="D59" s="6"/>
      <c r="E59" s="7" t="str">
        <f ca="1">IFERROR(REPT("  ", tDICT[[#This Row],[LVL]]-1) &amp; tDICT[[#This Row],[Name]], tDICT[[#This Row],[Name]])</f>
        <v xml:space="preserve">          Business Trip Deduction</v>
      </c>
      <c r="F59" s="8">
        <f ca="1">IF(tDICT[Level Number]="",OFFSET(tDICT[[#This Row],[Level Number]],-1,0),tDICT[Level Number])</f>
        <v>6</v>
      </c>
      <c r="G5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TOTAL_DISCRETIONARY_BONUS</v>
      </c>
      <c r="H59" s="8" t="str">
        <f ca="1">_xlfn.IFNA(VLOOKUP(tDICT[[#This Row],[Label]],tDICT[Parent Label],1,0)&gt;0,"Leaf")</f>
        <v>Leaf</v>
      </c>
      <c r="I59" s="9">
        <v>144</v>
      </c>
      <c r="J59" s="10">
        <v>101</v>
      </c>
      <c r="K59" s="10" t="s">
        <v>234</v>
      </c>
      <c r="L59" s="10"/>
      <c r="M59" s="10" t="s">
        <v>235</v>
      </c>
      <c r="N59" s="10" t="s">
        <v>236</v>
      </c>
      <c r="O59" s="10"/>
      <c r="P59" s="10" t="s">
        <v>233</v>
      </c>
      <c r="Q59" s="11" t="s">
        <v>40</v>
      </c>
      <c r="R59" s="10" t="b">
        <v>1</v>
      </c>
      <c r="S59" s="10">
        <v>1</v>
      </c>
      <c r="T59" s="10" t="s">
        <v>36</v>
      </c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>
        <v>6</v>
      </c>
    </row>
    <row r="60" spans="2:32" x14ac:dyDescent="0.25">
      <c r="B60" s="4">
        <f>(ROW(tDICT[[#This Row],[Table Name]])-ROW(tDICT[[#Headers],[Table Name]]))*8</f>
        <v>448</v>
      </c>
      <c r="C60" s="5" t="str">
        <f>pTABLE</f>
        <v>dbo.tbl_D_COMPONENT</v>
      </c>
      <c r="D60" s="6"/>
      <c r="E60" s="7" t="str">
        <f ca="1">IFERROR(REPT("  ", tDICT[[#This Row],[LVL]]-1) &amp; tDICT[[#This Row],[Name]], tDICT[[#This Row],[Name]])</f>
        <v xml:space="preserve">          Total Discretionary Bonus excl. Business Trip</v>
      </c>
      <c r="F60" s="8">
        <f ca="1">IF(tDICT[Level Number]="",OFFSET(tDICT[[#This Row],[Level Number]],-1,0),tDICT[Level Number])</f>
        <v>6</v>
      </c>
      <c r="G6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TOTAL_DISCRETIONARY_BONUS</v>
      </c>
      <c r="H60" s="8" t="b">
        <f ca="1">_xlfn.IFNA(VLOOKUP(tDICT[[#This Row],[Label]],tDICT[Parent Label],1,0)&gt;0,"Leaf")</f>
        <v>1</v>
      </c>
      <c r="I60" s="9">
        <v>160</v>
      </c>
      <c r="J60" s="10">
        <v>101</v>
      </c>
      <c r="K60" s="10" t="s">
        <v>237</v>
      </c>
      <c r="L60" s="10"/>
      <c r="M60" s="10" t="s">
        <v>238</v>
      </c>
      <c r="N60" s="10" t="s">
        <v>239</v>
      </c>
      <c r="O60" s="10"/>
      <c r="P60" s="10" t="s">
        <v>233</v>
      </c>
      <c r="Q60" s="11" t="s">
        <v>40</v>
      </c>
      <c r="R60" s="10" t="b">
        <v>1</v>
      </c>
      <c r="S60" s="10">
        <v>1</v>
      </c>
      <c r="T60" s="10" t="s">
        <v>36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>
        <v>6</v>
      </c>
    </row>
    <row r="61" spans="2:32" x14ac:dyDescent="0.25">
      <c r="B61" s="4">
        <f>(ROW(tDICT[[#This Row],[Table Name]])-ROW(tDICT[[#Headers],[Table Name]]))*8</f>
        <v>456</v>
      </c>
      <c r="C61" s="5" t="str">
        <f>pTABLE</f>
        <v>dbo.tbl_D_COMPONENT</v>
      </c>
      <c r="D61" s="6"/>
      <c r="E61" s="7" t="str">
        <f ca="1">IFERROR(REPT("  ", tDICT[[#This Row],[LVL]]-1) &amp; tDICT[[#This Row],[Name]], tDICT[[#This Row],[Name]])</f>
        <v xml:space="preserve">            Total Bonus Cash</v>
      </c>
      <c r="F61" s="8">
        <f ca="1">IF(tDICT[Level Number]="",OFFSET(tDICT[[#This Row],[Level Number]],-1,0),tDICT[Level Number])</f>
        <v>7</v>
      </c>
      <c r="G6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TOTAL_DISCRETIONARY_BONUS_BT</v>
      </c>
      <c r="H61" s="8" t="str">
        <f ca="1">_xlfn.IFNA(VLOOKUP(tDICT[[#This Row],[Label]],tDICT[Parent Label],1,0)&gt;0,"Leaf")</f>
        <v>Leaf</v>
      </c>
      <c r="I61" s="9">
        <v>2</v>
      </c>
      <c r="J61" s="10">
        <v>160</v>
      </c>
      <c r="K61" s="10" t="s">
        <v>240</v>
      </c>
      <c r="L61" s="10"/>
      <c r="M61" s="10" t="s">
        <v>241</v>
      </c>
      <c r="N61" s="10" t="s">
        <v>242</v>
      </c>
      <c r="O61" s="10"/>
      <c r="P61" s="10" t="s">
        <v>239</v>
      </c>
      <c r="Q61" s="11" t="s">
        <v>40</v>
      </c>
      <c r="R61" s="10" t="b">
        <v>1</v>
      </c>
      <c r="S61" s="10">
        <v>1</v>
      </c>
      <c r="T61" s="10" t="s">
        <v>36</v>
      </c>
      <c r="U61" s="10"/>
      <c r="V61" s="10"/>
      <c r="W61" s="10"/>
      <c r="X61" s="10"/>
      <c r="Y61" s="10"/>
      <c r="Z61" s="10" t="s">
        <v>243</v>
      </c>
      <c r="AA61" s="10" t="s">
        <v>244</v>
      </c>
      <c r="AB61" s="10" t="s">
        <v>245</v>
      </c>
      <c r="AC61" s="10">
        <v>1</v>
      </c>
      <c r="AD61" s="10" t="s">
        <v>246</v>
      </c>
      <c r="AE61" s="10" t="s">
        <v>247</v>
      </c>
      <c r="AF61" s="10">
        <v>7</v>
      </c>
    </row>
    <row r="62" spans="2:32" x14ac:dyDescent="0.25">
      <c r="B62" s="4">
        <f>(ROW(tDICT[[#This Row],[Table Name]])-ROW(tDICT[[#Headers],[Table Name]]))*8</f>
        <v>464</v>
      </c>
      <c r="C62" s="5" t="str">
        <f>pTABLE</f>
        <v>dbo.tbl_D_COMPONENT</v>
      </c>
      <c r="D62" s="6"/>
      <c r="E62" s="7" t="str">
        <f ca="1">IFERROR(REPT("  ", tDICT[[#This Row],[LVL]]-1) &amp; tDICT[[#This Row],[Name]], tDICT[[#This Row],[Name]])</f>
        <v xml:space="preserve">            Total Bonus Cash Capex</v>
      </c>
      <c r="F62" s="8">
        <f ca="1">IF(tDICT[Level Number]="",OFFSET(tDICT[[#This Row],[Level Number]],-1,0),tDICT[Level Number])</f>
        <v>7</v>
      </c>
      <c r="G6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TOTAL_DISCRETIONARY_BONUS_BT</v>
      </c>
      <c r="H62" s="8" t="b">
        <f ca="1">_xlfn.IFNA(VLOOKUP(tDICT[[#This Row],[Label]],tDICT[Parent Label],1,0)&gt;0,"Leaf")</f>
        <v>1</v>
      </c>
      <c r="I62" s="9">
        <v>4002</v>
      </c>
      <c r="J62" s="10">
        <v>160</v>
      </c>
      <c r="K62" s="10" t="s">
        <v>248</v>
      </c>
      <c r="L62" s="10"/>
      <c r="M62" s="10" t="s">
        <v>249</v>
      </c>
      <c r="N62" s="10" t="s">
        <v>250</v>
      </c>
      <c r="O62" s="10"/>
      <c r="P62" s="10" t="s">
        <v>239</v>
      </c>
      <c r="Q62" s="11" t="s">
        <v>40</v>
      </c>
      <c r="R62" s="10" t="b">
        <v>1</v>
      </c>
      <c r="S62" s="10">
        <v>1</v>
      </c>
      <c r="T62" s="10" t="s">
        <v>36</v>
      </c>
      <c r="U62" s="10"/>
      <c r="V62" s="10"/>
      <c r="W62" s="10"/>
      <c r="X62" s="10"/>
      <c r="Y62" s="10"/>
      <c r="Z62" s="10" t="s">
        <v>243</v>
      </c>
      <c r="AA62" s="10" t="s">
        <v>244</v>
      </c>
      <c r="AB62" s="10" t="s">
        <v>245</v>
      </c>
      <c r="AC62" s="10"/>
      <c r="AD62" s="10" t="s">
        <v>251</v>
      </c>
      <c r="AE62" s="10" t="s">
        <v>247</v>
      </c>
      <c r="AF62" s="10">
        <v>7</v>
      </c>
    </row>
    <row r="63" spans="2:32" x14ac:dyDescent="0.25">
      <c r="B63" s="4">
        <f>(ROW(tDICT[[#This Row],[Table Name]])-ROW(tDICT[[#Headers],[Table Name]]))*8</f>
        <v>472</v>
      </c>
      <c r="C63" s="5" t="str">
        <f>pTABLE</f>
        <v>dbo.tbl_D_COMPONENT</v>
      </c>
      <c r="D63" s="6"/>
      <c r="E63" s="7" t="str">
        <f ca="1">IFERROR(REPT("  ", tDICT[[#This Row],[LVL]]-1) &amp; tDICT[[#This Row],[Name]], tDICT[[#This Row],[Name]])</f>
        <v xml:space="preserve">              Annual Cash Bonus</v>
      </c>
      <c r="F63" s="8">
        <f ca="1">IF(tDICT[Level Number]="",OFFSET(tDICT[[#This Row],[Level Number]],-1,0),tDICT[Level Number])</f>
        <v>8</v>
      </c>
      <c r="G6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TOTAL_BONUS_CASH_CAPEX</v>
      </c>
      <c r="H63" s="8" t="str">
        <f ca="1">_xlfn.IFNA(VLOOKUP(tDICT[[#This Row],[Label]],tDICT[Parent Label],1,0)&gt;0,"Leaf")</f>
        <v>Leaf</v>
      </c>
      <c r="I63" s="9">
        <v>3</v>
      </c>
      <c r="J63" s="10">
        <v>2</v>
      </c>
      <c r="K63" s="10" t="s">
        <v>252</v>
      </c>
      <c r="L63" s="10" t="s">
        <v>252</v>
      </c>
      <c r="M63" s="10" t="s">
        <v>253</v>
      </c>
      <c r="N63" s="10" t="s">
        <v>254</v>
      </c>
      <c r="O63" s="10"/>
      <c r="P63" s="10" t="s">
        <v>242</v>
      </c>
      <c r="Q63" s="11" t="s">
        <v>40</v>
      </c>
      <c r="R63" s="10" t="b">
        <v>1</v>
      </c>
      <c r="S63" s="10">
        <v>1</v>
      </c>
      <c r="T63" s="10" t="s">
        <v>36</v>
      </c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>
        <v>8</v>
      </c>
    </row>
    <row r="64" spans="2:32" x14ac:dyDescent="0.25">
      <c r="B64" s="4">
        <f>(ROW(tDICT[[#This Row],[Table Name]])-ROW(tDICT[[#Headers],[Table Name]]))*8</f>
        <v>480</v>
      </c>
      <c r="C64" s="5" t="str">
        <f>pTABLE</f>
        <v>dbo.tbl_D_COMPONENT</v>
      </c>
      <c r="D64" s="6"/>
      <c r="E64" s="7" t="str">
        <f ca="1">IFERROR(REPT("  ", tDICT[[#This Row],[LVL]]-1) &amp; tDICT[[#This Row],[Name]], tDICT[[#This Row],[Name]])</f>
        <v xml:space="preserve">              Annual Bonus Cash Northern Top Up</v>
      </c>
      <c r="F64" s="8">
        <f ca="1">IF(tDICT[Level Number]="",OFFSET(tDICT[[#This Row],[Level Number]],-1,0),tDICT[Level Number])</f>
        <v>8</v>
      </c>
      <c r="G6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TOTAL_BONUS_CASH_CAPEX</v>
      </c>
      <c r="H64" s="8" t="str">
        <f ca="1">_xlfn.IFNA(VLOOKUP(tDICT[[#This Row],[Label]],tDICT[Parent Label],1,0)&gt;0,"Leaf")</f>
        <v>Leaf</v>
      </c>
      <c r="I64" s="9">
        <v>182</v>
      </c>
      <c r="J64" s="10">
        <v>2</v>
      </c>
      <c r="K64" s="10" t="s">
        <v>255</v>
      </c>
      <c r="L64" s="10"/>
      <c r="M64" s="10" t="s">
        <v>256</v>
      </c>
      <c r="N64" s="10" t="s">
        <v>257</v>
      </c>
      <c r="O64" s="10"/>
      <c r="P64" s="10" t="s">
        <v>242</v>
      </c>
      <c r="Q64" s="11" t="s">
        <v>40</v>
      </c>
      <c r="R64" s="10" t="b">
        <v>1</v>
      </c>
      <c r="S64" s="10">
        <v>1</v>
      </c>
      <c r="T64" s="10" t="s">
        <v>72</v>
      </c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>
        <v>8</v>
      </c>
    </row>
    <row r="65" spans="2:32" x14ac:dyDescent="0.25">
      <c r="B65" s="4">
        <f>(ROW(tDICT[[#This Row],[Table Name]])-ROW(tDICT[[#Headers],[Table Name]]))*8</f>
        <v>488</v>
      </c>
      <c r="C65" s="5" t="str">
        <f>pTABLE</f>
        <v>dbo.tbl_D_COMPONENT</v>
      </c>
      <c r="D65" s="6"/>
      <c r="E65" s="7" t="str">
        <f ca="1">IFERROR(REPT("  ", tDICT[[#This Row],[LVL]]-1) &amp; tDICT[[#This Row],[Name]], tDICT[[#This Row],[Name]])</f>
        <v xml:space="preserve">              Annual Bonus Cash Regional Top Up</v>
      </c>
      <c r="F65" s="8">
        <f ca="1">IF(tDICT[Level Number]="",OFFSET(tDICT[[#This Row],[Level Number]],-1,0),tDICT[Level Number])</f>
        <v>8</v>
      </c>
      <c r="G6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TOTAL_BONUS_CASH_CAPEX</v>
      </c>
      <c r="H65" s="8" t="str">
        <f ca="1">_xlfn.IFNA(VLOOKUP(tDICT[[#This Row],[Label]],tDICT[Parent Label],1,0)&gt;0,"Leaf")</f>
        <v>Leaf</v>
      </c>
      <c r="I65" s="9">
        <v>183</v>
      </c>
      <c r="J65" s="10">
        <v>2</v>
      </c>
      <c r="K65" s="10" t="s">
        <v>258</v>
      </c>
      <c r="L65" s="10"/>
      <c r="M65" s="10" t="s">
        <v>259</v>
      </c>
      <c r="N65" s="10" t="s">
        <v>260</v>
      </c>
      <c r="O65" s="10"/>
      <c r="P65" s="10" t="s">
        <v>242</v>
      </c>
      <c r="Q65" s="11" t="s">
        <v>40</v>
      </c>
      <c r="R65" s="10" t="b">
        <v>1</v>
      </c>
      <c r="S65" s="10">
        <v>1</v>
      </c>
      <c r="T65" s="10" t="s">
        <v>76</v>
      </c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>
        <v>8</v>
      </c>
    </row>
    <row r="66" spans="2:32" x14ac:dyDescent="0.25">
      <c r="B66" s="4">
        <f>(ROW(tDICT[[#This Row],[Table Name]])-ROW(tDICT[[#Headers],[Table Name]]))*8</f>
        <v>496</v>
      </c>
      <c r="C66" s="5" t="str">
        <f>pTABLE</f>
        <v>dbo.tbl_D_COMPONENT</v>
      </c>
      <c r="D66" s="6"/>
      <c r="E66" s="7" t="str">
        <f ca="1">IFERROR(REPT("  ", tDICT[[#This Row],[LVL]]-1) &amp; tDICT[[#This Row],[Name]], tDICT[[#This Row],[Name]])</f>
        <v xml:space="preserve">              Bonus Northern Top Up</v>
      </c>
      <c r="F66" s="8">
        <f ca="1">IF(tDICT[Level Number]="",OFFSET(tDICT[[#This Row],[Level Number]],-1,0),tDICT[Level Number])</f>
        <v>8</v>
      </c>
      <c r="G6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TOTAL_BONUS_CASH_CAPEX</v>
      </c>
      <c r="H66" s="8" t="str">
        <f ca="1">_xlfn.IFNA(VLOOKUP(tDICT[[#This Row],[Label]],tDICT[Parent Label],1,0)&gt;0,"Leaf")</f>
        <v>Leaf</v>
      </c>
      <c r="I66" s="9">
        <v>16</v>
      </c>
      <c r="J66" s="10">
        <v>2</v>
      </c>
      <c r="K66" s="10" t="s">
        <v>261</v>
      </c>
      <c r="L66" s="10"/>
      <c r="M66" s="10" t="s">
        <v>262</v>
      </c>
      <c r="N66" s="10" t="s">
        <v>263</v>
      </c>
      <c r="O66" s="10"/>
      <c r="P66" s="10" t="s">
        <v>242</v>
      </c>
      <c r="Q66" s="11" t="s">
        <v>40</v>
      </c>
      <c r="R66" s="10" t="b">
        <v>1</v>
      </c>
      <c r="S66" s="10">
        <v>1</v>
      </c>
      <c r="T66" s="10" t="s">
        <v>72</v>
      </c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>
        <v>8</v>
      </c>
    </row>
    <row r="67" spans="2:32" x14ac:dyDescent="0.25">
      <c r="B67" s="4">
        <f>(ROW(tDICT[[#This Row],[Table Name]])-ROW(tDICT[[#Headers],[Table Name]]))*8</f>
        <v>504</v>
      </c>
      <c r="C67" s="5" t="str">
        <f>pTABLE</f>
        <v>dbo.tbl_D_COMPONENT</v>
      </c>
      <c r="D67" s="6"/>
      <c r="E67" s="7" t="str">
        <f ca="1">IFERROR(REPT("  ", tDICT[[#This Row],[LVL]]-1) &amp; tDICT[[#This Row],[Name]], tDICT[[#This Row],[Name]])</f>
        <v xml:space="preserve">              Bonus Regional Top Up</v>
      </c>
      <c r="F67" s="8">
        <f ca="1">IF(tDICT[Level Number]="",OFFSET(tDICT[[#This Row],[Level Number]],-1,0),tDICT[Level Number])</f>
        <v>8</v>
      </c>
      <c r="G6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TOTAL_BONUS_CASH_CAPEX</v>
      </c>
      <c r="H67" s="8" t="str">
        <f ca="1">_xlfn.IFNA(VLOOKUP(tDICT[[#This Row],[Label]],tDICT[Parent Label],1,0)&gt;0,"Leaf")</f>
        <v>Leaf</v>
      </c>
      <c r="I67" s="9">
        <v>17</v>
      </c>
      <c r="J67" s="10">
        <v>2</v>
      </c>
      <c r="K67" s="10" t="s">
        <v>264</v>
      </c>
      <c r="L67" s="10"/>
      <c r="M67" s="10" t="s">
        <v>265</v>
      </c>
      <c r="N67" s="10" t="s">
        <v>266</v>
      </c>
      <c r="O67" s="10"/>
      <c r="P67" s="10" t="s">
        <v>242</v>
      </c>
      <c r="Q67" s="11" t="s">
        <v>40</v>
      </c>
      <c r="R67" s="10" t="b">
        <v>1</v>
      </c>
      <c r="S67" s="10">
        <v>1</v>
      </c>
      <c r="T67" s="10" t="s">
        <v>76</v>
      </c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>
        <v>8</v>
      </c>
    </row>
    <row r="68" spans="2:32" x14ac:dyDescent="0.25">
      <c r="B68" s="4">
        <f>(ROW(tDICT[[#This Row],[Table Name]])-ROW(tDICT[[#Headers],[Table Name]]))*8</f>
        <v>512</v>
      </c>
      <c r="C68" s="5" t="str">
        <f>pTABLE</f>
        <v>dbo.tbl_D_COMPONENT</v>
      </c>
      <c r="D68" s="6"/>
      <c r="E68" s="7" t="str">
        <f ca="1">IFERROR(REPT("  ", tDICT[[#This Row],[LVL]]-1) &amp; tDICT[[#This Row],[Name]], tDICT[[#This Row],[Name]])</f>
        <v xml:space="preserve">            Total Deferral</v>
      </c>
      <c r="F68" s="8">
        <f ca="1">IF(tDICT[Level Number]="",OFFSET(tDICT[[#This Row],[Level Number]],-1,0),tDICT[Level Number])</f>
        <v>7</v>
      </c>
      <c r="G6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68" s="8" t="b">
        <f ca="1">_xlfn.IFNA(VLOOKUP(tDICT[[#This Row],[Label]],tDICT[Parent Label],1,0)&gt;0,"Leaf")</f>
        <v>1</v>
      </c>
      <c r="I68" s="9">
        <v>29</v>
      </c>
      <c r="J68" s="10">
        <v>160</v>
      </c>
      <c r="K68" s="10" t="s">
        <v>267</v>
      </c>
      <c r="L68" s="10"/>
      <c r="M68" s="10" t="s">
        <v>268</v>
      </c>
      <c r="N68" s="10" t="s">
        <v>269</v>
      </c>
      <c r="O68" s="10"/>
      <c r="P68" s="10" t="s">
        <v>233</v>
      </c>
      <c r="Q68" s="11" t="s">
        <v>40</v>
      </c>
      <c r="R68" s="10" t="b">
        <v>1</v>
      </c>
      <c r="S68" s="10">
        <v>3</v>
      </c>
      <c r="T68" s="10" t="s">
        <v>36</v>
      </c>
      <c r="U68" s="10"/>
      <c r="V68" s="10"/>
      <c r="W68" s="10"/>
      <c r="X68" s="10"/>
      <c r="Y68" s="10"/>
      <c r="Z68" s="10" t="s">
        <v>270</v>
      </c>
      <c r="AA68" s="10" t="s">
        <v>271</v>
      </c>
      <c r="AB68" s="10" t="s">
        <v>272</v>
      </c>
      <c r="AC68" s="10">
        <v>1</v>
      </c>
      <c r="AD68" s="10" t="s">
        <v>273</v>
      </c>
      <c r="AE68" s="10" t="s">
        <v>274</v>
      </c>
      <c r="AF68" s="10">
        <v>7</v>
      </c>
    </row>
    <row r="69" spans="2:32" x14ac:dyDescent="0.25">
      <c r="B69" s="4">
        <f>(ROW(tDICT[[#This Row],[Table Name]])-ROW(tDICT[[#Headers],[Table Name]]))*8</f>
        <v>520</v>
      </c>
      <c r="C69" s="5" t="str">
        <f>pTABLE</f>
        <v>dbo.tbl_D_COMPONENT</v>
      </c>
      <c r="D69" s="6"/>
      <c r="E69" s="7" t="str">
        <f ca="1">IFERROR(REPT("  ", tDICT[[#This Row],[LVL]]-1) &amp; tDICT[[#This Row],[Name]], tDICT[[#This Row],[Name]])</f>
        <v xml:space="preserve">              Deferred Cash Bonus</v>
      </c>
      <c r="F69" s="8">
        <f ca="1">IF(tDICT[Level Number]="",OFFSET(tDICT[[#This Row],[Level Number]],-1,0),tDICT[Level Number])</f>
        <v>8</v>
      </c>
      <c r="G6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TOTAL_DEFERRAL</v>
      </c>
      <c r="H69" s="8" t="str">
        <f ca="1">_xlfn.IFNA(VLOOKUP(tDICT[[#This Row],[Label]],tDICT[Parent Label],1,0)&gt;0,"Leaf")</f>
        <v>Leaf</v>
      </c>
      <c r="I69" s="9">
        <v>30</v>
      </c>
      <c r="J69" s="10">
        <v>29</v>
      </c>
      <c r="K69" s="10" t="s">
        <v>275</v>
      </c>
      <c r="L69" s="10"/>
      <c r="M69" s="10" t="s">
        <v>276</v>
      </c>
      <c r="N69" s="10" t="s">
        <v>277</v>
      </c>
      <c r="O69" s="10"/>
      <c r="P69" s="10" t="s">
        <v>269</v>
      </c>
      <c r="Q69" s="11" t="s">
        <v>40</v>
      </c>
      <c r="R69" s="10" t="b">
        <v>1</v>
      </c>
      <c r="S69" s="10">
        <v>3</v>
      </c>
      <c r="T69" s="10" t="s">
        <v>36</v>
      </c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>
        <v>8</v>
      </c>
    </row>
    <row r="70" spans="2:32" x14ac:dyDescent="0.25">
      <c r="B70" s="4">
        <f>(ROW(tDICT[[#This Row],[Table Name]])-ROW(tDICT[[#Headers],[Table Name]]))*8</f>
        <v>528</v>
      </c>
      <c r="C70" s="5" t="str">
        <f>pTABLE</f>
        <v>dbo.tbl_D_COMPONENT</v>
      </c>
      <c r="D70" s="6"/>
      <c r="E70" s="7" t="str">
        <f ca="1">IFERROR(REPT("  ", tDICT[[#This Row],[LVL]]-1) &amp; tDICT[[#This Row],[Name]], tDICT[[#This Row],[Name]])</f>
        <v xml:space="preserve">              Deferred Shares Bonus</v>
      </c>
      <c r="F70" s="8">
        <f ca="1">IF(tDICT[Level Number]="",OFFSET(tDICT[[#This Row],[Level Number]],-1,0),tDICT[Level Number])</f>
        <v>8</v>
      </c>
      <c r="G7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TOTAL_DEFERRAL</v>
      </c>
      <c r="H70" s="8" t="str">
        <f ca="1">_xlfn.IFNA(VLOOKUP(tDICT[[#This Row],[Label]],tDICT[Parent Label],1,0)&gt;0,"Leaf")</f>
        <v>Leaf</v>
      </c>
      <c r="I70" s="9">
        <v>31</v>
      </c>
      <c r="J70" s="10">
        <v>29</v>
      </c>
      <c r="K70" s="10" t="s">
        <v>278</v>
      </c>
      <c r="L70" s="10"/>
      <c r="M70" s="10" t="s">
        <v>279</v>
      </c>
      <c r="N70" s="10" t="s">
        <v>280</v>
      </c>
      <c r="O70" s="10"/>
      <c r="P70" s="10" t="s">
        <v>269</v>
      </c>
      <c r="Q70" s="11" t="s">
        <v>40</v>
      </c>
      <c r="R70" s="10" t="b">
        <v>1</v>
      </c>
      <c r="S70" s="10">
        <v>3</v>
      </c>
      <c r="T70" s="10" t="s">
        <v>36</v>
      </c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>
        <v>8</v>
      </c>
    </row>
    <row r="71" spans="2:32" x14ac:dyDescent="0.25">
      <c r="B71" s="4">
        <f>(ROW(tDICT[[#This Row],[Table Name]])-ROW(tDICT[[#Headers],[Table Name]]))*8</f>
        <v>536</v>
      </c>
      <c r="C71" s="5" t="str">
        <f>pTABLE</f>
        <v>dbo.tbl_D_COMPONENT</v>
      </c>
      <c r="D71" s="6"/>
      <c r="E71" s="7" t="str">
        <f ca="1">IFERROR(REPT("  ", tDICT[[#This Row],[LVL]]-1) &amp; tDICT[[#This Row],[Name]], tDICT[[#This Row],[Name]])</f>
        <v xml:space="preserve">              Deferred Long Term Insentive</v>
      </c>
      <c r="F71" s="8">
        <f ca="1">IF(tDICT[Level Number]="",OFFSET(tDICT[[#This Row],[Level Number]],-1,0),tDICT[Level Number])</f>
        <v>8</v>
      </c>
      <c r="G7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TOTAL_DEFERRAL</v>
      </c>
      <c r="H71" s="8" t="str">
        <f ca="1">_xlfn.IFNA(VLOOKUP(tDICT[[#This Row],[Label]],tDICT[Parent Label],1,0)&gt;0,"Leaf")</f>
        <v>Leaf</v>
      </c>
      <c r="I71" s="9">
        <v>32</v>
      </c>
      <c r="J71" s="10">
        <v>29</v>
      </c>
      <c r="K71" s="10" t="s">
        <v>281</v>
      </c>
      <c r="L71" s="10"/>
      <c r="M71" s="10" t="s">
        <v>282</v>
      </c>
      <c r="N71" s="10" t="s">
        <v>283</v>
      </c>
      <c r="O71" s="10"/>
      <c r="P71" s="10" t="s">
        <v>269</v>
      </c>
      <c r="Q71" s="11" t="s">
        <v>40</v>
      </c>
      <c r="R71" s="10" t="b">
        <v>1</v>
      </c>
      <c r="S71" s="10">
        <v>3</v>
      </c>
      <c r="T71" s="10" t="s">
        <v>36</v>
      </c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>
        <v>8</v>
      </c>
    </row>
    <row r="72" spans="2:32" x14ac:dyDescent="0.25">
      <c r="B72" s="4">
        <f>(ROW(tDICT[[#This Row],[Table Name]])-ROW(tDICT[[#Headers],[Table Name]]))*8</f>
        <v>544</v>
      </c>
      <c r="C72" s="5" t="str">
        <f>pTABLE</f>
        <v>dbo.tbl_D_COMPONENT</v>
      </c>
      <c r="D72" s="6"/>
      <c r="E72" s="7" t="str">
        <f ca="1">IFERROR(REPT("  ", tDICT[[#This Row],[LVL]]-1) &amp; tDICT[[#This Row],[Name]], tDICT[[#This Row],[Name]])</f>
        <v xml:space="preserve">              Other Deferred Payments</v>
      </c>
      <c r="F72" s="8">
        <f ca="1">IF(tDICT[Level Number]="",OFFSET(tDICT[[#This Row],[Level Number]],-1,0),tDICT[Level Number])</f>
        <v>8</v>
      </c>
      <c r="G7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TOTAL_DEFERRAL</v>
      </c>
      <c r="H72" s="8" t="str">
        <f ca="1">_xlfn.IFNA(VLOOKUP(tDICT[[#This Row],[Label]],tDICT[Parent Label],1,0)&gt;0,"Leaf")</f>
        <v>Leaf</v>
      </c>
      <c r="I72" s="9">
        <v>33</v>
      </c>
      <c r="J72" s="10">
        <v>29</v>
      </c>
      <c r="K72" s="10" t="s">
        <v>284</v>
      </c>
      <c r="L72" s="10"/>
      <c r="M72" s="10" t="s">
        <v>285</v>
      </c>
      <c r="N72" s="10" t="s">
        <v>286</v>
      </c>
      <c r="O72" s="10"/>
      <c r="P72" s="10" t="s">
        <v>269</v>
      </c>
      <c r="Q72" s="11" t="s">
        <v>40</v>
      </c>
      <c r="R72" s="10" t="b">
        <v>1</v>
      </c>
      <c r="S72" s="10">
        <v>3</v>
      </c>
      <c r="T72" s="10" t="s">
        <v>36</v>
      </c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>
        <v>8</v>
      </c>
    </row>
    <row r="73" spans="2:32" x14ac:dyDescent="0.25">
      <c r="B73" s="4">
        <f>(ROW(tDICT[[#This Row],[Table Name]])-ROW(tDICT[[#Headers],[Table Name]]))*8</f>
        <v>552</v>
      </c>
      <c r="C73" s="5" t="str">
        <f>pTABLE</f>
        <v>dbo.tbl_D_COMPONENT</v>
      </c>
      <c r="D73" s="6"/>
      <c r="E73" s="7" t="str">
        <f ca="1">IFERROR(REPT("  ", tDICT[[#This Row],[LVL]]-1) &amp; tDICT[[#This Row],[Name]], tDICT[[#This Row],[Name]])</f>
        <v xml:space="preserve">              Deferred Elected Shares</v>
      </c>
      <c r="F73" s="8">
        <f ca="1">IF(tDICT[Level Number]="",OFFSET(tDICT[[#This Row],[Level Number]],-1,0),tDICT[Level Number])</f>
        <v>8</v>
      </c>
      <c r="G7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TOTAL_DEFERRAL</v>
      </c>
      <c r="H73" s="8" t="str">
        <f ca="1">_xlfn.IFNA(VLOOKUP(tDICT[[#This Row],[Label]],tDICT[Parent Label],1,0)&gt;0,"Leaf")</f>
        <v>Leaf</v>
      </c>
      <c r="I73" s="9">
        <v>151</v>
      </c>
      <c r="J73" s="10">
        <v>29</v>
      </c>
      <c r="K73" s="10" t="s">
        <v>287</v>
      </c>
      <c r="L73" s="10"/>
      <c r="M73" s="10" t="s">
        <v>288</v>
      </c>
      <c r="N73" s="10" t="s">
        <v>289</v>
      </c>
      <c r="O73" s="10"/>
      <c r="P73" s="10" t="s">
        <v>269</v>
      </c>
      <c r="Q73" s="11" t="s">
        <v>40</v>
      </c>
      <c r="R73" s="10" t="b">
        <v>1</v>
      </c>
      <c r="S73" s="10">
        <v>3</v>
      </c>
      <c r="T73" s="10" t="s">
        <v>36</v>
      </c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>
        <v>8</v>
      </c>
    </row>
    <row r="74" spans="2:32" x14ac:dyDescent="0.25">
      <c r="B74" s="4">
        <f>(ROW(tDICT[[#This Row],[Table Name]])-ROW(tDICT[[#Headers],[Table Name]]))*8</f>
        <v>560</v>
      </c>
      <c r="C74" s="5" t="str">
        <f>pTABLE</f>
        <v>dbo.tbl_D_COMPONENT</v>
      </c>
      <c r="D74" s="6"/>
      <c r="E74" s="7" t="str">
        <f ca="1">IFERROR(REPT("  ", tDICT[[#This Row],[LVL]]-1) &amp; tDICT[[#This Row],[Name]], tDICT[[#This Row],[Name]])</f>
        <v xml:space="preserve">            Perpetual Bond</v>
      </c>
      <c r="F74" s="8">
        <f ca="1">IF(tDICT[Level Number]="",OFFSET(tDICT[[#This Row],[Level Number]],-1,0),tDICT[Level Number])</f>
        <v>7</v>
      </c>
      <c r="G7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74" s="8" t="str">
        <f ca="1">_xlfn.IFNA(VLOOKUP(tDICT[[#This Row],[Label]],tDICT[Parent Label],1,0)&gt;0,"Leaf")</f>
        <v>Leaf</v>
      </c>
      <c r="I74" s="9">
        <v>271</v>
      </c>
      <c r="J74" s="10">
        <v>160</v>
      </c>
      <c r="K74" s="10" t="s">
        <v>290</v>
      </c>
      <c r="L74" s="10"/>
      <c r="M74" s="10" t="s">
        <v>291</v>
      </c>
      <c r="N74" s="10" t="s">
        <v>292</v>
      </c>
      <c r="O74" s="10"/>
      <c r="P74" s="10"/>
      <c r="Q74" s="11" t="s">
        <v>40</v>
      </c>
      <c r="R74" s="10" t="b">
        <v>1</v>
      </c>
      <c r="S74" s="10">
        <v>1</v>
      </c>
      <c r="T74" s="10" t="s">
        <v>36</v>
      </c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>
        <v>7</v>
      </c>
    </row>
    <row r="75" spans="2:32" x14ac:dyDescent="0.25">
      <c r="B75" s="4">
        <f>(ROW(tDICT[[#This Row],[Table Name]])-ROW(tDICT[[#Headers],[Table Name]]))*8</f>
        <v>568</v>
      </c>
      <c r="C75" s="5" t="str">
        <f>pTABLE</f>
        <v>dbo.tbl_D_COMPONENT</v>
      </c>
      <c r="D75" s="6"/>
      <c r="E75" s="7" t="str">
        <f ca="1">IFERROR(REPT("  ", tDICT[[#This Row],[LVL]]-1) &amp; tDICT[[#This Row],[Name]], tDICT[[#This Row],[Name]])</f>
        <v xml:space="preserve">        Total Guaranteed Bonus</v>
      </c>
      <c r="F75" s="8">
        <f ca="1">IF(tDICT[Level Number]="",OFFSET(tDICT[[#This Row],[Level Number]],-1,0),tDICT[Level Number])</f>
        <v>5</v>
      </c>
      <c r="G7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75" s="8" t="b">
        <f ca="1">_xlfn.IFNA(VLOOKUP(tDICT[[#This Row],[Label]],tDICT[Parent Label],1,0)&gt;0,"Leaf")</f>
        <v>1</v>
      </c>
      <c r="I75" s="9">
        <v>102</v>
      </c>
      <c r="J75" s="10">
        <v>43</v>
      </c>
      <c r="K75" s="10" t="s">
        <v>293</v>
      </c>
      <c r="L75" s="10"/>
      <c r="M75" s="10" t="s">
        <v>294</v>
      </c>
      <c r="N75" s="10" t="s">
        <v>295</v>
      </c>
      <c r="O75" s="10"/>
      <c r="P75" s="10" t="s">
        <v>230</v>
      </c>
      <c r="Q75" s="11" t="s">
        <v>40</v>
      </c>
      <c r="R75" s="10" t="b">
        <v>1</v>
      </c>
      <c r="S75" s="10">
        <v>1</v>
      </c>
      <c r="T75" s="10" t="s">
        <v>36</v>
      </c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>
        <v>5</v>
      </c>
    </row>
    <row r="76" spans="2:32" x14ac:dyDescent="0.25">
      <c r="B76" s="4">
        <f>(ROW(tDICT[[#This Row],[Table Name]])-ROW(tDICT[[#Headers],[Table Name]]))*8</f>
        <v>576</v>
      </c>
      <c r="C76" s="5" t="str">
        <f>pTABLE</f>
        <v>dbo.tbl_D_COMPONENT</v>
      </c>
      <c r="D76" s="6"/>
      <c r="E76" s="7" t="str">
        <f ca="1">IFERROR(REPT("  ", tDICT[[#This Row],[LVL]]-1) &amp; tDICT[[#This Row],[Name]], tDICT[[#This Row],[Name]])</f>
        <v xml:space="preserve">          Total Guaranteed Annual Cash Bonus</v>
      </c>
      <c r="F76" s="8">
        <f ca="1">IF(tDICT[Level Number]="",OFFSET(tDICT[[#This Row],[Level Number]],-1,0),tDICT[Level Number])</f>
        <v>6</v>
      </c>
      <c r="G7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TOTAL_GUARANTEED_BONUS</v>
      </c>
      <c r="H76" s="8" t="b">
        <f ca="1">_xlfn.IFNA(VLOOKUP(tDICT[[#This Row],[Label]],tDICT[Parent Label],1,0)&gt;0,"Leaf")</f>
        <v>1</v>
      </c>
      <c r="I76" s="9">
        <v>184</v>
      </c>
      <c r="J76" s="10">
        <v>102</v>
      </c>
      <c r="K76" s="10" t="s">
        <v>296</v>
      </c>
      <c r="L76" s="10"/>
      <c r="M76" s="10" t="s">
        <v>297</v>
      </c>
      <c r="N76" s="10" t="s">
        <v>298</v>
      </c>
      <c r="O76" s="10"/>
      <c r="P76" s="10" t="s">
        <v>295</v>
      </c>
      <c r="Q76" s="11" t="s">
        <v>40</v>
      </c>
      <c r="R76" s="10" t="b">
        <v>1</v>
      </c>
      <c r="S76" s="10">
        <v>1</v>
      </c>
      <c r="T76" s="10" t="s">
        <v>36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>
        <v>6</v>
      </c>
    </row>
    <row r="77" spans="2:32" x14ac:dyDescent="0.25">
      <c r="B77" s="4">
        <f>(ROW(tDICT[[#This Row],[Table Name]])-ROW(tDICT[[#Headers],[Table Name]]))*8</f>
        <v>584</v>
      </c>
      <c r="C77" s="5" t="str">
        <f>pTABLE</f>
        <v>dbo.tbl_D_COMPONENT</v>
      </c>
      <c r="D77" s="6"/>
      <c r="E77" s="7" t="str">
        <f ca="1">IFERROR(REPT("  ", tDICT[[#This Row],[LVL]]-1) &amp; tDICT[[#This Row],[Name]], tDICT[[#This Row],[Name]])</f>
        <v xml:space="preserve">            Guaranteed Annual Cash Bonus</v>
      </c>
      <c r="F77" s="8">
        <f ca="1">IF(tDICT[Level Number]="",OFFSET(tDICT[[#This Row],[Level Number]],-1,0),tDICT[Level Number])</f>
        <v>7</v>
      </c>
      <c r="G7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TOTAL_GUARANTEED_ANNUAL_CASH_BONUS</v>
      </c>
      <c r="H77" s="8" t="str">
        <f ca="1">_xlfn.IFNA(VLOOKUP(tDICT[[#This Row],[Label]],tDICT[Parent Label],1,0)&gt;0,"Leaf")</f>
        <v>Leaf</v>
      </c>
      <c r="I77" s="9">
        <v>5</v>
      </c>
      <c r="J77" s="10">
        <v>184</v>
      </c>
      <c r="K77" s="10" t="s">
        <v>299</v>
      </c>
      <c r="L77" s="10" t="s">
        <v>299</v>
      </c>
      <c r="M77" s="10" t="s">
        <v>300</v>
      </c>
      <c r="N77" s="10" t="s">
        <v>301</v>
      </c>
      <c r="O77" s="10"/>
      <c r="P77" s="10" t="s">
        <v>298</v>
      </c>
      <c r="Q77" s="11" t="s">
        <v>40</v>
      </c>
      <c r="R77" s="10" t="b">
        <v>1</v>
      </c>
      <c r="S77" s="10">
        <v>1</v>
      </c>
      <c r="T77" s="10" t="s">
        <v>36</v>
      </c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>
        <v>7</v>
      </c>
    </row>
    <row r="78" spans="2:32" x14ac:dyDescent="0.25">
      <c r="B78" s="4">
        <f>(ROW(tDICT[[#This Row],[Table Name]])-ROW(tDICT[[#Headers],[Table Name]]))*8</f>
        <v>592</v>
      </c>
      <c r="C78" s="5" t="str">
        <f>pTABLE</f>
        <v>dbo.tbl_D_COMPONENT</v>
      </c>
      <c r="D78" s="6"/>
      <c r="E78" s="7" t="str">
        <f ca="1">IFERROR(REPT("  ", tDICT[[#This Row],[LVL]]-1) &amp; tDICT[[#This Row],[Name]], tDICT[[#This Row],[Name]])</f>
        <v xml:space="preserve">            Guaranteed Annual Cash Bonus Northern Top Up</v>
      </c>
      <c r="F78" s="8">
        <f ca="1">IF(tDICT[Level Number]="",OFFSET(tDICT[[#This Row],[Level Number]],-1,0),tDICT[Level Number])</f>
        <v>7</v>
      </c>
      <c r="G7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TOTAL_GUARANTEED_ANNUAL_CASH_BONUS</v>
      </c>
      <c r="H78" s="8" t="str">
        <f ca="1">_xlfn.IFNA(VLOOKUP(tDICT[[#This Row],[Label]],tDICT[Parent Label],1,0)&gt;0,"Leaf")</f>
        <v>Leaf</v>
      </c>
      <c r="I78" s="9">
        <v>185</v>
      </c>
      <c r="J78" s="10">
        <v>184</v>
      </c>
      <c r="K78" s="10" t="s">
        <v>302</v>
      </c>
      <c r="L78" s="10"/>
      <c r="M78" s="10" t="s">
        <v>303</v>
      </c>
      <c r="N78" s="10" t="s">
        <v>304</v>
      </c>
      <c r="O78" s="10"/>
      <c r="P78" s="10" t="s">
        <v>298</v>
      </c>
      <c r="Q78" s="11" t="s">
        <v>40</v>
      </c>
      <c r="R78" s="10" t="b">
        <v>1</v>
      </c>
      <c r="S78" s="10">
        <v>1</v>
      </c>
      <c r="T78" s="10" t="s">
        <v>72</v>
      </c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>
        <v>7</v>
      </c>
    </row>
    <row r="79" spans="2:32" x14ac:dyDescent="0.25">
      <c r="B79" s="4">
        <f>(ROW(tDICT[[#This Row],[Table Name]])-ROW(tDICT[[#Headers],[Table Name]]))*8</f>
        <v>600</v>
      </c>
      <c r="C79" s="5" t="str">
        <f>pTABLE</f>
        <v>dbo.tbl_D_COMPONENT</v>
      </c>
      <c r="D79" s="6"/>
      <c r="E79" s="7" t="str">
        <f ca="1">IFERROR(REPT("  ", tDICT[[#This Row],[LVL]]-1) &amp; tDICT[[#This Row],[Name]], tDICT[[#This Row],[Name]])</f>
        <v xml:space="preserve">            Guaranteed Annual Cash Bonus Regional Top Up</v>
      </c>
      <c r="F79" s="8">
        <f ca="1">IF(tDICT[Level Number]="",OFFSET(tDICT[[#This Row],[Level Number]],-1,0),tDICT[Level Number])</f>
        <v>7</v>
      </c>
      <c r="G7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TOTAL_GUARANTEED_ANNUAL_CASH_BONUS</v>
      </c>
      <c r="H79" s="8" t="str">
        <f ca="1">_xlfn.IFNA(VLOOKUP(tDICT[[#This Row],[Label]],tDICT[Parent Label],1,0)&gt;0,"Leaf")</f>
        <v>Leaf</v>
      </c>
      <c r="I79" s="9">
        <v>186</v>
      </c>
      <c r="J79" s="10">
        <v>184</v>
      </c>
      <c r="K79" s="10" t="s">
        <v>305</v>
      </c>
      <c r="L79" s="10"/>
      <c r="M79" s="10" t="s">
        <v>306</v>
      </c>
      <c r="N79" s="10" t="s">
        <v>307</v>
      </c>
      <c r="O79" s="10"/>
      <c r="P79" s="10" t="s">
        <v>298</v>
      </c>
      <c r="Q79" s="11" t="s">
        <v>40</v>
      </c>
      <c r="R79" s="10" t="b">
        <v>1</v>
      </c>
      <c r="S79" s="10">
        <v>1</v>
      </c>
      <c r="T79" s="10" t="s">
        <v>76</v>
      </c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>
        <v>7</v>
      </c>
    </row>
    <row r="80" spans="2:32" x14ac:dyDescent="0.25">
      <c r="B80" s="4">
        <f>(ROW(tDICT[[#This Row],[Table Name]])-ROW(tDICT[[#Headers],[Table Name]]))*8</f>
        <v>608</v>
      </c>
      <c r="C80" s="5" t="str">
        <f>pTABLE</f>
        <v>dbo.tbl_D_COMPONENT</v>
      </c>
      <c r="D80" s="6"/>
      <c r="E80" s="7" t="str">
        <f ca="1">IFERROR(REPT("  ", tDICT[[#This Row],[LVL]]-1) &amp; tDICT[[#This Row],[Name]], tDICT[[#This Row],[Name]])</f>
        <v xml:space="preserve">          Total Guaranteed Deferral</v>
      </c>
      <c r="F80" s="8">
        <f ca="1">IF(tDICT[Level Number]="",OFFSET(tDICT[[#This Row],[Level Number]],-1,0),tDICT[Level Number])</f>
        <v>6</v>
      </c>
      <c r="G8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80" s="8" t="b">
        <f ca="1">_xlfn.IFNA(VLOOKUP(tDICT[[#This Row],[Label]],tDICT[Parent Label],1,0)&gt;0,"Leaf")</f>
        <v>1</v>
      </c>
      <c r="I80" s="9">
        <v>107</v>
      </c>
      <c r="J80" s="10">
        <v>102</v>
      </c>
      <c r="K80" s="10" t="s">
        <v>308</v>
      </c>
      <c r="L80" s="10"/>
      <c r="M80" s="10" t="s">
        <v>309</v>
      </c>
      <c r="N80" s="10" t="s">
        <v>310</v>
      </c>
      <c r="O80" s="10"/>
      <c r="P80" s="10" t="s">
        <v>295</v>
      </c>
      <c r="Q80" s="11" t="s">
        <v>40</v>
      </c>
      <c r="R80" s="10" t="b">
        <v>1</v>
      </c>
      <c r="S80" s="10">
        <v>5</v>
      </c>
      <c r="T80" s="10" t="s">
        <v>36</v>
      </c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>
        <v>6</v>
      </c>
    </row>
    <row r="81" spans="2:32" x14ac:dyDescent="0.25">
      <c r="B81" s="4">
        <f>(ROW(tDICT[[#This Row],[Table Name]])-ROW(tDICT[[#Headers],[Table Name]]))*8</f>
        <v>616</v>
      </c>
      <c r="C81" s="5" t="str">
        <f>pTABLE</f>
        <v>dbo.tbl_D_COMPONENT</v>
      </c>
      <c r="D81" s="6"/>
      <c r="E81" s="7" t="str">
        <f ca="1">IFERROR(REPT("  ", tDICT[[#This Row],[LVL]]-1) &amp; tDICT[[#This Row],[Name]], tDICT[[#This Row],[Name]])</f>
        <v xml:space="preserve">            Guaranteed Deferred Cash Bonus</v>
      </c>
      <c r="F81" s="8">
        <f ca="1">IF(tDICT[Level Number]="",OFFSET(tDICT[[#This Row],[Level Number]],-1,0),tDICT[Level Number])</f>
        <v>7</v>
      </c>
      <c r="G8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TOTAL_GUARANTEED_DEFERRAL</v>
      </c>
      <c r="H81" s="8" t="str">
        <f ca="1">_xlfn.IFNA(VLOOKUP(tDICT[[#This Row],[Label]],tDICT[Parent Label],1,0)&gt;0,"Leaf")</f>
        <v>Leaf</v>
      </c>
      <c r="I81" s="9">
        <v>108</v>
      </c>
      <c r="J81" s="10">
        <v>107</v>
      </c>
      <c r="K81" s="10" t="s">
        <v>311</v>
      </c>
      <c r="L81" s="10"/>
      <c r="M81" s="10" t="s">
        <v>312</v>
      </c>
      <c r="N81" s="10" t="s">
        <v>313</v>
      </c>
      <c r="O81" s="10"/>
      <c r="P81" s="10" t="s">
        <v>310</v>
      </c>
      <c r="Q81" s="11" t="s">
        <v>40</v>
      </c>
      <c r="R81" s="10" t="b">
        <v>1</v>
      </c>
      <c r="S81" s="10">
        <v>5</v>
      </c>
      <c r="T81" s="10" t="s">
        <v>36</v>
      </c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>
        <v>7</v>
      </c>
    </row>
    <row r="82" spans="2:32" x14ac:dyDescent="0.25">
      <c r="B82" s="4">
        <f>(ROW(tDICT[[#This Row],[Table Name]])-ROW(tDICT[[#Headers],[Table Name]]))*8</f>
        <v>624</v>
      </c>
      <c r="C82" s="5" t="str">
        <f>pTABLE</f>
        <v>dbo.tbl_D_COMPONENT</v>
      </c>
      <c r="D82" s="6"/>
      <c r="E82" s="7" t="str">
        <f ca="1">IFERROR(REPT("  ", tDICT[[#This Row],[LVL]]-1) &amp; tDICT[[#This Row],[Name]], tDICT[[#This Row],[Name]])</f>
        <v xml:space="preserve">            Guaranteed Deferred Shares Bonus</v>
      </c>
      <c r="F82" s="8">
        <f ca="1">IF(tDICT[Level Number]="",OFFSET(tDICT[[#This Row],[Level Number]],-1,0),tDICT[Level Number])</f>
        <v>7</v>
      </c>
      <c r="G8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TOTAL_GUARANTEED_DEFERRAL</v>
      </c>
      <c r="H82" s="8" t="str">
        <f ca="1">_xlfn.IFNA(VLOOKUP(tDICT[[#This Row],[Label]],tDICT[Parent Label],1,0)&gt;0,"Leaf")</f>
        <v>Leaf</v>
      </c>
      <c r="I82" s="9">
        <v>109</v>
      </c>
      <c r="J82" s="10">
        <v>107</v>
      </c>
      <c r="K82" s="10" t="s">
        <v>314</v>
      </c>
      <c r="L82" s="10"/>
      <c r="M82" s="10" t="s">
        <v>315</v>
      </c>
      <c r="N82" s="10" t="s">
        <v>316</v>
      </c>
      <c r="O82" s="10"/>
      <c r="P82" s="10" t="s">
        <v>310</v>
      </c>
      <c r="Q82" s="11" t="s">
        <v>40</v>
      </c>
      <c r="R82" s="10" t="b">
        <v>1</v>
      </c>
      <c r="S82" s="10">
        <v>5</v>
      </c>
      <c r="T82" s="10" t="s">
        <v>36</v>
      </c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>
        <v>7</v>
      </c>
    </row>
    <row r="83" spans="2:32" x14ac:dyDescent="0.25">
      <c r="B83" s="4">
        <f>(ROW(tDICT[[#This Row],[Table Name]])-ROW(tDICT[[#Headers],[Table Name]]))*8</f>
        <v>632</v>
      </c>
      <c r="C83" s="5" t="str">
        <f>pTABLE</f>
        <v>dbo.tbl_D_COMPONENT</v>
      </c>
      <c r="D83" s="6"/>
      <c r="E83" s="7" t="str">
        <f ca="1">IFERROR(REPT("  ", tDICT[[#This Row],[LVL]]-1) &amp; tDICT[[#This Row],[Name]], tDICT[[#This Row],[Name]])</f>
        <v xml:space="preserve">        Total Conditional Bonus</v>
      </c>
      <c r="F83" s="8">
        <f ca="1">IF(tDICT[Level Number]="",OFFSET(tDICT[[#This Row],[Level Number]],-1,0),tDICT[Level Number])</f>
        <v>5</v>
      </c>
      <c r="G8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83" s="8" t="b">
        <f ca="1">_xlfn.IFNA(VLOOKUP(tDICT[[#This Row],[Label]],tDICT[Parent Label],1,0)&gt;0,"Leaf")</f>
        <v>1</v>
      </c>
      <c r="I83" s="9">
        <v>187</v>
      </c>
      <c r="J83" s="10">
        <v>43</v>
      </c>
      <c r="K83" s="10" t="s">
        <v>317</v>
      </c>
      <c r="L83" s="10"/>
      <c r="M83" s="10" t="s">
        <v>318</v>
      </c>
      <c r="N83" s="10" t="s">
        <v>319</v>
      </c>
      <c r="O83" s="10"/>
      <c r="P83" s="10" t="s">
        <v>230</v>
      </c>
      <c r="Q83" s="11" t="s">
        <v>40</v>
      </c>
      <c r="R83" s="10" t="b">
        <v>1</v>
      </c>
      <c r="S83" s="10">
        <v>1</v>
      </c>
      <c r="T83" s="10" t="s">
        <v>36</v>
      </c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>
        <v>5</v>
      </c>
    </row>
    <row r="84" spans="2:32" x14ac:dyDescent="0.25">
      <c r="B84" s="4">
        <f>(ROW(tDICT[[#This Row],[Table Name]])-ROW(tDICT[[#Headers],[Table Name]]))*8</f>
        <v>640</v>
      </c>
      <c r="C84" s="5" t="str">
        <f>pTABLE</f>
        <v>dbo.tbl_D_COMPONENT</v>
      </c>
      <c r="D84" s="6"/>
      <c r="E84" s="7" t="str">
        <f ca="1">IFERROR(REPT("  ", tDICT[[#This Row],[LVL]]-1) &amp; tDICT[[#This Row],[Name]], tDICT[[#This Row],[Name]])</f>
        <v xml:space="preserve">          Total Conditional Annual Cash Bonus</v>
      </c>
      <c r="F84" s="8">
        <f ca="1">IF(tDICT[Level Number]="",OFFSET(tDICT[[#This Row],[Level Number]],-1,0),tDICT[Level Number])</f>
        <v>6</v>
      </c>
      <c r="G8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TOTAL_CONDITIONAL_BONUS</v>
      </c>
      <c r="H84" s="8" t="b">
        <f ca="1">_xlfn.IFNA(VLOOKUP(tDICT[[#This Row],[Label]],tDICT[Parent Label],1,0)&gt;0,"Leaf")</f>
        <v>1</v>
      </c>
      <c r="I84" s="9">
        <v>188</v>
      </c>
      <c r="J84" s="10">
        <v>187</v>
      </c>
      <c r="K84" s="10" t="s">
        <v>320</v>
      </c>
      <c r="L84" s="10"/>
      <c r="M84" s="10" t="s">
        <v>321</v>
      </c>
      <c r="N84" s="10" t="s">
        <v>322</v>
      </c>
      <c r="O84" s="10"/>
      <c r="P84" s="10" t="s">
        <v>319</v>
      </c>
      <c r="Q84" s="11" t="s">
        <v>40</v>
      </c>
      <c r="R84" s="10" t="b">
        <v>1</v>
      </c>
      <c r="S84" s="10">
        <v>1</v>
      </c>
      <c r="T84" s="10" t="s">
        <v>36</v>
      </c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>
        <v>6</v>
      </c>
    </row>
    <row r="85" spans="2:32" x14ac:dyDescent="0.25">
      <c r="B85" s="4">
        <f>(ROW(tDICT[[#This Row],[Table Name]])-ROW(tDICT[[#Headers],[Table Name]]))*8</f>
        <v>648</v>
      </c>
      <c r="C85" s="5" t="str">
        <f>pTABLE</f>
        <v>dbo.tbl_D_COMPONENT</v>
      </c>
      <c r="D85" s="6"/>
      <c r="E85" s="7" t="str">
        <f ca="1">IFERROR(REPT("  ", tDICT[[#This Row],[LVL]]-1) &amp; tDICT[[#This Row],[Name]], tDICT[[#This Row],[Name]])</f>
        <v xml:space="preserve">            Conditional Annual Cash Bonus</v>
      </c>
      <c r="F85" s="8">
        <f ca="1">IF(tDICT[Level Number]="",OFFSET(tDICT[[#This Row],[Level Number]],-1,0),tDICT[Level Number])</f>
        <v>7</v>
      </c>
      <c r="G8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TOTAL_CONDITIONAL_ANNUAL_CASH_BONUS</v>
      </c>
      <c r="H85" s="8" t="str">
        <f ca="1">_xlfn.IFNA(VLOOKUP(tDICT[[#This Row],[Label]],tDICT[Parent Label],1,0)&gt;0,"Leaf")</f>
        <v>Leaf</v>
      </c>
      <c r="I85" s="9">
        <v>6</v>
      </c>
      <c r="J85" s="10">
        <v>188</v>
      </c>
      <c r="K85" s="10" t="s">
        <v>323</v>
      </c>
      <c r="L85" s="10" t="s">
        <v>323</v>
      </c>
      <c r="M85" s="10" t="s">
        <v>324</v>
      </c>
      <c r="N85" s="10" t="s">
        <v>325</v>
      </c>
      <c r="O85" s="10"/>
      <c r="P85" s="10" t="s">
        <v>322</v>
      </c>
      <c r="Q85" s="11" t="s">
        <v>40</v>
      </c>
      <c r="R85" s="10" t="b">
        <v>1</v>
      </c>
      <c r="S85" s="10">
        <v>1</v>
      </c>
      <c r="T85" s="10" t="s">
        <v>36</v>
      </c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>
        <v>7</v>
      </c>
    </row>
    <row r="86" spans="2:32" x14ac:dyDescent="0.25">
      <c r="B86" s="4">
        <f>(ROW(tDICT[[#This Row],[Table Name]])-ROW(tDICT[[#Headers],[Table Name]]))*8</f>
        <v>656</v>
      </c>
      <c r="C86" s="5" t="str">
        <f>pTABLE</f>
        <v>dbo.tbl_D_COMPONENT</v>
      </c>
      <c r="D86" s="6"/>
      <c r="E86" s="7" t="str">
        <f ca="1">IFERROR(REPT("  ", tDICT[[#This Row],[LVL]]-1) &amp; tDICT[[#This Row],[Name]], tDICT[[#This Row],[Name]])</f>
        <v xml:space="preserve">            Conditional Annual Cash Bonus Northern Top Up</v>
      </c>
      <c r="F86" s="8">
        <f ca="1">IF(tDICT[Level Number]="",OFFSET(tDICT[[#This Row],[Level Number]],-1,0),tDICT[Level Number])</f>
        <v>7</v>
      </c>
      <c r="G8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TOTAL_CONDITIONAL_ANNUAL_CASH_BONUS</v>
      </c>
      <c r="H86" s="8" t="str">
        <f ca="1">_xlfn.IFNA(VLOOKUP(tDICT[[#This Row],[Label]],tDICT[Parent Label],1,0)&gt;0,"Leaf")</f>
        <v>Leaf</v>
      </c>
      <c r="I86" s="9">
        <v>189</v>
      </c>
      <c r="J86" s="10">
        <v>188</v>
      </c>
      <c r="K86" s="10" t="s">
        <v>326</v>
      </c>
      <c r="L86" s="10"/>
      <c r="M86" s="10" t="s">
        <v>327</v>
      </c>
      <c r="N86" s="10" t="s">
        <v>328</v>
      </c>
      <c r="O86" s="10"/>
      <c r="P86" s="10" t="s">
        <v>322</v>
      </c>
      <c r="Q86" s="11" t="s">
        <v>40</v>
      </c>
      <c r="R86" s="10" t="b">
        <v>1</v>
      </c>
      <c r="S86" s="10">
        <v>1</v>
      </c>
      <c r="T86" s="10" t="s">
        <v>72</v>
      </c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>
        <v>7</v>
      </c>
    </row>
    <row r="87" spans="2:32" x14ac:dyDescent="0.25">
      <c r="B87" s="4">
        <f>(ROW(tDICT[[#This Row],[Table Name]])-ROW(tDICT[[#Headers],[Table Name]]))*8</f>
        <v>664</v>
      </c>
      <c r="C87" s="5" t="str">
        <f>pTABLE</f>
        <v>dbo.tbl_D_COMPONENT</v>
      </c>
      <c r="D87" s="6"/>
      <c r="E87" s="7" t="str">
        <f ca="1">IFERROR(REPT("  ", tDICT[[#This Row],[LVL]]-1) &amp; tDICT[[#This Row],[Name]], tDICT[[#This Row],[Name]])</f>
        <v xml:space="preserve">            Conditional Annual Cash Bonus Regional Top Up</v>
      </c>
      <c r="F87" s="8">
        <f ca="1">IF(tDICT[Level Number]="",OFFSET(tDICT[[#This Row],[Level Number]],-1,0),tDICT[Level Number])</f>
        <v>7</v>
      </c>
      <c r="G8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TOTAL_CONDITIONAL_ANNUAL_CASH_BONUS</v>
      </c>
      <c r="H87" s="8" t="str">
        <f ca="1">_xlfn.IFNA(VLOOKUP(tDICT[[#This Row],[Label]],tDICT[Parent Label],1,0)&gt;0,"Leaf")</f>
        <v>Leaf</v>
      </c>
      <c r="I87" s="9">
        <v>190</v>
      </c>
      <c r="J87" s="10">
        <v>188</v>
      </c>
      <c r="K87" s="10" t="s">
        <v>329</v>
      </c>
      <c r="L87" s="10"/>
      <c r="M87" s="10" t="s">
        <v>330</v>
      </c>
      <c r="N87" s="10" t="s">
        <v>331</v>
      </c>
      <c r="O87" s="10"/>
      <c r="P87" s="10" t="s">
        <v>322</v>
      </c>
      <c r="Q87" s="11" t="s">
        <v>40</v>
      </c>
      <c r="R87" s="10" t="b">
        <v>1</v>
      </c>
      <c r="S87" s="10">
        <v>1</v>
      </c>
      <c r="T87" s="10" t="s">
        <v>76</v>
      </c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>
        <v>7</v>
      </c>
    </row>
    <row r="88" spans="2:32" x14ac:dyDescent="0.25">
      <c r="B88" s="4">
        <f>(ROW(tDICT[[#This Row],[Table Name]])-ROW(tDICT[[#Headers],[Table Name]]))*8</f>
        <v>672</v>
      </c>
      <c r="C88" s="5" t="str">
        <f>pTABLE</f>
        <v>dbo.tbl_D_COMPONENT</v>
      </c>
      <c r="D88" s="6"/>
      <c r="E88" s="7" t="str">
        <f ca="1">IFERROR(REPT("  ", tDICT[[#This Row],[LVL]]-1) &amp; tDICT[[#This Row],[Name]], tDICT[[#This Row],[Name]])</f>
        <v xml:space="preserve">        Total Retention Bonus</v>
      </c>
      <c r="F88" s="8">
        <f ca="1">IF(tDICT[Level Number]="",OFFSET(tDICT[[#This Row],[Level Number]],-1,0),tDICT[Level Number])</f>
        <v>5</v>
      </c>
      <c r="G8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88" s="8" t="b">
        <f ca="1">_xlfn.IFNA(VLOOKUP(tDICT[[#This Row],[Label]],tDICT[Parent Label],1,0)&gt;0,"Leaf")</f>
        <v>1</v>
      </c>
      <c r="I88" s="9">
        <v>139</v>
      </c>
      <c r="J88" s="10">
        <v>43</v>
      </c>
      <c r="K88" s="10" t="s">
        <v>332</v>
      </c>
      <c r="L88" s="10"/>
      <c r="M88" s="10" t="s">
        <v>333</v>
      </c>
      <c r="N88" s="10" t="s">
        <v>334</v>
      </c>
      <c r="O88" s="10"/>
      <c r="P88" s="10" t="s">
        <v>230</v>
      </c>
      <c r="Q88" s="11" t="s">
        <v>40</v>
      </c>
      <c r="R88" s="10" t="b">
        <v>1</v>
      </c>
      <c r="S88" s="10">
        <v>1</v>
      </c>
      <c r="T88" s="10" t="s">
        <v>36</v>
      </c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>
        <v>5</v>
      </c>
    </row>
    <row r="89" spans="2:32" x14ac:dyDescent="0.25">
      <c r="B89" s="4">
        <f>(ROW(tDICT[[#This Row],[Table Name]])-ROW(tDICT[[#Headers],[Table Name]]))*8</f>
        <v>680</v>
      </c>
      <c r="C89" s="5" t="str">
        <f>pTABLE</f>
        <v>dbo.tbl_D_COMPONENT</v>
      </c>
      <c r="D89" s="6"/>
      <c r="E89" s="7" t="str">
        <f ca="1">IFERROR(REPT("  ", tDICT[[#This Row],[LVL]]-1) &amp; tDICT[[#This Row],[Name]], tDICT[[#This Row],[Name]])</f>
        <v xml:space="preserve">          Retention Annual Cash Bonus</v>
      </c>
      <c r="F89" s="8">
        <f ca="1">IF(tDICT[Level Number]="",OFFSET(tDICT[[#This Row],[Level Number]],-1,0),tDICT[Level Number])</f>
        <v>6</v>
      </c>
      <c r="G8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TOTAL_RETENTION_BONUS</v>
      </c>
      <c r="H89" s="8" t="str">
        <f ca="1">_xlfn.IFNA(VLOOKUP(tDICT[[#This Row],[Label]],tDICT[Parent Label],1,0)&gt;0,"Leaf")</f>
        <v>Leaf</v>
      </c>
      <c r="I89" s="9">
        <v>140</v>
      </c>
      <c r="J89" s="10">
        <v>139</v>
      </c>
      <c r="K89" s="10" t="s">
        <v>335</v>
      </c>
      <c r="L89" s="10"/>
      <c r="M89" s="10" t="s">
        <v>336</v>
      </c>
      <c r="N89" s="10" t="s">
        <v>337</v>
      </c>
      <c r="O89" s="10"/>
      <c r="P89" s="10" t="s">
        <v>334</v>
      </c>
      <c r="Q89" s="11" t="s">
        <v>40</v>
      </c>
      <c r="R89" s="10" t="b">
        <v>1</v>
      </c>
      <c r="S89" s="10">
        <v>1</v>
      </c>
      <c r="T89" s="10" t="s">
        <v>36</v>
      </c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>
        <v>6</v>
      </c>
    </row>
    <row r="90" spans="2:32" x14ac:dyDescent="0.25">
      <c r="B90" s="4">
        <f>(ROW(tDICT[[#This Row],[Table Name]])-ROW(tDICT[[#Headers],[Table Name]]))*8</f>
        <v>688</v>
      </c>
      <c r="C90" s="5" t="str">
        <f>pTABLE</f>
        <v>dbo.tbl_D_COMPONENT</v>
      </c>
      <c r="D90" s="6"/>
      <c r="E90" s="7" t="str">
        <f ca="1">IFERROR(REPT("  ", tDICT[[#This Row],[LVL]]-1) &amp; tDICT[[#This Row],[Name]], tDICT[[#This Row],[Name]])</f>
        <v xml:space="preserve">          Total Retention Deferral</v>
      </c>
      <c r="F90" s="8">
        <f ca="1">IF(tDICT[Level Number]="",OFFSET(tDICT[[#This Row],[Level Number]],-1,0),tDICT[Level Number])</f>
        <v>6</v>
      </c>
      <c r="G9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TOTAL_RETENTION_BONUS</v>
      </c>
      <c r="H90" s="8" t="b">
        <f ca="1">_xlfn.IFNA(VLOOKUP(tDICT[[#This Row],[Label]],tDICT[Parent Label],1,0)&gt;0,"Leaf")</f>
        <v>1</v>
      </c>
      <c r="I90" s="9">
        <v>141</v>
      </c>
      <c r="J90" s="10">
        <v>139</v>
      </c>
      <c r="K90" s="10" t="s">
        <v>338</v>
      </c>
      <c r="L90" s="10"/>
      <c r="M90" s="10" t="s">
        <v>339</v>
      </c>
      <c r="N90" s="10" t="s">
        <v>340</v>
      </c>
      <c r="O90" s="10"/>
      <c r="P90" s="10" t="s">
        <v>334</v>
      </c>
      <c r="Q90" s="11" t="s">
        <v>40</v>
      </c>
      <c r="R90" s="10" t="b">
        <v>1</v>
      </c>
      <c r="S90" s="10">
        <v>5</v>
      </c>
      <c r="T90" s="10" t="s">
        <v>36</v>
      </c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>
        <v>6</v>
      </c>
    </row>
    <row r="91" spans="2:32" x14ac:dyDescent="0.25">
      <c r="B91" s="4">
        <f>(ROW(tDICT[[#This Row],[Table Name]])-ROW(tDICT[[#Headers],[Table Name]]))*8</f>
        <v>696</v>
      </c>
      <c r="C91" s="5" t="str">
        <f>pTABLE</f>
        <v>dbo.tbl_D_COMPONENT</v>
      </c>
      <c r="D91" s="6"/>
      <c r="E91" s="7" t="str">
        <f ca="1">IFERROR(REPT("  ", tDICT[[#This Row],[LVL]]-1) &amp; tDICT[[#This Row],[Name]], tDICT[[#This Row],[Name]])</f>
        <v xml:space="preserve">            Retention Deferred  Cash Bonus</v>
      </c>
      <c r="F91" s="8">
        <f ca="1">IF(tDICT[Level Number]="",OFFSET(tDICT[[#This Row],[Level Number]],-1,0),tDICT[Level Number])</f>
        <v>7</v>
      </c>
      <c r="G9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TOTAL_RETENTION_DEFERRAL</v>
      </c>
      <c r="H91" s="8" t="str">
        <f ca="1">_xlfn.IFNA(VLOOKUP(tDICT[[#This Row],[Label]],tDICT[Parent Label],1,0)&gt;0,"Leaf")</f>
        <v>Leaf</v>
      </c>
      <c r="I91" s="9">
        <v>142</v>
      </c>
      <c r="J91" s="10">
        <v>141</v>
      </c>
      <c r="K91" s="10" t="s">
        <v>341</v>
      </c>
      <c r="L91" s="10"/>
      <c r="M91" s="10" t="s">
        <v>342</v>
      </c>
      <c r="N91" s="10" t="s">
        <v>343</v>
      </c>
      <c r="O91" s="10"/>
      <c r="P91" s="10" t="s">
        <v>340</v>
      </c>
      <c r="Q91" s="11" t="s">
        <v>40</v>
      </c>
      <c r="R91" s="10" t="b">
        <v>1</v>
      </c>
      <c r="S91" s="10">
        <v>5</v>
      </c>
      <c r="T91" s="10" t="s">
        <v>36</v>
      </c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>
        <v>7</v>
      </c>
    </row>
    <row r="92" spans="2:32" x14ac:dyDescent="0.25">
      <c r="B92" s="4">
        <f>(ROW(tDICT[[#This Row],[Table Name]])-ROW(tDICT[[#Headers],[Table Name]]))*8</f>
        <v>704</v>
      </c>
      <c r="C92" s="5" t="str">
        <f>pTABLE</f>
        <v>dbo.tbl_D_COMPONENT</v>
      </c>
      <c r="D92" s="6"/>
      <c r="E92" s="7" t="str">
        <f ca="1">IFERROR(REPT("  ", tDICT[[#This Row],[LVL]]-1) &amp; tDICT[[#This Row],[Name]], tDICT[[#This Row],[Name]])</f>
        <v xml:space="preserve">        Total Other Bonuses</v>
      </c>
      <c r="F92" s="8">
        <f ca="1">IF(tDICT[Level Number]="",OFFSET(tDICT[[#This Row],[Level Number]],-1,0),tDICT[Level Number])</f>
        <v>5</v>
      </c>
      <c r="G9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92" s="8" t="b">
        <f ca="1">_xlfn.IFNA(VLOOKUP(tDICT[[#This Row],[Label]],tDICT[Parent Label],1,0)&gt;0,"Leaf")</f>
        <v>1</v>
      </c>
      <c r="I92" s="9">
        <v>103</v>
      </c>
      <c r="J92" s="10">
        <v>43</v>
      </c>
      <c r="K92" s="10" t="s">
        <v>344</v>
      </c>
      <c r="L92" s="10"/>
      <c r="M92" s="10" t="s">
        <v>345</v>
      </c>
      <c r="N92" s="10" t="s">
        <v>346</v>
      </c>
      <c r="O92" s="10"/>
      <c r="P92" s="10" t="s">
        <v>230</v>
      </c>
      <c r="Q92" s="11" t="s">
        <v>40</v>
      </c>
      <c r="R92" s="10" t="b">
        <v>1</v>
      </c>
      <c r="S92" s="10"/>
      <c r="T92" s="10" t="s">
        <v>36</v>
      </c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>
        <v>5</v>
      </c>
    </row>
    <row r="93" spans="2:32" x14ac:dyDescent="0.25">
      <c r="B93" s="4">
        <f>(ROW(tDICT[[#This Row],[Table Name]])-ROW(tDICT[[#Headers],[Table Name]]))*8</f>
        <v>712</v>
      </c>
      <c r="C93" s="5" t="str">
        <f>pTABLE</f>
        <v>dbo.tbl_D_COMPONENT</v>
      </c>
      <c r="D93" s="6"/>
      <c r="E93" s="7" t="str">
        <f ca="1">IFERROR(REPT("  ", tDICT[[#This Row],[LVL]]-1) &amp; tDICT[[#This Row],[Name]], tDICT[[#This Row],[Name]])</f>
        <v xml:space="preserve">          Total Quarterly Bonus</v>
      </c>
      <c r="F93" s="8">
        <f ca="1">IF(tDICT[Level Number]="",OFFSET(tDICT[[#This Row],[Level Number]],-1,0),tDICT[Level Number])</f>
        <v>6</v>
      </c>
      <c r="G9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TOTAL_OTHER_BONUSES</v>
      </c>
      <c r="H93" s="8" t="b">
        <f ca="1">_xlfn.IFNA(VLOOKUP(tDICT[[#This Row],[Label]],tDICT[Parent Label],1,0)&gt;0,"Leaf")</f>
        <v>1</v>
      </c>
      <c r="I93" s="9">
        <v>104</v>
      </c>
      <c r="J93" s="10">
        <v>103</v>
      </c>
      <c r="K93" s="10" t="s">
        <v>347</v>
      </c>
      <c r="L93" s="10"/>
      <c r="M93" s="10" t="s">
        <v>348</v>
      </c>
      <c r="N93" s="10" t="s">
        <v>349</v>
      </c>
      <c r="O93" s="10"/>
      <c r="P93" s="10" t="s">
        <v>346</v>
      </c>
      <c r="Q93" s="11" t="s">
        <v>40</v>
      </c>
      <c r="R93" s="10" t="b">
        <v>1</v>
      </c>
      <c r="S93" s="10">
        <v>2</v>
      </c>
      <c r="T93" s="10" t="s">
        <v>36</v>
      </c>
      <c r="U93" s="10"/>
      <c r="V93" s="10"/>
      <c r="W93" s="10"/>
      <c r="X93" s="10"/>
      <c r="Y93" s="10"/>
      <c r="Z93" s="10" t="s">
        <v>350</v>
      </c>
      <c r="AA93" s="10" t="s">
        <v>351</v>
      </c>
      <c r="AB93" s="10" t="s">
        <v>352</v>
      </c>
      <c r="AC93" s="10"/>
      <c r="AD93" s="10" t="s">
        <v>353</v>
      </c>
      <c r="AE93" s="10" t="s">
        <v>354</v>
      </c>
      <c r="AF93" s="10">
        <v>6</v>
      </c>
    </row>
    <row r="94" spans="2:32" x14ac:dyDescent="0.25">
      <c r="B94" s="4">
        <f>(ROW(tDICT[[#This Row],[Table Name]])-ROW(tDICT[[#Headers],[Table Name]]))*8</f>
        <v>720</v>
      </c>
      <c r="C94" s="5" t="str">
        <f>pTABLE</f>
        <v>dbo.tbl_D_COMPONENT</v>
      </c>
      <c r="D94" s="6"/>
      <c r="E94" s="7" t="str">
        <f ca="1">IFERROR(REPT("  ", tDICT[[#This Row],[LVL]]-1) &amp; tDICT[[#This Row],[Name]], tDICT[[#This Row],[Name]])</f>
        <v xml:space="preserve">            Quarterly Bonus</v>
      </c>
      <c r="F94" s="8">
        <f ca="1">IF(tDICT[Level Number]="",OFFSET(tDICT[[#This Row],[Level Number]],-1,0),tDICT[Level Number])</f>
        <v>7</v>
      </c>
      <c r="G9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TOTAL_QUARTERLY_BONUS</v>
      </c>
      <c r="H94" s="8" t="str">
        <f ca="1">_xlfn.IFNA(VLOOKUP(tDICT[[#This Row],[Label]],tDICT[Parent Label],1,0)&gt;0,"Leaf")</f>
        <v>Leaf</v>
      </c>
      <c r="I94" s="9">
        <v>7</v>
      </c>
      <c r="J94" s="10">
        <v>104</v>
      </c>
      <c r="K94" s="10" t="s">
        <v>355</v>
      </c>
      <c r="L94" s="10" t="s">
        <v>355</v>
      </c>
      <c r="M94" s="10" t="s">
        <v>356</v>
      </c>
      <c r="N94" s="10" t="s">
        <v>357</v>
      </c>
      <c r="O94" s="10"/>
      <c r="P94" s="10" t="s">
        <v>349</v>
      </c>
      <c r="Q94" s="11" t="s">
        <v>40</v>
      </c>
      <c r="R94" s="10" t="b">
        <v>1</v>
      </c>
      <c r="S94" s="10">
        <v>2</v>
      </c>
      <c r="T94" s="10" t="s">
        <v>36</v>
      </c>
      <c r="U94" s="10"/>
      <c r="V94" s="10"/>
      <c r="W94" s="10"/>
      <c r="X94" s="10"/>
      <c r="Y94" s="10"/>
      <c r="Z94" s="10" t="s">
        <v>350</v>
      </c>
      <c r="AA94" s="10" t="s">
        <v>351</v>
      </c>
      <c r="AB94" s="10" t="s">
        <v>352</v>
      </c>
      <c r="AC94" s="10">
        <v>1</v>
      </c>
      <c r="AD94" s="10"/>
      <c r="AE94" s="10"/>
      <c r="AF94" s="10">
        <v>7</v>
      </c>
    </row>
    <row r="95" spans="2:32" x14ac:dyDescent="0.25">
      <c r="B95" s="4">
        <f>(ROW(tDICT[[#This Row],[Table Name]])-ROW(tDICT[[#Headers],[Table Name]]))*8</f>
        <v>728</v>
      </c>
      <c r="C95" s="5" t="str">
        <f>pTABLE</f>
        <v>dbo.tbl_D_COMPONENT</v>
      </c>
      <c r="D95" s="6"/>
      <c r="E95" s="7" t="str">
        <f ca="1">IFERROR(REPT("  ", tDICT[[#This Row],[LVL]]-1) &amp; tDICT[[#This Row],[Name]], tDICT[[#This Row],[Name]])</f>
        <v xml:space="preserve">            Quarterly Bonus Uplift</v>
      </c>
      <c r="F95" s="8">
        <f ca="1">IF(tDICT[Level Number]="",OFFSET(tDICT[[#This Row],[Level Number]],-1,0),tDICT[Level Number])</f>
        <v>7</v>
      </c>
      <c r="G9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TOTAL_QUARTERLY_BONUS</v>
      </c>
      <c r="H95" s="8" t="str">
        <f ca="1">_xlfn.IFNA(VLOOKUP(tDICT[[#This Row],[Label]],tDICT[Parent Label],1,0)&gt;0,"Leaf")</f>
        <v>Leaf</v>
      </c>
      <c r="I95" s="9">
        <v>258</v>
      </c>
      <c r="J95" s="10">
        <v>104</v>
      </c>
      <c r="K95" s="10" t="s">
        <v>358</v>
      </c>
      <c r="L95" s="10"/>
      <c r="M95" s="10" t="s">
        <v>359</v>
      </c>
      <c r="N95" s="10" t="s">
        <v>360</v>
      </c>
      <c r="O95" s="10"/>
      <c r="P95" s="10" t="s">
        <v>349</v>
      </c>
      <c r="Q95" s="11" t="s">
        <v>40</v>
      </c>
      <c r="R95" s="10" t="b">
        <v>1</v>
      </c>
      <c r="S95" s="10">
        <v>2</v>
      </c>
      <c r="T95" s="10" t="s">
        <v>36</v>
      </c>
      <c r="U95" s="10"/>
      <c r="V95" s="10"/>
      <c r="W95" s="10"/>
      <c r="X95" s="10"/>
      <c r="Y95" s="10"/>
      <c r="Z95" s="10" t="s">
        <v>350</v>
      </c>
      <c r="AA95" s="10" t="s">
        <v>351</v>
      </c>
      <c r="AB95" s="10" t="s">
        <v>352</v>
      </c>
      <c r="AC95" s="10"/>
      <c r="AD95" s="10"/>
      <c r="AE95" s="10"/>
      <c r="AF95" s="10">
        <v>7</v>
      </c>
    </row>
    <row r="96" spans="2:32" x14ac:dyDescent="0.25">
      <c r="B96" s="4">
        <f>(ROW(tDICT[[#This Row],[Table Name]])-ROW(tDICT[[#Headers],[Table Name]]))*8</f>
        <v>736</v>
      </c>
      <c r="C96" s="5" t="str">
        <f>pTABLE</f>
        <v>dbo.tbl_D_COMPONENT</v>
      </c>
      <c r="D96" s="6"/>
      <c r="E96" s="7" t="str">
        <f ca="1">IFERROR(REPT("  ", tDICT[[#This Row],[LVL]]-1) &amp; tDICT[[#This Row],[Name]], tDICT[[#This Row],[Name]])</f>
        <v xml:space="preserve">            Quarterly Bonus - Sub Correction</v>
      </c>
      <c r="F96" s="8">
        <f ca="1">IF(tDICT[Level Number]="",OFFSET(tDICT[[#This Row],[Level Number]],-1,0),tDICT[Level Number])</f>
        <v>7</v>
      </c>
      <c r="G9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TOTAL_QUARTERLY_BONUS</v>
      </c>
      <c r="H96" s="8" t="str">
        <f ca="1">_xlfn.IFNA(VLOOKUP(tDICT[[#This Row],[Label]],tDICT[Parent Label],1,0)&gt;0,"Leaf")</f>
        <v>Leaf</v>
      </c>
      <c r="I96" s="9">
        <v>8</v>
      </c>
      <c r="J96" s="10">
        <v>104</v>
      </c>
      <c r="K96" s="10" t="s">
        <v>361</v>
      </c>
      <c r="L96" s="10"/>
      <c r="M96" s="10" t="s">
        <v>362</v>
      </c>
      <c r="N96" s="10" t="s">
        <v>363</v>
      </c>
      <c r="O96" s="10"/>
      <c r="P96" s="10" t="s">
        <v>349</v>
      </c>
      <c r="Q96" s="11" t="s">
        <v>40</v>
      </c>
      <c r="R96" s="10" t="b">
        <v>1</v>
      </c>
      <c r="S96" s="10">
        <v>2</v>
      </c>
      <c r="T96" s="10" t="s">
        <v>36</v>
      </c>
      <c r="U96" s="10"/>
      <c r="V96" s="10"/>
      <c r="W96" s="10"/>
      <c r="X96" s="10"/>
      <c r="Y96" s="10"/>
      <c r="Z96" s="10" t="s">
        <v>350</v>
      </c>
      <c r="AA96" s="10" t="s">
        <v>351</v>
      </c>
      <c r="AB96" s="10" t="s">
        <v>352</v>
      </c>
      <c r="AC96" s="10"/>
      <c r="AD96" s="10"/>
      <c r="AE96" s="10"/>
      <c r="AF96" s="10">
        <v>7</v>
      </c>
    </row>
    <row r="97" spans="2:32" x14ac:dyDescent="0.25">
      <c r="B97" s="4">
        <f>(ROW(tDICT[[#This Row],[Table Name]])-ROW(tDICT[[#Headers],[Table Name]]))*8</f>
        <v>744</v>
      </c>
      <c r="C97" s="5" t="str">
        <f>pTABLE</f>
        <v>dbo.tbl_D_COMPONENT</v>
      </c>
      <c r="D97" s="6"/>
      <c r="E97" s="7" t="str">
        <f ca="1">IFERROR(REPT("  ", tDICT[[#This Row],[LVL]]-1) &amp; tDICT[[#This Row],[Name]], tDICT[[#This Row],[Name]])</f>
        <v xml:space="preserve">            Quarterly Bonus Northern Top Up</v>
      </c>
      <c r="F97" s="8">
        <f ca="1">IF(tDICT[Level Number]="",OFFSET(tDICT[[#This Row],[Level Number]],-1,0),tDICT[Level Number])</f>
        <v>7</v>
      </c>
      <c r="G9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TOTAL_QUARTERLY_BONUS</v>
      </c>
      <c r="H97" s="8" t="str">
        <f ca="1">_xlfn.IFNA(VLOOKUP(tDICT[[#This Row],[Label]],tDICT[Parent Label],1,0)&gt;0,"Leaf")</f>
        <v>Leaf</v>
      </c>
      <c r="I97" s="9">
        <v>119</v>
      </c>
      <c r="J97" s="10">
        <v>104</v>
      </c>
      <c r="K97" s="10" t="s">
        <v>364</v>
      </c>
      <c r="L97" s="10"/>
      <c r="M97" s="10" t="s">
        <v>365</v>
      </c>
      <c r="N97" s="10" t="s">
        <v>366</v>
      </c>
      <c r="O97" s="10"/>
      <c r="P97" s="10" t="s">
        <v>349</v>
      </c>
      <c r="Q97" s="11" t="s">
        <v>40</v>
      </c>
      <c r="R97" s="10" t="b">
        <v>1</v>
      </c>
      <c r="S97" s="10">
        <v>2</v>
      </c>
      <c r="T97" s="10" t="s">
        <v>72</v>
      </c>
      <c r="U97" s="10"/>
      <c r="V97" s="10"/>
      <c r="W97" s="10"/>
      <c r="X97" s="10"/>
      <c r="Y97" s="10"/>
      <c r="Z97" s="10" t="s">
        <v>350</v>
      </c>
      <c r="AA97" s="10" t="s">
        <v>351</v>
      </c>
      <c r="AB97" s="10" t="s">
        <v>352</v>
      </c>
      <c r="AC97" s="10"/>
      <c r="AD97" s="10"/>
      <c r="AE97" s="10"/>
      <c r="AF97" s="10">
        <v>7</v>
      </c>
    </row>
    <row r="98" spans="2:32" x14ac:dyDescent="0.25">
      <c r="B98" s="4">
        <f>(ROW(tDICT[[#This Row],[Table Name]])-ROW(tDICT[[#Headers],[Table Name]]))*8</f>
        <v>752</v>
      </c>
      <c r="C98" s="5" t="str">
        <f>pTABLE</f>
        <v>dbo.tbl_D_COMPONENT</v>
      </c>
      <c r="D98" s="6"/>
      <c r="E98" s="7" t="str">
        <f ca="1">IFERROR(REPT("  ", tDICT[[#This Row],[LVL]]-1) &amp; tDICT[[#This Row],[Name]], tDICT[[#This Row],[Name]])</f>
        <v xml:space="preserve">            Quarterly Bonus Regional Top Up</v>
      </c>
      <c r="F98" s="8">
        <f ca="1">IF(tDICT[Level Number]="",OFFSET(tDICT[[#This Row],[Level Number]],-1,0),tDICT[Level Number])</f>
        <v>7</v>
      </c>
      <c r="G9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TOTAL_QUARTERLY_BONUS</v>
      </c>
      <c r="H98" s="8" t="str">
        <f ca="1">_xlfn.IFNA(VLOOKUP(tDICT[[#This Row],[Label]],tDICT[Parent Label],1,0)&gt;0,"Leaf")</f>
        <v>Leaf</v>
      </c>
      <c r="I98" s="9">
        <v>120</v>
      </c>
      <c r="J98" s="10">
        <v>104</v>
      </c>
      <c r="K98" s="10" t="s">
        <v>367</v>
      </c>
      <c r="L98" s="10"/>
      <c r="M98" s="10" t="s">
        <v>368</v>
      </c>
      <c r="N98" s="10" t="s">
        <v>369</v>
      </c>
      <c r="O98" s="10"/>
      <c r="P98" s="10" t="s">
        <v>349</v>
      </c>
      <c r="Q98" s="11" t="s">
        <v>40</v>
      </c>
      <c r="R98" s="10" t="b">
        <v>1</v>
      </c>
      <c r="S98" s="10">
        <v>2</v>
      </c>
      <c r="T98" s="10" t="s">
        <v>76</v>
      </c>
      <c r="U98" s="10"/>
      <c r="V98" s="10"/>
      <c r="W98" s="10"/>
      <c r="X98" s="10"/>
      <c r="Y98" s="10"/>
      <c r="Z98" s="10" t="s">
        <v>350</v>
      </c>
      <c r="AA98" s="10" t="s">
        <v>351</v>
      </c>
      <c r="AB98" s="10" t="s">
        <v>352</v>
      </c>
      <c r="AC98" s="10"/>
      <c r="AD98" s="10"/>
      <c r="AE98" s="10"/>
      <c r="AF98" s="10">
        <v>7</v>
      </c>
    </row>
    <row r="99" spans="2:32" x14ac:dyDescent="0.25">
      <c r="B99" s="4">
        <f>(ROW(tDICT[[#This Row],[Table Name]])-ROW(tDICT[[#Headers],[Table Name]]))*8</f>
        <v>760</v>
      </c>
      <c r="C99" s="5" t="str">
        <f>pTABLE</f>
        <v>dbo.tbl_D_COMPONENT</v>
      </c>
      <c r="D99" s="6"/>
      <c r="E99" s="7" t="str">
        <f ca="1">IFERROR(REPT("  ", tDICT[[#This Row],[LVL]]-1) &amp; tDICT[[#This Row],[Name]], tDICT[[#This Row],[Name]])</f>
        <v xml:space="preserve">            Deferred Quarterly Bonus</v>
      </c>
      <c r="F99" s="8">
        <f ca="1">IF(tDICT[Level Number]="",OFFSET(tDICT[[#This Row],[Level Number]],-1,0),tDICT[Level Number])</f>
        <v>7</v>
      </c>
      <c r="G9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TOTAL_QUARTERLY_BONUS</v>
      </c>
      <c r="H99" s="8" t="str">
        <f ca="1">_xlfn.IFNA(VLOOKUP(tDICT[[#This Row],[Label]],tDICT[Parent Label],1,0)&gt;0,"Leaf")</f>
        <v>Leaf</v>
      </c>
      <c r="I99" s="9">
        <v>232</v>
      </c>
      <c r="J99" s="10">
        <v>104</v>
      </c>
      <c r="K99" s="10" t="s">
        <v>370</v>
      </c>
      <c r="L99" s="10"/>
      <c r="M99" s="10" t="s">
        <v>371</v>
      </c>
      <c r="N99" s="10" t="s">
        <v>372</v>
      </c>
      <c r="O99" s="10"/>
      <c r="P99" s="10" t="s">
        <v>349</v>
      </c>
      <c r="Q99" s="11" t="s">
        <v>40</v>
      </c>
      <c r="R99" s="10"/>
      <c r="S99" s="10"/>
      <c r="T99" s="10" t="s">
        <v>36</v>
      </c>
      <c r="U99" s="10"/>
      <c r="V99" s="10"/>
      <c r="W99" s="10"/>
      <c r="X99" s="10"/>
      <c r="Y99" s="10"/>
      <c r="Z99" s="10" t="s">
        <v>350</v>
      </c>
      <c r="AA99" s="10" t="s">
        <v>351</v>
      </c>
      <c r="AB99" s="10" t="s">
        <v>352</v>
      </c>
      <c r="AC99" s="10"/>
      <c r="AD99" s="10"/>
      <c r="AE99" s="10"/>
      <c r="AF99" s="10">
        <v>7</v>
      </c>
    </row>
    <row r="100" spans="2:32" x14ac:dyDescent="0.25">
      <c r="B100" s="4">
        <f>(ROW(tDICT[[#This Row],[Table Name]])-ROW(tDICT[[#Headers],[Table Name]]))*8</f>
        <v>768</v>
      </c>
      <c r="C100" s="5" t="str">
        <f>pTABLE</f>
        <v>dbo.tbl_D_COMPONENT</v>
      </c>
      <c r="D100" s="6"/>
      <c r="E100" s="7" t="str">
        <f ca="1">IFERROR(REPT("  ", tDICT[[#This Row],[LVL]]-1) &amp; tDICT[[#This Row],[Name]], tDICT[[#This Row],[Name]])</f>
        <v xml:space="preserve">          Total Monthly Bonus</v>
      </c>
      <c r="F100" s="8">
        <f ca="1">IF(tDICT[Level Number]="",OFFSET(tDICT[[#This Row],[Level Number]],-1,0),tDICT[Level Number])</f>
        <v>6</v>
      </c>
      <c r="G10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00" s="8" t="b">
        <f ca="1">_xlfn.IFNA(VLOOKUP(tDICT[[#This Row],[Label]],tDICT[Parent Label],1,0)&gt;0,"Leaf")</f>
        <v>1</v>
      </c>
      <c r="I100" s="9">
        <v>105</v>
      </c>
      <c r="J100" s="10">
        <v>103</v>
      </c>
      <c r="K100" s="10" t="s">
        <v>373</v>
      </c>
      <c r="L100" s="10"/>
      <c r="M100" s="10" t="s">
        <v>374</v>
      </c>
      <c r="N100" s="10" t="s">
        <v>375</v>
      </c>
      <c r="O100" s="10"/>
      <c r="P100" s="10" t="s">
        <v>346</v>
      </c>
      <c r="Q100" s="11" t="s">
        <v>40</v>
      </c>
      <c r="R100" s="10" t="b">
        <v>1</v>
      </c>
      <c r="S100" s="10">
        <v>4</v>
      </c>
      <c r="T100" s="10" t="s">
        <v>36</v>
      </c>
      <c r="U100" s="10"/>
      <c r="V100" s="10"/>
      <c r="W100" s="10"/>
      <c r="X100" s="10"/>
      <c r="Y100" s="10"/>
      <c r="Z100" s="10" t="s">
        <v>376</v>
      </c>
      <c r="AA100" s="10" t="s">
        <v>377</v>
      </c>
      <c r="AB100" s="10" t="s">
        <v>378</v>
      </c>
      <c r="AC100" s="10">
        <v>1</v>
      </c>
      <c r="AD100" s="10" t="s">
        <v>379</v>
      </c>
      <c r="AE100" s="10" t="s">
        <v>380</v>
      </c>
      <c r="AF100" s="10">
        <v>6</v>
      </c>
    </row>
    <row r="101" spans="2:32" x14ac:dyDescent="0.25">
      <c r="B101" s="4">
        <f>(ROW(tDICT[[#This Row],[Table Name]])-ROW(tDICT[[#Headers],[Table Name]]))*8</f>
        <v>776</v>
      </c>
      <c r="C101" s="5" t="str">
        <f>pTABLE</f>
        <v>dbo.tbl_D_COMPONENT</v>
      </c>
      <c r="D101" s="6"/>
      <c r="E101" s="7" t="str">
        <f ca="1">IFERROR(REPT("  ", tDICT[[#This Row],[LVL]]-1) &amp; tDICT[[#This Row],[Name]], tDICT[[#This Row],[Name]])</f>
        <v xml:space="preserve">            Monthly Bonus</v>
      </c>
      <c r="F101" s="8">
        <f ca="1">IF(tDICT[Level Number]="",OFFSET(tDICT[[#This Row],[Level Number]],-1,0),tDICT[Level Number])</f>
        <v>7</v>
      </c>
      <c r="G10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TOTAL_MONTHLY_BONUS</v>
      </c>
      <c r="H101" s="8" t="str">
        <f ca="1">_xlfn.IFNA(VLOOKUP(tDICT[[#This Row],[Label]],tDICT[Parent Label],1,0)&gt;0,"Leaf")</f>
        <v>Leaf</v>
      </c>
      <c r="I101" s="9">
        <v>9</v>
      </c>
      <c r="J101" s="10">
        <v>105</v>
      </c>
      <c r="K101" s="10" t="s">
        <v>381</v>
      </c>
      <c r="L101" s="10" t="s">
        <v>381</v>
      </c>
      <c r="M101" s="10" t="s">
        <v>382</v>
      </c>
      <c r="N101" s="10" t="s">
        <v>383</v>
      </c>
      <c r="O101" s="10"/>
      <c r="P101" s="10" t="s">
        <v>375</v>
      </c>
      <c r="Q101" s="11" t="s">
        <v>40</v>
      </c>
      <c r="R101" s="10" t="b">
        <v>1</v>
      </c>
      <c r="S101" s="10">
        <v>4</v>
      </c>
      <c r="T101" s="10" t="s">
        <v>36</v>
      </c>
      <c r="U101" s="10"/>
      <c r="V101" s="10"/>
      <c r="W101" s="10"/>
      <c r="X101" s="10"/>
      <c r="Y101" s="10"/>
      <c r="Z101" s="10" t="s">
        <v>376</v>
      </c>
      <c r="AA101" s="10" t="s">
        <v>377</v>
      </c>
      <c r="AB101" s="10" t="s">
        <v>378</v>
      </c>
      <c r="AC101" s="10"/>
      <c r="AD101" s="10"/>
      <c r="AE101" s="10"/>
      <c r="AF101" s="10">
        <v>7</v>
      </c>
    </row>
    <row r="102" spans="2:32" x14ac:dyDescent="0.25">
      <c r="B102" s="4">
        <f>(ROW(tDICT[[#This Row],[Table Name]])-ROW(tDICT[[#Headers],[Table Name]]))*8</f>
        <v>784</v>
      </c>
      <c r="C102" s="5" t="str">
        <f>pTABLE</f>
        <v>dbo.tbl_D_COMPONENT</v>
      </c>
      <c r="D102" s="6"/>
      <c r="E102" s="7" t="str">
        <f ca="1">IFERROR(REPT("  ", tDICT[[#This Row],[LVL]]-1) &amp; tDICT[[#This Row],[Name]], tDICT[[#This Row],[Name]])</f>
        <v xml:space="preserve">            Monthly Bonus - Sub Correction</v>
      </c>
      <c r="F102" s="8">
        <f ca="1">IF(tDICT[Level Number]="",OFFSET(tDICT[[#This Row],[Level Number]],-1,0),tDICT[Level Number])</f>
        <v>7</v>
      </c>
      <c r="G10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TOTAL_MONTHLY_BONUS</v>
      </c>
      <c r="H102" s="8" t="str">
        <f ca="1">_xlfn.IFNA(VLOOKUP(tDICT[[#This Row],[Label]],tDICT[Parent Label],1,0)&gt;0,"Leaf")</f>
        <v>Leaf</v>
      </c>
      <c r="I102" s="9">
        <v>10</v>
      </c>
      <c r="J102" s="10">
        <v>105</v>
      </c>
      <c r="K102" s="10" t="s">
        <v>384</v>
      </c>
      <c r="L102" s="10"/>
      <c r="M102" s="10" t="s">
        <v>385</v>
      </c>
      <c r="N102" s="10" t="s">
        <v>386</v>
      </c>
      <c r="O102" s="10"/>
      <c r="P102" s="10" t="s">
        <v>375</v>
      </c>
      <c r="Q102" s="11" t="s">
        <v>40</v>
      </c>
      <c r="R102" s="10" t="b">
        <v>1</v>
      </c>
      <c r="S102" s="10">
        <v>4</v>
      </c>
      <c r="T102" s="10" t="s">
        <v>36</v>
      </c>
      <c r="U102" s="10"/>
      <c r="V102" s="10"/>
      <c r="W102" s="10"/>
      <c r="X102" s="10"/>
      <c r="Y102" s="10"/>
      <c r="Z102" s="10" t="s">
        <v>376</v>
      </c>
      <c r="AA102" s="10" t="s">
        <v>377</v>
      </c>
      <c r="AB102" s="10" t="s">
        <v>378</v>
      </c>
      <c r="AC102" s="10"/>
      <c r="AD102" s="10"/>
      <c r="AE102" s="10"/>
      <c r="AF102" s="10">
        <v>7</v>
      </c>
    </row>
    <row r="103" spans="2:32" x14ac:dyDescent="0.25">
      <c r="B103" s="4">
        <f>(ROW(tDICT[[#This Row],[Table Name]])-ROW(tDICT[[#Headers],[Table Name]]))*8</f>
        <v>792</v>
      </c>
      <c r="C103" s="5" t="str">
        <f>pTABLE</f>
        <v>dbo.tbl_D_COMPONENT</v>
      </c>
      <c r="D103" s="6"/>
      <c r="E103" s="7" t="str">
        <f ca="1">IFERROR(REPT("  ", tDICT[[#This Row],[LVL]]-1) &amp; tDICT[[#This Row],[Name]], tDICT[[#This Row],[Name]])</f>
        <v xml:space="preserve">            Monthly Bonus Northern Top Up</v>
      </c>
      <c r="F103" s="8">
        <f ca="1">IF(tDICT[Level Number]="",OFFSET(tDICT[[#This Row],[Level Number]],-1,0),tDICT[Level Number])</f>
        <v>7</v>
      </c>
      <c r="G10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TOTAL_MONTHLY_BONUS</v>
      </c>
      <c r="H103" s="8" t="str">
        <f ca="1">_xlfn.IFNA(VLOOKUP(tDICT[[#This Row],[Label]],tDICT[Parent Label],1,0)&gt;0,"Leaf")</f>
        <v>Leaf</v>
      </c>
      <c r="I103" s="9">
        <v>121</v>
      </c>
      <c r="J103" s="10">
        <v>105</v>
      </c>
      <c r="K103" s="10" t="s">
        <v>387</v>
      </c>
      <c r="L103" s="10"/>
      <c r="M103" s="10" t="s">
        <v>388</v>
      </c>
      <c r="N103" s="10" t="s">
        <v>389</v>
      </c>
      <c r="O103" s="10"/>
      <c r="P103" s="10" t="s">
        <v>375</v>
      </c>
      <c r="Q103" s="11" t="s">
        <v>40</v>
      </c>
      <c r="R103" s="10" t="b">
        <v>1</v>
      </c>
      <c r="S103" s="10">
        <v>4</v>
      </c>
      <c r="T103" s="10" t="s">
        <v>72</v>
      </c>
      <c r="U103" s="10"/>
      <c r="V103" s="10"/>
      <c r="W103" s="10"/>
      <c r="X103" s="10"/>
      <c r="Y103" s="10"/>
      <c r="Z103" s="10" t="s">
        <v>376</v>
      </c>
      <c r="AA103" s="10" t="s">
        <v>377</v>
      </c>
      <c r="AB103" s="10" t="s">
        <v>378</v>
      </c>
      <c r="AC103" s="10"/>
      <c r="AD103" s="10"/>
      <c r="AE103" s="10"/>
      <c r="AF103" s="10">
        <v>7</v>
      </c>
    </row>
    <row r="104" spans="2:32" x14ac:dyDescent="0.25">
      <c r="B104" s="4">
        <f>(ROW(tDICT[[#This Row],[Table Name]])-ROW(tDICT[[#Headers],[Table Name]]))*8</f>
        <v>800</v>
      </c>
      <c r="C104" s="5" t="str">
        <f>pTABLE</f>
        <v>dbo.tbl_D_COMPONENT</v>
      </c>
      <c r="D104" s="6"/>
      <c r="E104" s="7" t="str">
        <f ca="1">IFERROR(REPT("  ", tDICT[[#This Row],[LVL]]-1) &amp; tDICT[[#This Row],[Name]], tDICT[[#This Row],[Name]])</f>
        <v xml:space="preserve">            Monthly Bonus Regional Top Up</v>
      </c>
      <c r="F104" s="8">
        <f ca="1">IF(tDICT[Level Number]="",OFFSET(tDICT[[#This Row],[Level Number]],-1,0),tDICT[Level Number])</f>
        <v>7</v>
      </c>
      <c r="G10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TOTAL_MONTHLY_BONUS</v>
      </c>
      <c r="H104" s="8" t="str">
        <f ca="1">_xlfn.IFNA(VLOOKUP(tDICT[[#This Row],[Label]],tDICT[Parent Label],1,0)&gt;0,"Leaf")</f>
        <v>Leaf</v>
      </c>
      <c r="I104" s="9">
        <v>122</v>
      </c>
      <c r="J104" s="10">
        <v>105</v>
      </c>
      <c r="K104" s="10" t="s">
        <v>390</v>
      </c>
      <c r="L104" s="10"/>
      <c r="M104" s="10" t="s">
        <v>391</v>
      </c>
      <c r="N104" s="10" t="s">
        <v>392</v>
      </c>
      <c r="O104" s="10"/>
      <c r="P104" s="10" t="s">
        <v>375</v>
      </c>
      <c r="Q104" s="11" t="s">
        <v>40</v>
      </c>
      <c r="R104" s="10" t="b">
        <v>1</v>
      </c>
      <c r="S104" s="10">
        <v>4</v>
      </c>
      <c r="T104" s="10" t="s">
        <v>76</v>
      </c>
      <c r="U104" s="10"/>
      <c r="V104" s="10"/>
      <c r="W104" s="10"/>
      <c r="X104" s="10"/>
      <c r="Y104" s="10"/>
      <c r="Z104" s="10" t="s">
        <v>376</v>
      </c>
      <c r="AA104" s="10" t="s">
        <v>377</v>
      </c>
      <c r="AB104" s="10" t="s">
        <v>378</v>
      </c>
      <c r="AC104" s="10"/>
      <c r="AD104" s="10"/>
      <c r="AE104" s="10"/>
      <c r="AF104" s="10">
        <v>7</v>
      </c>
    </row>
    <row r="105" spans="2:32" x14ac:dyDescent="0.25">
      <c r="B105" s="4">
        <f>(ROW(tDICT[[#This Row],[Table Name]])-ROW(tDICT[[#Headers],[Table Name]]))*8</f>
        <v>808</v>
      </c>
      <c r="C105" s="5" t="str">
        <f>pTABLE</f>
        <v>dbo.tbl_D_COMPONENT</v>
      </c>
      <c r="D105" s="6"/>
      <c r="E105" s="7" t="str">
        <f ca="1">IFERROR(REPT("  ", tDICT[[#This Row],[LVL]]-1) &amp; tDICT[[#This Row],[Name]], tDICT[[#This Row],[Name]])</f>
        <v xml:space="preserve">          Total Other Bonus</v>
      </c>
      <c r="F105" s="8">
        <f ca="1">IF(tDICT[Level Number]="",OFFSET(tDICT[[#This Row],[Level Number]],-1,0),tDICT[Level Number])</f>
        <v>6</v>
      </c>
      <c r="G10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05" s="8" t="b">
        <f ca="1">_xlfn.IFNA(VLOOKUP(tDICT[[#This Row],[Label]],tDICT[Parent Label],1,0)&gt;0,"Leaf")</f>
        <v>1</v>
      </c>
      <c r="I105" s="9">
        <v>110</v>
      </c>
      <c r="J105" s="10">
        <v>103</v>
      </c>
      <c r="K105" s="10" t="s">
        <v>393</v>
      </c>
      <c r="L105" s="10"/>
      <c r="M105" s="10" t="s">
        <v>394</v>
      </c>
      <c r="N105" s="10" t="s">
        <v>395</v>
      </c>
      <c r="O105" s="10"/>
      <c r="P105" s="10" t="s">
        <v>346</v>
      </c>
      <c r="Q105" s="11" t="s">
        <v>40</v>
      </c>
      <c r="R105" s="10" t="b">
        <v>1</v>
      </c>
      <c r="S105" s="10"/>
      <c r="T105" s="10" t="s">
        <v>36</v>
      </c>
      <c r="U105" s="10"/>
      <c r="V105" s="10"/>
      <c r="W105" s="10"/>
      <c r="X105" s="10"/>
      <c r="Y105" s="10"/>
      <c r="Z105" s="10"/>
      <c r="AA105" s="10"/>
      <c r="AB105" s="10"/>
      <c r="AC105" s="10"/>
      <c r="AD105" s="10" t="s">
        <v>396</v>
      </c>
      <c r="AE105" s="10" t="s">
        <v>397</v>
      </c>
      <c r="AF105" s="10">
        <v>6</v>
      </c>
    </row>
    <row r="106" spans="2:32" x14ac:dyDescent="0.25">
      <c r="B106" s="4">
        <f>(ROW(tDICT[[#This Row],[Table Name]])-ROW(tDICT[[#Headers],[Table Name]]))*8</f>
        <v>816</v>
      </c>
      <c r="C106" s="5" t="str">
        <f>pTABLE</f>
        <v>dbo.tbl_D_COMPONENT</v>
      </c>
      <c r="D106" s="6"/>
      <c r="E106" s="7" t="str">
        <f ca="1">IFERROR(REPT("  ", tDICT[[#This Row],[LVL]]-1) &amp; tDICT[[#This Row],[Name]], tDICT[[#This Row],[Name]])</f>
        <v xml:space="preserve">            Other Bonus (not regular)</v>
      </c>
      <c r="F106" s="8">
        <f ca="1">IF(tDICT[Level Number]="",OFFSET(tDICT[[#This Row],[Level Number]],-1,0),tDICT[Level Number])</f>
        <v>7</v>
      </c>
      <c r="G10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TOTAL_OTHER_BONUS</v>
      </c>
      <c r="H106" s="8" t="b">
        <f ca="1">_xlfn.IFNA(VLOOKUP(tDICT[[#This Row],[Label]],tDICT[Parent Label],1,0)&gt;0,"Leaf")</f>
        <v>1</v>
      </c>
      <c r="I106" s="9">
        <v>11</v>
      </c>
      <c r="J106" s="10">
        <v>110</v>
      </c>
      <c r="K106" s="10" t="s">
        <v>398</v>
      </c>
      <c r="L106" s="10" t="s">
        <v>398</v>
      </c>
      <c r="M106" s="10" t="s">
        <v>399</v>
      </c>
      <c r="N106" s="10" t="s">
        <v>400</v>
      </c>
      <c r="O106" s="10"/>
      <c r="P106" s="10" t="s">
        <v>395</v>
      </c>
      <c r="Q106" s="11" t="s">
        <v>40</v>
      </c>
      <c r="R106" s="10" t="b">
        <v>1</v>
      </c>
      <c r="S106" s="10"/>
      <c r="T106" s="10" t="s">
        <v>36</v>
      </c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>
        <v>7</v>
      </c>
    </row>
    <row r="107" spans="2:32" x14ac:dyDescent="0.25">
      <c r="B107" s="4">
        <f>(ROW(tDICT[[#This Row],[Table Name]])-ROW(tDICT[[#Headers],[Table Name]]))*8</f>
        <v>824</v>
      </c>
      <c r="C107" s="5" t="str">
        <f>pTABLE</f>
        <v>dbo.tbl_D_COMPONENT</v>
      </c>
      <c r="D107" s="6"/>
      <c r="E107" s="7" t="str">
        <f ca="1">IFERROR(REPT("  ", tDICT[[#This Row],[LVL]]-1) &amp; tDICT[[#This Row],[Name]], tDICT[[#This Row],[Name]])</f>
        <v xml:space="preserve">              Referral Bonus</v>
      </c>
      <c r="F107" s="8">
        <f ca="1">IF(tDICT[Level Number]="",OFFSET(tDICT[[#This Row],[Level Number]],-1,0),tDICT[Level Number])</f>
        <v>8</v>
      </c>
      <c r="G10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OTHER_BONUS_NOT_REGULAR</v>
      </c>
      <c r="H107" s="8" t="str">
        <f ca="1">_xlfn.IFNA(VLOOKUP(tDICT[[#This Row],[Label]],tDICT[Parent Label],1,0)&gt;0,"Leaf")</f>
        <v>Leaf</v>
      </c>
      <c r="I107" s="9">
        <v>242</v>
      </c>
      <c r="J107" s="10">
        <v>11</v>
      </c>
      <c r="K107" s="10" t="s">
        <v>401</v>
      </c>
      <c r="L107" s="10"/>
      <c r="M107" s="10" t="s">
        <v>402</v>
      </c>
      <c r="N107" s="10" t="s">
        <v>403</v>
      </c>
      <c r="O107" s="10" t="s">
        <v>404</v>
      </c>
      <c r="P107" s="10" t="s">
        <v>400</v>
      </c>
      <c r="Q107" s="11" t="s">
        <v>40</v>
      </c>
      <c r="R107" s="10" t="b">
        <v>1</v>
      </c>
      <c r="S107" s="10"/>
      <c r="T107" s="10" t="s">
        <v>36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 t="s">
        <v>405</v>
      </c>
      <c r="AE107" s="10" t="s">
        <v>406</v>
      </c>
      <c r="AF107" s="10">
        <v>8</v>
      </c>
    </row>
    <row r="108" spans="2:32" x14ac:dyDescent="0.25">
      <c r="B108" s="4">
        <f>(ROW(tDICT[[#This Row],[Table Name]])-ROW(tDICT[[#Headers],[Table Name]]))*8</f>
        <v>832</v>
      </c>
      <c r="C108" s="5" t="str">
        <f>pTABLE</f>
        <v>dbo.tbl_D_COMPONENT</v>
      </c>
      <c r="D108" s="6"/>
      <c r="E108" s="7" t="str">
        <f ca="1">IFERROR(REPT("  ", tDICT[[#This Row],[LVL]]-1) &amp; tDICT[[#This Row],[Name]], tDICT[[#This Row],[Name]])</f>
        <v xml:space="preserve">            Other Bonus - Sub Correction</v>
      </c>
      <c r="F108" s="8">
        <f ca="1">IF(tDICT[Level Number]="",OFFSET(tDICT[[#This Row],[Level Number]],-1,0),tDICT[Level Number])</f>
        <v>7</v>
      </c>
      <c r="G10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08" s="8" t="str">
        <f ca="1">_xlfn.IFNA(VLOOKUP(tDICT[[#This Row],[Label]],tDICT[Parent Label],1,0)&gt;0,"Leaf")</f>
        <v>Leaf</v>
      </c>
      <c r="I108" s="9">
        <v>12</v>
      </c>
      <c r="J108" s="10">
        <v>110</v>
      </c>
      <c r="K108" s="10" t="s">
        <v>407</v>
      </c>
      <c r="L108" s="10"/>
      <c r="M108" s="10" t="s">
        <v>408</v>
      </c>
      <c r="N108" s="10" t="s">
        <v>409</v>
      </c>
      <c r="O108" s="10"/>
      <c r="P108" s="10" t="s">
        <v>395</v>
      </c>
      <c r="Q108" s="11" t="s">
        <v>40</v>
      </c>
      <c r="R108" s="10" t="b">
        <v>1</v>
      </c>
      <c r="S108" s="10"/>
      <c r="T108" s="10" t="s">
        <v>36</v>
      </c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>
        <v>7</v>
      </c>
    </row>
    <row r="109" spans="2:32" x14ac:dyDescent="0.25">
      <c r="B109" s="4">
        <f>(ROW(tDICT[[#This Row],[Table Name]])-ROW(tDICT[[#Headers],[Table Name]]))*8</f>
        <v>840</v>
      </c>
      <c r="C109" s="5" t="str">
        <f>pTABLE</f>
        <v>dbo.tbl_D_COMPONENT</v>
      </c>
      <c r="D109" s="6"/>
      <c r="E109" s="7" t="str">
        <f ca="1">IFERROR(REPT("  ", tDICT[[#This Row],[LVL]]-1) &amp; tDICT[[#This Row],[Name]], tDICT[[#This Row],[Name]])</f>
        <v xml:space="preserve">            Other Bonus Northern Top Up</v>
      </c>
      <c r="F109" s="8">
        <f ca="1">IF(tDICT[Level Number]="",OFFSET(tDICT[[#This Row],[Level Number]],-1,0),tDICT[Level Number])</f>
        <v>7</v>
      </c>
      <c r="G10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09" s="8" t="str">
        <f ca="1">_xlfn.IFNA(VLOOKUP(tDICT[[#This Row],[Label]],tDICT[Parent Label],1,0)&gt;0,"Leaf")</f>
        <v>Leaf</v>
      </c>
      <c r="I109" s="9">
        <v>123</v>
      </c>
      <c r="J109" s="10">
        <v>110</v>
      </c>
      <c r="K109" s="10" t="s">
        <v>410</v>
      </c>
      <c r="L109" s="10"/>
      <c r="M109" s="10" t="s">
        <v>411</v>
      </c>
      <c r="N109" s="10" t="s">
        <v>412</v>
      </c>
      <c r="O109" s="10"/>
      <c r="P109" s="10" t="s">
        <v>395</v>
      </c>
      <c r="Q109" s="11" t="s">
        <v>40</v>
      </c>
      <c r="R109" s="10" t="b">
        <v>1</v>
      </c>
      <c r="S109" s="10"/>
      <c r="T109" s="10" t="s">
        <v>72</v>
      </c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>
        <v>7</v>
      </c>
    </row>
    <row r="110" spans="2:32" x14ac:dyDescent="0.25">
      <c r="B110" s="4">
        <f>(ROW(tDICT[[#This Row],[Table Name]])-ROW(tDICT[[#Headers],[Table Name]]))*8</f>
        <v>848</v>
      </c>
      <c r="C110" s="5" t="str">
        <f>pTABLE</f>
        <v>dbo.tbl_D_COMPONENT</v>
      </c>
      <c r="D110" s="6"/>
      <c r="E110" s="7" t="str">
        <f ca="1">IFERROR(REPT("  ", tDICT[[#This Row],[LVL]]-1) &amp; tDICT[[#This Row],[Name]], tDICT[[#This Row],[Name]])</f>
        <v xml:space="preserve">            Other Bonus IT Patents</v>
      </c>
      <c r="F110" s="8">
        <f ca="1">IF(tDICT[Level Number]="",OFFSET(tDICT[[#This Row],[Level Number]],-1,0),tDICT[Level Number])</f>
        <v>7</v>
      </c>
      <c r="G11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10" s="8" t="str">
        <f ca="1">_xlfn.IFNA(VLOOKUP(tDICT[[#This Row],[Label]],tDICT[Parent Label],1,0)&gt;0,"Leaf")</f>
        <v>Leaf</v>
      </c>
      <c r="I110" s="9">
        <v>249</v>
      </c>
      <c r="J110" s="10">
        <v>110</v>
      </c>
      <c r="K110" s="10" t="s">
        <v>413</v>
      </c>
      <c r="L110" s="10"/>
      <c r="M110" s="10" t="s">
        <v>414</v>
      </c>
      <c r="N110" s="10" t="s">
        <v>415</v>
      </c>
      <c r="O110" s="10" t="s">
        <v>416</v>
      </c>
      <c r="P110" s="10" t="s">
        <v>395</v>
      </c>
      <c r="Q110" s="11" t="s">
        <v>40</v>
      </c>
      <c r="R110" s="10" t="b">
        <v>1</v>
      </c>
      <c r="S110" s="10"/>
      <c r="T110" s="10" t="s">
        <v>36</v>
      </c>
      <c r="U110" s="10"/>
      <c r="V110" s="10"/>
      <c r="W110" s="10"/>
      <c r="X110" s="10"/>
      <c r="Y110" s="10"/>
      <c r="Z110" s="10"/>
      <c r="AA110" s="10"/>
      <c r="AB110" s="10"/>
      <c r="AC110" s="10"/>
      <c r="AD110" s="10" t="s">
        <v>417</v>
      </c>
      <c r="AE110" s="10" t="s">
        <v>416</v>
      </c>
      <c r="AF110" s="10">
        <v>7</v>
      </c>
    </row>
    <row r="111" spans="2:32" x14ac:dyDescent="0.25">
      <c r="B111" s="4">
        <f>(ROW(tDICT[[#This Row],[Table Name]])-ROW(tDICT[[#Headers],[Table Name]]))*8</f>
        <v>856</v>
      </c>
      <c r="C111" s="5" t="str">
        <f>pTABLE</f>
        <v>dbo.tbl_D_COMPONENT</v>
      </c>
      <c r="D111" s="6"/>
      <c r="E111" s="7" t="str">
        <f ca="1">IFERROR(REPT("  ", tDICT[[#This Row],[LVL]]-1) &amp; tDICT[[#This Row],[Name]], tDICT[[#This Row],[Name]])</f>
        <v xml:space="preserve">            Other Bonus Regional Top Up</v>
      </c>
      <c r="F111" s="8">
        <f ca="1">IF(tDICT[Level Number]="",OFFSET(tDICT[[#This Row],[Level Number]],-1,0),tDICT[Level Number])</f>
        <v>7</v>
      </c>
      <c r="G11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11" s="8" t="str">
        <f ca="1">_xlfn.IFNA(VLOOKUP(tDICT[[#This Row],[Label]],tDICT[Parent Label],1,0)&gt;0,"Leaf")</f>
        <v>Leaf</v>
      </c>
      <c r="I111" s="9">
        <v>124</v>
      </c>
      <c r="J111" s="10">
        <v>110</v>
      </c>
      <c r="K111" s="10" t="s">
        <v>418</v>
      </c>
      <c r="L111" s="10"/>
      <c r="M111" s="10" t="s">
        <v>419</v>
      </c>
      <c r="N111" s="10" t="s">
        <v>420</v>
      </c>
      <c r="O111" s="10"/>
      <c r="P111" s="10" t="s">
        <v>395</v>
      </c>
      <c r="Q111" s="11" t="s">
        <v>40</v>
      </c>
      <c r="R111" s="10" t="b">
        <v>1</v>
      </c>
      <c r="S111" s="10"/>
      <c r="T111" s="10" t="s">
        <v>76</v>
      </c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>
        <v>7</v>
      </c>
    </row>
    <row r="112" spans="2:32" x14ac:dyDescent="0.25">
      <c r="B112" s="4">
        <f>(ROW(tDICT[[#This Row],[Table Name]])-ROW(tDICT[[#Headers],[Table Name]]))*8</f>
        <v>864</v>
      </c>
      <c r="C112" s="5" t="str">
        <f>pTABLE</f>
        <v>dbo.tbl_D_COMPONENT</v>
      </c>
      <c r="D112" s="6"/>
      <c r="E112" s="7" t="str">
        <f ca="1">IFERROR(REPT("  ", tDICT[[#This Row],[LVL]]-1) &amp; tDICT[[#This Row],[Name]], tDICT[[#This Row],[Name]])</f>
        <v xml:space="preserve">            Other Bonus IT Products</v>
      </c>
      <c r="F112" s="8">
        <f ca="1">IF(tDICT[Level Number]="",OFFSET(tDICT[[#This Row],[Level Number]],-1,0),tDICT[Level Number])</f>
        <v>7</v>
      </c>
      <c r="G11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12" s="8" t="str">
        <f ca="1">_xlfn.IFNA(VLOOKUP(tDICT[[#This Row],[Label]],tDICT[Parent Label],1,0)&gt;0,"Leaf")</f>
        <v>Leaf</v>
      </c>
      <c r="I112" s="9">
        <v>272</v>
      </c>
      <c r="J112" s="10">
        <v>110</v>
      </c>
      <c r="K112" s="10" t="s">
        <v>421</v>
      </c>
      <c r="L112" s="10"/>
      <c r="M112" s="10" t="s">
        <v>422</v>
      </c>
      <c r="N112" s="10" t="s">
        <v>423</v>
      </c>
      <c r="O112" s="10" t="s">
        <v>424</v>
      </c>
      <c r="P112" s="10" t="s">
        <v>395</v>
      </c>
      <c r="Q112" s="11" t="s">
        <v>40</v>
      </c>
      <c r="R112" s="10" t="b">
        <v>1</v>
      </c>
      <c r="S112" s="10"/>
      <c r="T112" s="10" t="s">
        <v>36</v>
      </c>
      <c r="U112" s="10"/>
      <c r="V112" s="10"/>
      <c r="W112" s="10"/>
      <c r="X112" s="10"/>
      <c r="Y112" s="10"/>
      <c r="Z112" s="10"/>
      <c r="AA112" s="10"/>
      <c r="AB112" s="10"/>
      <c r="AC112" s="10"/>
      <c r="AD112" s="10" t="s">
        <v>425</v>
      </c>
      <c r="AE112" s="10" t="s">
        <v>424</v>
      </c>
      <c r="AF112" s="10">
        <v>7</v>
      </c>
    </row>
    <row r="113" spans="2:32" x14ac:dyDescent="0.25">
      <c r="B113" s="4">
        <f>(ROW(tDICT[[#This Row],[Table Name]])-ROW(tDICT[[#Headers],[Table Name]]))*8</f>
        <v>872</v>
      </c>
      <c r="C113" s="5" t="str">
        <f>pTABLE</f>
        <v>dbo.tbl_D_COMPONENT</v>
      </c>
      <c r="D113" s="6"/>
      <c r="E113" s="7" t="str">
        <f ca="1">IFERROR(REPT("  ", tDICT[[#This Row],[LVL]]-1) &amp; tDICT[[#This Row],[Name]], tDICT[[#This Row],[Name]])</f>
        <v xml:space="preserve">          Total Cross Sale Bonus</v>
      </c>
      <c r="F113" s="8">
        <f ca="1">IF(tDICT[Level Number]="",OFFSET(tDICT[[#This Row],[Level Number]],-1,0),tDICT[Level Number])</f>
        <v>6</v>
      </c>
      <c r="G11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13" s="8" t="b">
        <f ca="1">_xlfn.IFNA(VLOOKUP(tDICT[[#This Row],[Label]],tDICT[Parent Label],1,0)&gt;0,"Leaf")</f>
        <v>1</v>
      </c>
      <c r="I113" s="9">
        <v>1007</v>
      </c>
      <c r="J113" s="10">
        <v>103</v>
      </c>
      <c r="K113" s="10" t="s">
        <v>426</v>
      </c>
      <c r="L113" s="10"/>
      <c r="M113" s="10" t="s">
        <v>427</v>
      </c>
      <c r="N113" s="10" t="s">
        <v>428</v>
      </c>
      <c r="O113" s="10" t="s">
        <v>429</v>
      </c>
      <c r="P113" s="10" t="s">
        <v>346</v>
      </c>
      <c r="Q113" s="11" t="s">
        <v>40</v>
      </c>
      <c r="R113" s="10" t="b">
        <v>1</v>
      </c>
      <c r="S113" s="10"/>
      <c r="T113" s="10" t="s">
        <v>36</v>
      </c>
      <c r="U113" s="10"/>
      <c r="V113" s="10"/>
      <c r="W113" s="10"/>
      <c r="X113" s="10"/>
      <c r="Y113" s="10"/>
      <c r="Z113" s="10"/>
      <c r="AA113" s="10"/>
      <c r="AB113" s="10"/>
      <c r="AC113" s="10"/>
      <c r="AD113" s="10" t="s">
        <v>430</v>
      </c>
      <c r="AE113" s="10" t="s">
        <v>431</v>
      </c>
      <c r="AF113" s="10">
        <v>6</v>
      </c>
    </row>
    <row r="114" spans="2:32" x14ac:dyDescent="0.25">
      <c r="B114" s="4">
        <f>(ROW(tDICT[[#This Row],[Table Name]])-ROW(tDICT[[#Headers],[Table Name]]))*8</f>
        <v>880</v>
      </c>
      <c r="C114" s="5" t="str">
        <f>pTABLE</f>
        <v>dbo.tbl_D_COMPONENT</v>
      </c>
      <c r="D114" s="6"/>
      <c r="E114" s="7" t="str">
        <f ca="1">IFERROR(REPT("  ", tDICT[[#This Row],[LVL]]-1) &amp; tDICT[[#This Row],[Name]], tDICT[[#This Row],[Name]])</f>
        <v xml:space="preserve">            Cross Sale Bonus</v>
      </c>
      <c r="F114" s="8">
        <f ca="1">IF(tDICT[Level Number]="",OFFSET(tDICT[[#This Row],[Level Number]],-1,0),tDICT[Level Number])</f>
        <v>7</v>
      </c>
      <c r="G11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TOTAL_CROSS_SALE_BONUS</v>
      </c>
      <c r="H114" s="8" t="str">
        <f ca="1">_xlfn.IFNA(VLOOKUP(tDICT[[#This Row],[Label]],tDICT[Parent Label],1,0)&gt;0,"Leaf")</f>
        <v>Leaf</v>
      </c>
      <c r="I114" s="9">
        <v>178</v>
      </c>
      <c r="J114" s="10">
        <v>1007</v>
      </c>
      <c r="K114" s="10" t="s">
        <v>432</v>
      </c>
      <c r="L114" s="10"/>
      <c r="M114" s="10" t="s">
        <v>433</v>
      </c>
      <c r="N114" s="10" t="s">
        <v>434</v>
      </c>
      <c r="O114" s="10"/>
      <c r="P114" s="10" t="s">
        <v>428</v>
      </c>
      <c r="Q114" s="11" t="s">
        <v>40</v>
      </c>
      <c r="R114" s="10" t="b">
        <v>1</v>
      </c>
      <c r="S114" s="10"/>
      <c r="T114" s="10" t="s">
        <v>36</v>
      </c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>
        <v>7</v>
      </c>
    </row>
    <row r="115" spans="2:32" x14ac:dyDescent="0.25">
      <c r="B115" s="4">
        <f>(ROW(tDICT[[#This Row],[Table Name]])-ROW(tDICT[[#Headers],[Table Name]]))*8</f>
        <v>888</v>
      </c>
      <c r="C115" s="5" t="str">
        <f>pTABLE</f>
        <v>dbo.tbl_D_COMPONENT</v>
      </c>
      <c r="D115" s="6"/>
      <c r="E115" s="7" t="str">
        <f ca="1">IFERROR(REPT("  ", tDICT[[#This Row],[LVL]]-1) &amp; tDICT[[#This Row],[Name]], tDICT[[#This Row],[Name]])</f>
        <v xml:space="preserve">            Cross Sale Bonus Northern Top Up</v>
      </c>
      <c r="F115" s="8">
        <f ca="1">IF(tDICT[Level Number]="",OFFSET(tDICT[[#This Row],[Level Number]],-1,0),tDICT[Level Number])</f>
        <v>7</v>
      </c>
      <c r="G11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TOTAL_CROSS_SALE_BONUS</v>
      </c>
      <c r="H115" s="8" t="str">
        <f ca="1">_xlfn.IFNA(VLOOKUP(tDICT[[#This Row],[Label]],tDICT[Parent Label],1,0)&gt;0,"Leaf")</f>
        <v>Leaf</v>
      </c>
      <c r="I115" s="9">
        <v>179</v>
      </c>
      <c r="J115" s="10">
        <v>1007</v>
      </c>
      <c r="K115" s="10" t="s">
        <v>435</v>
      </c>
      <c r="L115" s="10"/>
      <c r="M115" s="10" t="s">
        <v>436</v>
      </c>
      <c r="N115" s="10" t="s">
        <v>437</v>
      </c>
      <c r="O115" s="10"/>
      <c r="P115" s="10" t="s">
        <v>428</v>
      </c>
      <c r="Q115" s="11" t="s">
        <v>40</v>
      </c>
      <c r="R115" s="10" t="b">
        <v>1</v>
      </c>
      <c r="S115" s="10"/>
      <c r="T115" s="10" t="s">
        <v>72</v>
      </c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>
        <v>7</v>
      </c>
    </row>
    <row r="116" spans="2:32" x14ac:dyDescent="0.25">
      <c r="B116" s="4">
        <f>(ROW(tDICT[[#This Row],[Table Name]])-ROW(tDICT[[#Headers],[Table Name]]))*8</f>
        <v>896</v>
      </c>
      <c r="C116" s="5" t="str">
        <f>pTABLE</f>
        <v>dbo.tbl_D_COMPONENT</v>
      </c>
      <c r="D116" s="6"/>
      <c r="E116" s="7" t="str">
        <f ca="1">IFERROR(REPT("  ", tDICT[[#This Row],[LVL]]-1) &amp; tDICT[[#This Row],[Name]], tDICT[[#This Row],[Name]])</f>
        <v xml:space="preserve">            Cross Sale Bonus Regional Top Up</v>
      </c>
      <c r="F116" s="8">
        <f ca="1">IF(tDICT[Level Number]="",OFFSET(tDICT[[#This Row],[Level Number]],-1,0),tDICT[Level Number])</f>
        <v>7</v>
      </c>
      <c r="G11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TOTAL_CROSS_SALE_BONUS</v>
      </c>
      <c r="H116" s="8" t="str">
        <f ca="1">_xlfn.IFNA(VLOOKUP(tDICT[[#This Row],[Label]],tDICT[Parent Label],1,0)&gt;0,"Leaf")</f>
        <v>Leaf</v>
      </c>
      <c r="I116" s="9">
        <v>180</v>
      </c>
      <c r="J116" s="10">
        <v>1007</v>
      </c>
      <c r="K116" s="10" t="s">
        <v>438</v>
      </c>
      <c r="L116" s="10"/>
      <c r="M116" s="10" t="s">
        <v>439</v>
      </c>
      <c r="N116" s="10" t="s">
        <v>440</v>
      </c>
      <c r="O116" s="10"/>
      <c r="P116" s="10" t="s">
        <v>428</v>
      </c>
      <c r="Q116" s="11" t="s">
        <v>40</v>
      </c>
      <c r="R116" s="10" t="b">
        <v>1</v>
      </c>
      <c r="S116" s="10"/>
      <c r="T116" s="10" t="s">
        <v>76</v>
      </c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>
        <v>7</v>
      </c>
    </row>
    <row r="117" spans="2:32" x14ac:dyDescent="0.25">
      <c r="B117" s="4">
        <f>(ROW(tDICT[[#This Row],[Table Name]])-ROW(tDICT[[#Headers],[Table Name]]))*8</f>
        <v>904</v>
      </c>
      <c r="C117" s="5" t="str">
        <f>pTABLE</f>
        <v>dbo.tbl_D_COMPONENT</v>
      </c>
      <c r="D117" s="6"/>
      <c r="E117" s="7" t="str">
        <f ca="1">IFERROR(REPT("  ", tDICT[[#This Row],[LVL]]-1) &amp; tDICT[[#This Row],[Name]], tDICT[[#This Row],[Name]])</f>
        <v xml:space="preserve">    Total Social Tax</v>
      </c>
      <c r="F117" s="8">
        <f ca="1">IF(tDICT[Level Number]="",OFFSET(tDICT[[#This Row],[Level Number]],-1,0),tDICT[Level Number])</f>
        <v>3</v>
      </c>
      <c r="G11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17" s="8" t="b">
        <f ca="1">_xlfn.IFNA(VLOOKUP(tDICT[[#This Row],[Label]],tDICT[Parent Label],1,0)&gt;0,"Leaf")</f>
        <v>1</v>
      </c>
      <c r="I117" s="9">
        <v>126</v>
      </c>
      <c r="J117" s="10">
        <v>125</v>
      </c>
      <c r="K117" s="10" t="s">
        <v>441</v>
      </c>
      <c r="L117" s="10"/>
      <c r="M117" s="10" t="s">
        <v>442</v>
      </c>
      <c r="N117" s="10" t="s">
        <v>443</v>
      </c>
      <c r="O117" s="10"/>
      <c r="P117" s="10" t="s">
        <v>43</v>
      </c>
      <c r="Q117" s="11" t="s">
        <v>40</v>
      </c>
      <c r="R117" s="10" t="b">
        <v>1</v>
      </c>
      <c r="S117" s="10"/>
      <c r="T117" s="10" t="s">
        <v>36</v>
      </c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>
        <v>3</v>
      </c>
    </row>
    <row r="118" spans="2:32" x14ac:dyDescent="0.25">
      <c r="B118" s="4">
        <f>(ROW(tDICT[[#This Row],[Table Name]])-ROW(tDICT[[#Headers],[Table Name]]))*8</f>
        <v>912</v>
      </c>
      <c r="C118" s="5" t="str">
        <f>pTABLE</f>
        <v>dbo.tbl_D_COMPONENT</v>
      </c>
      <c r="D118" s="6"/>
      <c r="E118" s="7" t="str">
        <f ca="1">IFERROR(REPT("  ", tDICT[[#This Row],[LVL]]-1) &amp; tDICT[[#This Row],[Name]], tDICT[[#This Row],[Name]])</f>
        <v xml:space="preserve">      Social Tax</v>
      </c>
      <c r="F118" s="8">
        <f ca="1">IF(tDICT[Level Number]="",OFFSET(tDICT[[#This Row],[Level Number]],-1,0),tDICT[Level Number])</f>
        <v>4</v>
      </c>
      <c r="G11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TOTAL_SOCIAL_TAX</v>
      </c>
      <c r="H118" s="8" t="b">
        <f ca="1">_xlfn.IFNA(VLOOKUP(tDICT[[#This Row],[Label]],tDICT[Parent Label],1,0)&gt;0,"Leaf")</f>
        <v>1</v>
      </c>
      <c r="I118" s="9">
        <v>127</v>
      </c>
      <c r="J118" s="10">
        <v>126</v>
      </c>
      <c r="K118" s="10" t="s">
        <v>444</v>
      </c>
      <c r="L118" s="10"/>
      <c r="M118" s="10" t="s">
        <v>445</v>
      </c>
      <c r="N118" s="10" t="s">
        <v>446</v>
      </c>
      <c r="O118" s="10"/>
      <c r="P118" s="10" t="s">
        <v>443</v>
      </c>
      <c r="Q118" s="11" t="s">
        <v>40</v>
      </c>
      <c r="R118" s="10" t="b">
        <v>1</v>
      </c>
      <c r="S118" s="10"/>
      <c r="T118" s="10" t="s">
        <v>36</v>
      </c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>
        <v>4</v>
      </c>
    </row>
    <row r="119" spans="2:32" x14ac:dyDescent="0.25">
      <c r="B119" s="4">
        <f>(ROW(tDICT[[#This Row],[Table Name]])-ROW(tDICT[[#Headers],[Table Name]]))*8</f>
        <v>920</v>
      </c>
      <c r="C119" s="5" t="str">
        <f>pTABLE</f>
        <v>dbo.tbl_D_COMPONENT</v>
      </c>
      <c r="D119" s="6"/>
      <c r="E119" s="7" t="str">
        <f ca="1">IFERROR(REPT("  ", tDICT[[#This Row],[LVL]]-1) &amp; tDICT[[#This Row],[Name]], tDICT[[#This Row],[Name]])</f>
        <v xml:space="preserve">        Social Tax (Salary Uplift)</v>
      </c>
      <c r="F119" s="8">
        <f ca="1">IF(tDICT[Level Number]="",OFFSET(tDICT[[#This Row],[Level Number]],-1,0),tDICT[Level Number])</f>
        <v>5</v>
      </c>
      <c r="G11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</v>
      </c>
      <c r="H119" s="8" t="str">
        <f ca="1">_xlfn.IFNA(VLOOKUP(tDICT[[#This Row],[Label]],tDICT[Parent Label],1,0)&gt;0,"Leaf")</f>
        <v>Leaf</v>
      </c>
      <c r="I119" s="9">
        <v>260</v>
      </c>
      <c r="J119" s="10">
        <v>127</v>
      </c>
      <c r="K119" s="10" t="s">
        <v>447</v>
      </c>
      <c r="L119" s="10"/>
      <c r="M119" s="10" t="s">
        <v>448</v>
      </c>
      <c r="N119" s="10" t="s">
        <v>449</v>
      </c>
      <c r="O119" s="10"/>
      <c r="P119" s="10" t="s">
        <v>446</v>
      </c>
      <c r="Q119" s="11" t="s">
        <v>40</v>
      </c>
      <c r="R119" s="10" t="b">
        <v>1</v>
      </c>
      <c r="S119" s="10">
        <v>4</v>
      </c>
      <c r="T119" s="10" t="s">
        <v>36</v>
      </c>
      <c r="U119" s="10"/>
      <c r="V119" s="10"/>
      <c r="W119" s="10"/>
      <c r="X119" s="10"/>
      <c r="Y119" s="10"/>
      <c r="Z119" s="10" t="s">
        <v>450</v>
      </c>
      <c r="AA119" s="10" t="s">
        <v>451</v>
      </c>
      <c r="AB119" s="10" t="s">
        <v>452</v>
      </c>
      <c r="AC119" s="10"/>
      <c r="AD119" s="10"/>
      <c r="AE119" s="10"/>
      <c r="AF119" s="10">
        <v>5</v>
      </c>
    </row>
    <row r="120" spans="2:32" x14ac:dyDescent="0.25">
      <c r="B120" s="4">
        <f>(ROW(tDICT[[#This Row],[Table Name]])-ROW(tDICT[[#Headers],[Table Name]]))*8</f>
        <v>928</v>
      </c>
      <c r="C120" s="5" t="str">
        <f>pTABLE</f>
        <v>dbo.tbl_D_COMPONENT</v>
      </c>
      <c r="D120" s="6"/>
      <c r="E120" s="7" t="str">
        <f ca="1">IFERROR(REPT("  ", tDICT[[#This Row],[LVL]]-1) &amp; tDICT[[#This Row],[Name]], tDICT[[#This Row],[Name]])</f>
        <v xml:space="preserve">        Social Tax (Total Salary)</v>
      </c>
      <c r="F120" s="8">
        <f ca="1">IF(tDICT[Level Number]="",OFFSET(tDICT[[#This Row],[Level Number]],-1,0),tDICT[Level Number])</f>
        <v>5</v>
      </c>
      <c r="G12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</v>
      </c>
      <c r="H120" s="8" t="str">
        <f ca="1">_xlfn.IFNA(VLOOKUP(tDICT[[#This Row],[Label]],tDICT[Parent Label],1,0)&gt;0,"Leaf")</f>
        <v>Leaf</v>
      </c>
      <c r="I120" s="9">
        <v>243</v>
      </c>
      <c r="J120" s="10">
        <v>127</v>
      </c>
      <c r="K120" s="10" t="s">
        <v>453</v>
      </c>
      <c r="L120" s="10"/>
      <c r="M120" s="10" t="s">
        <v>454</v>
      </c>
      <c r="N120" s="10" t="s">
        <v>455</v>
      </c>
      <c r="O120" s="10"/>
      <c r="P120" s="10" t="s">
        <v>446</v>
      </c>
      <c r="Q120" s="11" t="s">
        <v>40</v>
      </c>
      <c r="R120" s="10" t="b">
        <v>1</v>
      </c>
      <c r="S120" s="10">
        <v>4</v>
      </c>
      <c r="T120" s="10" t="s">
        <v>36</v>
      </c>
      <c r="U120" s="10"/>
      <c r="V120" s="10"/>
      <c r="W120" s="10"/>
      <c r="X120" s="10"/>
      <c r="Y120" s="10"/>
      <c r="Z120" s="10" t="s">
        <v>450</v>
      </c>
      <c r="AA120" s="10" t="s">
        <v>451</v>
      </c>
      <c r="AB120" s="10" t="s">
        <v>452</v>
      </c>
      <c r="AC120" s="10">
        <v>1</v>
      </c>
      <c r="AD120" s="10" t="s">
        <v>456</v>
      </c>
      <c r="AE120" s="10" t="s">
        <v>457</v>
      </c>
      <c r="AF120" s="10">
        <v>5</v>
      </c>
    </row>
    <row r="121" spans="2:32" x14ac:dyDescent="0.25">
      <c r="B121" s="4">
        <f>(ROW(tDICT[[#This Row],[Table Name]])-ROW(tDICT[[#Headers],[Table Name]]))*8</f>
        <v>936</v>
      </c>
      <c r="C121" s="5" t="str">
        <f>pTABLE</f>
        <v>dbo.tbl_D_COMPONENT</v>
      </c>
      <c r="D121" s="6"/>
      <c r="E121" s="7" t="str">
        <f ca="1">IFERROR(REPT("  ", tDICT[[#This Row],[LVL]]-1) &amp; tDICT[[#This Row],[Name]], tDICT[[#This Row],[Name]])</f>
        <v xml:space="preserve">        Social Tax (Total Salary CAPEX)</v>
      </c>
      <c r="F121" s="8">
        <f ca="1">IF(tDICT[Level Number]="",OFFSET(tDICT[[#This Row],[Level Number]],-1,0),tDICT[Level Number])</f>
        <v>5</v>
      </c>
      <c r="G12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</v>
      </c>
      <c r="H121" s="8" t="b">
        <f ca="1">_xlfn.IFNA(VLOOKUP(tDICT[[#This Row],[Label]],tDICT[Parent Label],1,0)&gt;0,"Leaf")</f>
        <v>1</v>
      </c>
      <c r="I121" s="9">
        <v>4243</v>
      </c>
      <c r="J121" s="10">
        <v>127</v>
      </c>
      <c r="K121" s="10" t="s">
        <v>458</v>
      </c>
      <c r="L121" s="10"/>
      <c r="M121" s="10" t="s">
        <v>459</v>
      </c>
      <c r="N121" s="10" t="s">
        <v>460</v>
      </c>
      <c r="O121" s="10"/>
      <c r="P121" s="10" t="s">
        <v>446</v>
      </c>
      <c r="Q121" s="11" t="s">
        <v>40</v>
      </c>
      <c r="R121" s="10" t="b">
        <v>1</v>
      </c>
      <c r="S121" s="10">
        <v>4</v>
      </c>
      <c r="T121" s="10" t="s">
        <v>36</v>
      </c>
      <c r="U121" s="10"/>
      <c r="V121" s="10"/>
      <c r="W121" s="10"/>
      <c r="X121" s="10"/>
      <c r="Y121" s="10"/>
      <c r="Z121" s="10" t="s">
        <v>450</v>
      </c>
      <c r="AA121" s="10" t="s">
        <v>451</v>
      </c>
      <c r="AB121" s="10" t="s">
        <v>452</v>
      </c>
      <c r="AC121" s="10"/>
      <c r="AD121" s="10" t="s">
        <v>461</v>
      </c>
      <c r="AE121" s="10" t="s">
        <v>457</v>
      </c>
      <c r="AF121" s="10">
        <v>5</v>
      </c>
    </row>
    <row r="122" spans="2:32" x14ac:dyDescent="0.25">
      <c r="B122" s="4">
        <f>(ROW(tDICT[[#This Row],[Table Name]])-ROW(tDICT[[#Headers],[Table Name]]))*8</f>
        <v>944</v>
      </c>
      <c r="C122" s="5" t="str">
        <f>pTABLE</f>
        <v>dbo.tbl_D_COMPONENT</v>
      </c>
      <c r="D122" s="6"/>
      <c r="E122" s="7" t="str">
        <f ca="1">IFERROR(REPT("  ", tDICT[[#This Row],[LVL]]-1) &amp; tDICT[[#This Row],[Name]], tDICT[[#This Row],[Name]])</f>
        <v xml:space="preserve">          Social Tax (Monthly Salary)</v>
      </c>
      <c r="F122" s="8">
        <f ca="1">IF(tDICT[Level Number]="",OFFSET(tDICT[[#This Row],[Level Number]],-1,0),tDICT[Level Number])</f>
        <v>6</v>
      </c>
      <c r="G12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SOCIAL_TAX_TOTAL_SALARY_CAPEX</v>
      </c>
      <c r="H122" s="8" t="str">
        <f ca="1">_xlfn.IFNA(VLOOKUP(tDICT[[#This Row],[Label]],tDICT[Parent Label],1,0)&gt;0,"Leaf")</f>
        <v>Leaf</v>
      </c>
      <c r="I122" s="9">
        <v>171</v>
      </c>
      <c r="J122" s="10">
        <v>243</v>
      </c>
      <c r="K122" s="10" t="s">
        <v>462</v>
      </c>
      <c r="L122" s="10"/>
      <c r="M122" s="10" t="s">
        <v>463</v>
      </c>
      <c r="N122" s="10" t="s">
        <v>464</v>
      </c>
      <c r="O122" s="10"/>
      <c r="P122" s="10" t="s">
        <v>446</v>
      </c>
      <c r="Q122" s="11" t="s">
        <v>40</v>
      </c>
      <c r="R122" s="10" t="b">
        <v>1</v>
      </c>
      <c r="S122" s="10">
        <v>4</v>
      </c>
      <c r="T122" s="10" t="s">
        <v>36</v>
      </c>
      <c r="U122" s="10"/>
      <c r="V122" s="10"/>
      <c r="W122" s="10"/>
      <c r="X122" s="10"/>
      <c r="Y122" s="10"/>
      <c r="Z122" s="10" t="s">
        <v>450</v>
      </c>
      <c r="AA122" s="10" t="s">
        <v>451</v>
      </c>
      <c r="AB122" s="10" t="s">
        <v>452</v>
      </c>
      <c r="AC122" s="10"/>
      <c r="AD122" s="10"/>
      <c r="AE122" s="10"/>
      <c r="AF122" s="10">
        <v>6</v>
      </c>
    </row>
    <row r="123" spans="2:32" x14ac:dyDescent="0.25">
      <c r="B123" s="4">
        <f>(ROW(tDICT[[#This Row],[Table Name]])-ROW(tDICT[[#Headers],[Table Name]]))*8</f>
        <v>952</v>
      </c>
      <c r="C123" s="5" t="str">
        <f>pTABLE</f>
        <v>dbo.tbl_D_COMPONENT</v>
      </c>
      <c r="D123" s="6"/>
      <c r="E123" s="7" t="str">
        <f ca="1">IFERROR(REPT("  ", tDICT[[#This Row],[LVL]]-1) &amp; tDICT[[#This Row],[Name]], tDICT[[#This Row],[Name]])</f>
        <v xml:space="preserve">          Social Tax (Monthly Salary Top Up)</v>
      </c>
      <c r="F123" s="8">
        <f ca="1">IF(tDICT[Level Number]="",OFFSET(tDICT[[#This Row],[Level Number]],-1,0),tDICT[Level Number])</f>
        <v>6</v>
      </c>
      <c r="G12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SOCIAL_TAX_TOTAL_SALARY_CAPEX</v>
      </c>
      <c r="H123" s="8" t="str">
        <f ca="1">_xlfn.IFNA(VLOOKUP(tDICT[[#This Row],[Label]],tDICT[Parent Label],1,0)&gt;0,"Leaf")</f>
        <v>Leaf</v>
      </c>
      <c r="I123" s="9">
        <v>172</v>
      </c>
      <c r="J123" s="10">
        <v>243</v>
      </c>
      <c r="K123" s="10" t="s">
        <v>465</v>
      </c>
      <c r="L123" s="10"/>
      <c r="M123" s="10" t="s">
        <v>466</v>
      </c>
      <c r="N123" s="10" t="s">
        <v>467</v>
      </c>
      <c r="O123" s="10"/>
      <c r="P123" s="10" t="s">
        <v>446</v>
      </c>
      <c r="Q123" s="11" t="s">
        <v>40</v>
      </c>
      <c r="R123" s="10" t="b">
        <v>1</v>
      </c>
      <c r="S123" s="10">
        <v>4</v>
      </c>
      <c r="T123" s="10" t="s">
        <v>36</v>
      </c>
      <c r="U123" s="10"/>
      <c r="V123" s="10"/>
      <c r="W123" s="10"/>
      <c r="X123" s="10"/>
      <c r="Y123" s="10"/>
      <c r="Z123" s="10" t="s">
        <v>450</v>
      </c>
      <c r="AA123" s="10" t="s">
        <v>451</v>
      </c>
      <c r="AB123" s="10" t="s">
        <v>452</v>
      </c>
      <c r="AC123" s="10"/>
      <c r="AD123" s="10"/>
      <c r="AE123" s="10"/>
      <c r="AF123" s="10">
        <v>6</v>
      </c>
    </row>
    <row r="124" spans="2:32" x14ac:dyDescent="0.25">
      <c r="B124" s="4">
        <f>(ROW(tDICT[[#This Row],[Table Name]])-ROW(tDICT[[#Headers],[Table Name]]))*8</f>
        <v>960</v>
      </c>
      <c r="C124" s="5" t="str">
        <f>pTABLE</f>
        <v>dbo.tbl_D_COMPONENT</v>
      </c>
      <c r="D124" s="6"/>
      <c r="E124" s="7" t="str">
        <f ca="1">IFERROR(REPT("  ", tDICT[[#This Row],[LVL]]-1) &amp; tDICT[[#This Row],[Name]], tDICT[[#This Row],[Name]])</f>
        <v xml:space="preserve">          Social Tax (Other Salary Top Up)</v>
      </c>
      <c r="F124" s="8">
        <f ca="1">IF(tDICT[Level Number]="",OFFSET(tDICT[[#This Row],[Level Number]],-1,0),tDICT[Level Number])</f>
        <v>6</v>
      </c>
      <c r="G12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SOCIAL_TAX_TOTAL_SALARY_CAPEX</v>
      </c>
      <c r="H124" s="8" t="str">
        <f ca="1">_xlfn.IFNA(VLOOKUP(tDICT[[#This Row],[Label]],tDICT[Parent Label],1,0)&gt;0,"Leaf")</f>
        <v>Leaf</v>
      </c>
      <c r="I124" s="9">
        <v>174</v>
      </c>
      <c r="J124" s="10">
        <v>243</v>
      </c>
      <c r="K124" s="10" t="s">
        <v>468</v>
      </c>
      <c r="L124" s="10"/>
      <c r="M124" s="10" t="s">
        <v>469</v>
      </c>
      <c r="N124" s="10" t="s">
        <v>470</v>
      </c>
      <c r="O124" s="10"/>
      <c r="P124" s="10" t="s">
        <v>446</v>
      </c>
      <c r="Q124" s="11" t="s">
        <v>40</v>
      </c>
      <c r="R124" s="10" t="b">
        <v>1</v>
      </c>
      <c r="S124" s="10"/>
      <c r="T124" s="10" t="s">
        <v>36</v>
      </c>
      <c r="U124" s="10"/>
      <c r="V124" s="10"/>
      <c r="W124" s="10"/>
      <c r="X124" s="10"/>
      <c r="Y124" s="10"/>
      <c r="Z124" s="10" t="s">
        <v>450</v>
      </c>
      <c r="AA124" s="10" t="s">
        <v>451</v>
      </c>
      <c r="AB124" s="10" t="s">
        <v>452</v>
      </c>
      <c r="AC124" s="10"/>
      <c r="AD124" s="10"/>
      <c r="AE124" s="10"/>
      <c r="AF124" s="10">
        <v>6</v>
      </c>
    </row>
    <row r="125" spans="2:32" x14ac:dyDescent="0.25">
      <c r="B125" s="4">
        <f>(ROW(tDICT[[#This Row],[Table Name]])-ROW(tDICT[[#Headers],[Table Name]]))*8</f>
        <v>968</v>
      </c>
      <c r="C125" s="5" t="str">
        <f>pTABLE</f>
        <v>dbo.tbl_D_COMPONENT</v>
      </c>
      <c r="D125" s="6"/>
      <c r="E125" s="7" t="str">
        <f ca="1">IFERROR(REPT("  ", tDICT[[#This Row],[LVL]]-1) &amp; tDICT[[#This Row],[Name]], tDICT[[#This Row],[Name]])</f>
        <v xml:space="preserve">          Social Tax (Quarterly Bonus As Part Of Salary)</v>
      </c>
      <c r="F125" s="8">
        <f ca="1">IF(tDICT[Level Number]="",OFFSET(tDICT[[#This Row],[Level Number]],-1,0),tDICT[Level Number])</f>
        <v>6</v>
      </c>
      <c r="G12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SOCIAL_TAX_TOTAL_SALARY_CAPEX</v>
      </c>
      <c r="H125" s="8" t="str">
        <f ca="1">_xlfn.IFNA(VLOOKUP(tDICT[[#This Row],[Label]],tDICT[Parent Label],1,0)&gt;0,"Leaf")</f>
        <v>Leaf</v>
      </c>
      <c r="I125" s="9">
        <v>175</v>
      </c>
      <c r="J125" s="10">
        <v>243</v>
      </c>
      <c r="K125" s="10" t="s">
        <v>471</v>
      </c>
      <c r="L125" s="10"/>
      <c r="M125" s="10" t="s">
        <v>472</v>
      </c>
      <c r="N125" s="10" t="s">
        <v>473</v>
      </c>
      <c r="O125" s="10"/>
      <c r="P125" s="10" t="s">
        <v>446</v>
      </c>
      <c r="Q125" s="11" t="s">
        <v>40</v>
      </c>
      <c r="R125" s="10" t="b">
        <v>1</v>
      </c>
      <c r="S125" s="10">
        <v>2</v>
      </c>
      <c r="T125" s="10" t="s">
        <v>36</v>
      </c>
      <c r="U125" s="10"/>
      <c r="V125" s="10"/>
      <c r="W125" s="10"/>
      <c r="X125" s="10"/>
      <c r="Y125" s="10"/>
      <c r="Z125" s="10" t="s">
        <v>450</v>
      </c>
      <c r="AA125" s="10" t="s">
        <v>451</v>
      </c>
      <c r="AB125" s="10" t="s">
        <v>452</v>
      </c>
      <c r="AC125" s="10"/>
      <c r="AD125" s="10"/>
      <c r="AE125" s="10"/>
      <c r="AF125" s="10">
        <v>6</v>
      </c>
    </row>
    <row r="126" spans="2:32" x14ac:dyDescent="0.25">
      <c r="B126" s="4">
        <f>(ROW(tDICT[[#This Row],[Table Name]])-ROW(tDICT[[#Headers],[Table Name]]))*8</f>
        <v>976</v>
      </c>
      <c r="C126" s="5" t="str">
        <f>pTABLE</f>
        <v>dbo.tbl_D_COMPONENT</v>
      </c>
      <c r="D126" s="6"/>
      <c r="E126" s="7" t="str">
        <f ca="1">IFERROR(REPT("  ", tDICT[[#This Row],[LVL]]-1) &amp; tDICT[[#This Row],[Name]], tDICT[[#This Row],[Name]])</f>
        <v xml:space="preserve">          Social Tax (Monthly Living Allowance As Part Of Salary)</v>
      </c>
      <c r="F126" s="8">
        <f ca="1">IF(tDICT[Level Number]="",OFFSET(tDICT[[#This Row],[Level Number]],-1,0),tDICT[Level Number])</f>
        <v>6</v>
      </c>
      <c r="G12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SOCIAL_TAX_TOTAL_SALARY_CAPEX</v>
      </c>
      <c r="H126" s="8" t="str">
        <f ca="1">_xlfn.IFNA(VLOOKUP(tDICT[[#This Row],[Label]],tDICT[Parent Label],1,0)&gt;0,"Leaf")</f>
        <v>Leaf</v>
      </c>
      <c r="I126" s="9">
        <v>176</v>
      </c>
      <c r="J126" s="10">
        <v>243</v>
      </c>
      <c r="K126" s="10" t="s">
        <v>474</v>
      </c>
      <c r="L126" s="10"/>
      <c r="M126" s="10" t="s">
        <v>475</v>
      </c>
      <c r="N126" s="10" t="s">
        <v>476</v>
      </c>
      <c r="O126" s="10"/>
      <c r="P126" s="10" t="s">
        <v>446</v>
      </c>
      <c r="Q126" s="11" t="s">
        <v>40</v>
      </c>
      <c r="R126" s="10" t="b">
        <v>1</v>
      </c>
      <c r="S126" s="10">
        <v>4</v>
      </c>
      <c r="T126" s="10" t="s">
        <v>36</v>
      </c>
      <c r="U126" s="10"/>
      <c r="V126" s="10"/>
      <c r="W126" s="10"/>
      <c r="X126" s="10"/>
      <c r="Y126" s="10"/>
      <c r="Z126" s="10" t="s">
        <v>450</v>
      </c>
      <c r="AA126" s="10" t="s">
        <v>451</v>
      </c>
      <c r="AB126" s="10" t="s">
        <v>452</v>
      </c>
      <c r="AC126" s="10"/>
      <c r="AD126" s="10"/>
      <c r="AE126" s="10"/>
      <c r="AF126" s="10">
        <v>6</v>
      </c>
    </row>
    <row r="127" spans="2:32" x14ac:dyDescent="0.25">
      <c r="B127" s="4">
        <f>(ROW(tDICT[[#This Row],[Table Name]])-ROW(tDICT[[#Headers],[Table Name]]))*8</f>
        <v>984</v>
      </c>
      <c r="C127" s="5" t="str">
        <f>pTABLE</f>
        <v>dbo.tbl_D_COMPONENT</v>
      </c>
      <c r="D127" s="6"/>
      <c r="E127" s="7" t="str">
        <f ca="1">IFERROR(REPT("  ", tDICT[[#This Row],[LVL]]-1) &amp; tDICT[[#This Row],[Name]], tDICT[[#This Row],[Name]])</f>
        <v xml:space="preserve">        Social Tax (Annual Salary)</v>
      </c>
      <c r="F127" s="8">
        <f ca="1">IF(tDICT[Level Number]="",OFFSET(tDICT[[#This Row],[Level Number]],-1,0),tDICT[Level Number])</f>
        <v>5</v>
      </c>
      <c r="G12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27" s="8" t="str">
        <f ca="1">_xlfn.IFNA(VLOOKUP(tDICT[[#This Row],[Label]],tDICT[Parent Label],1,0)&gt;0,"Leaf")</f>
        <v>Leaf</v>
      </c>
      <c r="I127" s="9">
        <v>173</v>
      </c>
      <c r="J127" s="10">
        <v>127</v>
      </c>
      <c r="K127" s="10" t="s">
        <v>477</v>
      </c>
      <c r="L127" s="10"/>
      <c r="M127" s="10" t="s">
        <v>478</v>
      </c>
      <c r="N127" s="10" t="s">
        <v>479</v>
      </c>
      <c r="O127" s="10"/>
      <c r="P127" s="10" t="s">
        <v>446</v>
      </c>
      <c r="Q127" s="11" t="s">
        <v>40</v>
      </c>
      <c r="R127" s="10" t="b">
        <v>1</v>
      </c>
      <c r="S127" s="10">
        <v>1</v>
      </c>
      <c r="T127" s="10" t="s">
        <v>36</v>
      </c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>
        <v>5</v>
      </c>
    </row>
    <row r="128" spans="2:32" x14ac:dyDescent="0.25">
      <c r="B128" s="4">
        <f>(ROW(tDICT[[#This Row],[Table Name]])-ROW(tDICT[[#Headers],[Table Name]]))*8</f>
        <v>992</v>
      </c>
      <c r="C128" s="5" t="str">
        <f>pTABLE</f>
        <v>dbo.tbl_D_COMPONENT</v>
      </c>
      <c r="D128" s="6"/>
      <c r="E128" s="7" t="str">
        <f ca="1">IFERROR(REPT("  ", tDICT[[#This Row],[LVL]]-1) &amp; tDICT[[#This Row],[Name]], tDICT[[#This Row],[Name]])</f>
        <v xml:space="preserve">        Social Tax (Sick leave compensation)</v>
      </c>
      <c r="F128" s="8">
        <f ca="1">IF(tDICT[Level Number]="",OFFSET(tDICT[[#This Row],[Level Number]],-1,0),tDICT[Level Number])</f>
        <v>5</v>
      </c>
      <c r="G12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28" s="8" t="str">
        <f ca="1">_xlfn.IFNA(VLOOKUP(tDICT[[#This Row],[Label]],tDICT[Parent Label],1,0)&gt;0,"Leaf")</f>
        <v>Leaf</v>
      </c>
      <c r="I128" s="9">
        <v>253</v>
      </c>
      <c r="J128" s="10">
        <v>127</v>
      </c>
      <c r="K128" s="10" t="s">
        <v>480</v>
      </c>
      <c r="L128" s="10"/>
      <c r="M128" s="10" t="s">
        <v>481</v>
      </c>
      <c r="N128" s="10" t="s">
        <v>482</v>
      </c>
      <c r="O128" s="10"/>
      <c r="P128" s="10" t="s">
        <v>446</v>
      </c>
      <c r="Q128" s="11" t="s">
        <v>40</v>
      </c>
      <c r="R128" s="10" t="b">
        <v>1</v>
      </c>
      <c r="S128" s="10">
        <v>2</v>
      </c>
      <c r="T128" s="10" t="s">
        <v>36</v>
      </c>
      <c r="U128" s="10"/>
      <c r="V128" s="10"/>
      <c r="W128" s="10"/>
      <c r="X128" s="10"/>
      <c r="Y128" s="10"/>
      <c r="Z128" s="10" t="s">
        <v>483</v>
      </c>
      <c r="AA128" s="10" t="s">
        <v>484</v>
      </c>
      <c r="AB128" s="10" t="s">
        <v>485</v>
      </c>
      <c r="AC128" s="10">
        <v>1</v>
      </c>
      <c r="AD128" s="10"/>
      <c r="AE128" s="10"/>
      <c r="AF128" s="10">
        <v>5</v>
      </c>
    </row>
    <row r="129" spans="2:32" x14ac:dyDescent="0.25">
      <c r="B129" s="4">
        <f>(ROW(tDICT[[#This Row],[Table Name]])-ROW(tDICT[[#Headers],[Table Name]]))*8</f>
        <v>1000</v>
      </c>
      <c r="C129" s="5" t="str">
        <f>pTABLE</f>
        <v>dbo.tbl_D_COMPONENT</v>
      </c>
      <c r="D129" s="6"/>
      <c r="E129" s="7" t="str">
        <f ca="1">IFERROR(REPT("  ", tDICT[[#This Row],[LVL]]-1) &amp; tDICT[[#This Row],[Name]], tDICT[[#This Row],[Name]])</f>
        <v xml:space="preserve">        Social Tax (Sick leave compensation (more then 3 days))</v>
      </c>
      <c r="F129" s="8">
        <f ca="1">IF(tDICT[Level Number]="",OFFSET(tDICT[[#This Row],[Level Number]],-1,0),tDICT[Level Number])</f>
        <v>5</v>
      </c>
      <c r="G12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29" s="8" t="str">
        <f ca="1">_xlfn.IFNA(VLOOKUP(tDICT[[#This Row],[Label]],tDICT[Parent Label],1,0)&gt;0,"Leaf")</f>
        <v>Leaf</v>
      </c>
      <c r="I129" s="9">
        <v>254</v>
      </c>
      <c r="J129" s="10">
        <v>127</v>
      </c>
      <c r="K129" s="10" t="s">
        <v>486</v>
      </c>
      <c r="L129" s="10"/>
      <c r="M129" s="10" t="s">
        <v>487</v>
      </c>
      <c r="N129" s="10" t="s">
        <v>488</v>
      </c>
      <c r="O129" s="10"/>
      <c r="P129" s="10" t="s">
        <v>446</v>
      </c>
      <c r="Q129" s="11" t="s">
        <v>40</v>
      </c>
      <c r="R129" s="10" t="b">
        <v>1</v>
      </c>
      <c r="S129" s="10">
        <v>2</v>
      </c>
      <c r="T129" s="10" t="s">
        <v>36</v>
      </c>
      <c r="U129" s="10"/>
      <c r="V129" s="10"/>
      <c r="W129" s="10"/>
      <c r="X129" s="10"/>
      <c r="Y129" s="10"/>
      <c r="Z129" s="10" t="s">
        <v>483</v>
      </c>
      <c r="AA129" s="10" t="s">
        <v>484</v>
      </c>
      <c r="AB129" s="10" t="s">
        <v>485</v>
      </c>
      <c r="AC129" s="10"/>
      <c r="AD129" s="10"/>
      <c r="AE129" s="10"/>
      <c r="AF129" s="10">
        <v>5</v>
      </c>
    </row>
    <row r="130" spans="2:32" x14ac:dyDescent="0.25">
      <c r="B130" s="4">
        <f>(ROW(tDICT[[#This Row],[Table Name]])-ROW(tDICT[[#Headers],[Table Name]]))*8</f>
        <v>1008</v>
      </c>
      <c r="C130" s="5" t="str">
        <f>pTABLE</f>
        <v>dbo.tbl_D_COMPONENT</v>
      </c>
      <c r="D130" s="6"/>
      <c r="E130" s="7" t="str">
        <f ca="1">IFERROR(REPT("  ", tDICT[[#This Row],[LVL]]-1) &amp; tDICT[[#This Row],[Name]], tDICT[[#This Row],[Name]])</f>
        <v xml:space="preserve">        Social Tax (Day Off Compensation)</v>
      </c>
      <c r="F130" s="8">
        <f ca="1">IF(tDICT[Level Number]="",OFFSET(tDICT[[#This Row],[Level Number]],-1,0),tDICT[Level Number])</f>
        <v>5</v>
      </c>
      <c r="G13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30" s="8" t="str">
        <f ca="1">_xlfn.IFNA(VLOOKUP(tDICT[[#This Row],[Label]],tDICT[Parent Label],1,0)&gt;0,"Leaf")</f>
        <v>Leaf</v>
      </c>
      <c r="I130" s="9">
        <v>255</v>
      </c>
      <c r="J130" s="10">
        <v>127</v>
      </c>
      <c r="K130" s="10" t="s">
        <v>489</v>
      </c>
      <c r="L130" s="10"/>
      <c r="M130" s="10" t="s">
        <v>490</v>
      </c>
      <c r="N130" s="10" t="s">
        <v>491</v>
      </c>
      <c r="O130" s="10"/>
      <c r="P130" s="10" t="s">
        <v>446</v>
      </c>
      <c r="Q130" s="11" t="s">
        <v>40</v>
      </c>
      <c r="R130" s="10" t="b">
        <v>1</v>
      </c>
      <c r="S130" s="10">
        <v>2</v>
      </c>
      <c r="T130" s="10" t="s">
        <v>36</v>
      </c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>
        <v>5</v>
      </c>
    </row>
    <row r="131" spans="2:32" x14ac:dyDescent="0.25">
      <c r="B131" s="4">
        <f>(ROW(tDICT[[#This Row],[Table Name]])-ROW(tDICT[[#Headers],[Table Name]]))*8</f>
        <v>1016</v>
      </c>
      <c r="C131" s="5" t="str">
        <f>pTABLE</f>
        <v>dbo.tbl_D_COMPONENT</v>
      </c>
      <c r="D131" s="6"/>
      <c r="E131" s="7" t="str">
        <f ca="1">IFERROR(REPT("  ", tDICT[[#This Row],[LVL]]-1) &amp; tDICT[[#This Row],[Name]], tDICT[[#This Row],[Name]])</f>
        <v xml:space="preserve">        Social Tax (Business Trip Compensation)</v>
      </c>
      <c r="F131" s="8">
        <f ca="1">IF(tDICT[Level Number]="",OFFSET(tDICT[[#This Row],[Level Number]],-1,0),tDICT[Level Number])</f>
        <v>5</v>
      </c>
      <c r="G13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31" s="8" t="str">
        <f ca="1">_xlfn.IFNA(VLOOKUP(tDICT[[#This Row],[Label]],tDICT[Parent Label],1,0)&gt;0,"Leaf")</f>
        <v>Leaf</v>
      </c>
      <c r="I131" s="9">
        <v>256</v>
      </c>
      <c r="J131" s="10">
        <v>127</v>
      </c>
      <c r="K131" s="10" t="s">
        <v>492</v>
      </c>
      <c r="L131" s="10"/>
      <c r="M131" s="10" t="s">
        <v>493</v>
      </c>
      <c r="N131" s="10" t="s">
        <v>494</v>
      </c>
      <c r="O131" s="10"/>
      <c r="P131" s="10" t="s">
        <v>446</v>
      </c>
      <c r="Q131" s="11" t="s">
        <v>40</v>
      </c>
      <c r="R131" s="10" t="b">
        <v>1</v>
      </c>
      <c r="S131" s="10">
        <v>2</v>
      </c>
      <c r="T131" s="10" t="s">
        <v>36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>
        <v>5</v>
      </c>
    </row>
    <row r="132" spans="2:32" x14ac:dyDescent="0.25">
      <c r="B132" s="4">
        <f>(ROW(tDICT[[#This Row],[Table Name]])-ROW(tDICT[[#Headers],[Table Name]]))*8</f>
        <v>1024</v>
      </c>
      <c r="C132" s="5" t="str">
        <f>pTABLE</f>
        <v>dbo.tbl_D_COMPONENT</v>
      </c>
      <c r="D132" s="6"/>
      <c r="E132" s="7" t="str">
        <f ca="1">IFERROR(REPT("  ", tDICT[[#This Row],[LVL]]-1) &amp; tDICT[[#This Row],[Name]], tDICT[[#This Row],[Name]])</f>
        <v xml:space="preserve">        Social Tax (Other payments)</v>
      </c>
      <c r="F132" s="8">
        <f ca="1">IF(tDICT[Level Number]="",OFFSET(tDICT[[#This Row],[Level Number]],-1,0),tDICT[Level Number])</f>
        <v>5</v>
      </c>
      <c r="G13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32" s="8" t="str">
        <f ca="1">_xlfn.IFNA(VLOOKUP(tDICT[[#This Row],[Label]],tDICT[Parent Label],1,0)&gt;0,"Leaf")</f>
        <v>Leaf</v>
      </c>
      <c r="I132" s="9">
        <v>231</v>
      </c>
      <c r="J132" s="10">
        <v>127</v>
      </c>
      <c r="K132" s="10" t="s">
        <v>495</v>
      </c>
      <c r="L132" s="10"/>
      <c r="M132" s="10" t="s">
        <v>496</v>
      </c>
      <c r="N132" s="10" t="s">
        <v>497</v>
      </c>
      <c r="O132" s="10"/>
      <c r="P132" s="10" t="s">
        <v>446</v>
      </c>
      <c r="Q132" s="11" t="s">
        <v>40</v>
      </c>
      <c r="R132" s="10" t="b">
        <v>1</v>
      </c>
      <c r="S132" s="10">
        <v>2</v>
      </c>
      <c r="T132" s="10" t="s">
        <v>36</v>
      </c>
      <c r="U132" s="10"/>
      <c r="V132" s="10"/>
      <c r="W132" s="10"/>
      <c r="X132" s="10"/>
      <c r="Y132" s="10"/>
      <c r="Z132" s="10" t="s">
        <v>498</v>
      </c>
      <c r="AA132" s="10" t="s">
        <v>499</v>
      </c>
      <c r="AB132" s="10" t="s">
        <v>500</v>
      </c>
      <c r="AC132" s="10">
        <v>1</v>
      </c>
      <c r="AD132" s="10" t="s">
        <v>501</v>
      </c>
      <c r="AE132" s="10" t="s">
        <v>502</v>
      </c>
      <c r="AF132" s="10">
        <v>5</v>
      </c>
    </row>
    <row r="133" spans="2:32" x14ac:dyDescent="0.25">
      <c r="B133" s="4">
        <f>(ROW(tDICT[[#This Row],[Table Name]])-ROW(tDICT[[#Headers],[Table Name]]))*8</f>
        <v>1032</v>
      </c>
      <c r="C133" s="5" t="str">
        <f>pTABLE</f>
        <v>dbo.tbl_D_COMPONENT</v>
      </c>
      <c r="D133" s="6"/>
      <c r="E133" s="7" t="str">
        <f ca="1">IFERROR(REPT("  ", tDICT[[#This Row],[LVL]]-1) &amp; tDICT[[#This Row],[Name]], tDICT[[#This Row],[Name]])</f>
        <v xml:space="preserve">        Social Tax (Material Aid)</v>
      </c>
      <c r="F133" s="8">
        <f ca="1">IF(tDICT[Level Number]="",OFFSET(tDICT[[#This Row],[Level Number]],-1,0),tDICT[Level Number])</f>
        <v>5</v>
      </c>
      <c r="G13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33" s="8" t="str">
        <f ca="1">_xlfn.IFNA(VLOOKUP(tDICT[[#This Row],[Label]],tDICT[Parent Label],1,0)&gt;0,"Leaf")</f>
        <v>Leaf</v>
      </c>
      <c r="I133" s="9">
        <v>273</v>
      </c>
      <c r="J133" s="10">
        <v>127</v>
      </c>
      <c r="K133" s="10" t="s">
        <v>503</v>
      </c>
      <c r="L133" s="10"/>
      <c r="M133" s="10" t="s">
        <v>504</v>
      </c>
      <c r="N133" s="10" t="s">
        <v>505</v>
      </c>
      <c r="O133" s="10"/>
      <c r="P133" s="10" t="s">
        <v>446</v>
      </c>
      <c r="Q133" s="11" t="s">
        <v>40</v>
      </c>
      <c r="R133" s="10" t="b">
        <v>1</v>
      </c>
      <c r="S133" s="10">
        <v>2</v>
      </c>
      <c r="T133" s="10" t="s">
        <v>36</v>
      </c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>
        <v>5</v>
      </c>
    </row>
    <row r="134" spans="2:32" x14ac:dyDescent="0.25">
      <c r="B134" s="4">
        <f>(ROW(tDICT[[#This Row],[Table Name]])-ROW(tDICT[[#Headers],[Table Name]]))*8</f>
        <v>1040</v>
      </c>
      <c r="C134" s="5" t="str">
        <f>pTABLE</f>
        <v>dbo.tbl_D_COMPONENT</v>
      </c>
      <c r="D134" s="6"/>
      <c r="E134" s="7" t="str">
        <f ca="1">IFERROR(REPT("  ", tDICT[[#This Row],[LVL]]-1) &amp; tDICT[[#This Row],[Name]], tDICT[[#This Row],[Name]])</f>
        <v xml:space="preserve">        Social Tax (Other Bonus IT Products)</v>
      </c>
      <c r="F134" s="8">
        <f ca="1">IF(tDICT[Level Number]="",OFFSET(tDICT[[#This Row],[Level Number]],-1,0),tDICT[Level Number])</f>
        <v>5</v>
      </c>
      <c r="G13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34" s="8" t="str">
        <f ca="1">_xlfn.IFNA(VLOOKUP(tDICT[[#This Row],[Label]],tDICT[Parent Label],1,0)&gt;0,"Leaf")</f>
        <v>Leaf</v>
      </c>
      <c r="I134" s="9">
        <v>274</v>
      </c>
      <c r="J134" s="10">
        <v>127</v>
      </c>
      <c r="K134" s="10" t="s">
        <v>506</v>
      </c>
      <c r="L134" s="10"/>
      <c r="M134" s="10" t="s">
        <v>507</v>
      </c>
      <c r="N134" s="10" t="s">
        <v>508</v>
      </c>
      <c r="O134" s="10"/>
      <c r="P134" s="10" t="s">
        <v>446</v>
      </c>
      <c r="Q134" s="11" t="s">
        <v>40</v>
      </c>
      <c r="R134" s="10" t="b">
        <v>1</v>
      </c>
      <c r="S134" s="10">
        <v>2</v>
      </c>
      <c r="T134" s="10" t="s">
        <v>36</v>
      </c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>
        <v>5</v>
      </c>
    </row>
    <row r="135" spans="2:32" x14ac:dyDescent="0.25">
      <c r="B135" s="4">
        <f>(ROW(tDICT[[#This Row],[Table Name]])-ROW(tDICT[[#Headers],[Table Name]]))*8</f>
        <v>1048</v>
      </c>
      <c r="C135" s="5" t="str">
        <f>pTABLE</f>
        <v>dbo.tbl_D_COMPONENT</v>
      </c>
      <c r="D135" s="6"/>
      <c r="E135" s="7" t="str">
        <f ca="1">IFERROR(REPT("  ", tDICT[[#This Row],[LVL]]-1) &amp; tDICT[[#This Row],[Name]], tDICT[[#This Row],[Name]])</f>
        <v xml:space="preserve">        Social Tax (Other Bonus (not regular))</v>
      </c>
      <c r="F135" s="8">
        <f ca="1">IF(tDICT[Level Number]="",OFFSET(tDICT[[#This Row],[Level Number]],-1,0),tDICT[Level Number])</f>
        <v>5</v>
      </c>
      <c r="G13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35" s="8" t="str">
        <f ca="1">_xlfn.IFNA(VLOOKUP(tDICT[[#This Row],[Label]],tDICT[Parent Label],1,0)&gt;0,"Leaf")</f>
        <v>Leaf</v>
      </c>
      <c r="I135" s="9">
        <v>275</v>
      </c>
      <c r="J135" s="10">
        <v>127</v>
      </c>
      <c r="K135" s="10" t="s">
        <v>509</v>
      </c>
      <c r="L135" s="10"/>
      <c r="M135" s="10" t="s">
        <v>510</v>
      </c>
      <c r="N135" s="10" t="s">
        <v>511</v>
      </c>
      <c r="O135" s="10"/>
      <c r="P135" s="10" t="s">
        <v>446</v>
      </c>
      <c r="Q135" s="11" t="s">
        <v>40</v>
      </c>
      <c r="R135" s="10" t="b">
        <v>1</v>
      </c>
      <c r="S135" s="10">
        <v>2</v>
      </c>
      <c r="T135" s="10" t="s">
        <v>36</v>
      </c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>
        <v>5</v>
      </c>
    </row>
    <row r="136" spans="2:32" x14ac:dyDescent="0.25">
      <c r="B136" s="4">
        <f>(ROW(tDICT[[#This Row],[Table Name]])-ROW(tDICT[[#Headers],[Table Name]]))*8</f>
        <v>1056</v>
      </c>
      <c r="C136" s="5" t="str">
        <f>pTABLE</f>
        <v>dbo.tbl_D_COMPONENT</v>
      </c>
      <c r="D136" s="6"/>
      <c r="E136" s="7" t="str">
        <f ca="1">IFERROR(REPT("  ", tDICT[[#This Row],[LVL]]-1) &amp; tDICT[[#This Row],[Name]], tDICT[[#This Row],[Name]])</f>
        <v xml:space="preserve">        Social Tax (Weekend work)</v>
      </c>
      <c r="F136" s="8">
        <f ca="1">IF(tDICT[Level Number]="",OFFSET(tDICT[[#This Row],[Level Number]],-1,0),tDICT[Level Number])</f>
        <v>5</v>
      </c>
      <c r="G13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36" s="8" t="str">
        <f ca="1">_xlfn.IFNA(VLOOKUP(tDICT[[#This Row],[Label]],tDICT[Parent Label],1,0)&gt;0,"Leaf")</f>
        <v>Leaf</v>
      </c>
      <c r="I136" s="9">
        <v>229</v>
      </c>
      <c r="J136" s="10">
        <v>127</v>
      </c>
      <c r="K136" s="10" t="s">
        <v>512</v>
      </c>
      <c r="L136" s="10"/>
      <c r="M136" s="10" t="s">
        <v>513</v>
      </c>
      <c r="N136" s="10" t="s">
        <v>514</v>
      </c>
      <c r="O136" s="10"/>
      <c r="P136" s="10" t="s">
        <v>446</v>
      </c>
      <c r="Q136" s="11" t="s">
        <v>40</v>
      </c>
      <c r="R136" s="10" t="b">
        <v>1</v>
      </c>
      <c r="S136" s="10">
        <v>2</v>
      </c>
      <c r="T136" s="10" t="s">
        <v>36</v>
      </c>
      <c r="U136" s="10"/>
      <c r="V136" s="10"/>
      <c r="W136" s="10"/>
      <c r="X136" s="10"/>
      <c r="Y136" s="10"/>
      <c r="Z136" s="10"/>
      <c r="AA136" s="10"/>
      <c r="AB136" s="10"/>
      <c r="AC136" s="10"/>
      <c r="AD136" s="10" t="s">
        <v>515</v>
      </c>
      <c r="AE136" s="10" t="s">
        <v>516</v>
      </c>
      <c r="AF136" s="10">
        <v>5</v>
      </c>
    </row>
    <row r="137" spans="2:32" x14ac:dyDescent="0.25">
      <c r="B137" s="4">
        <f>(ROW(tDICT[[#This Row],[Table Name]])-ROW(tDICT[[#Headers],[Table Name]]))*8</f>
        <v>1064</v>
      </c>
      <c r="C137" s="5" t="str">
        <f>pTABLE</f>
        <v>dbo.tbl_D_COMPONENT</v>
      </c>
      <c r="D137" s="6"/>
      <c r="E137" s="7" t="str">
        <f ca="1">IFERROR(REPT("  ", tDICT[[#This Row],[LVL]]-1) &amp; tDICT[[#This Row],[Name]], tDICT[[#This Row],[Name]])</f>
        <v xml:space="preserve">        Social Tax (Accruals for unused vacations)</v>
      </c>
      <c r="F137" s="8">
        <f ca="1">IF(tDICT[Level Number]="",OFFSET(tDICT[[#This Row],[Level Number]],-1,0),tDICT[Level Number])</f>
        <v>5</v>
      </c>
      <c r="G13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37" s="8" t="str">
        <f ca="1">_xlfn.IFNA(VLOOKUP(tDICT[[#This Row],[Label]],tDICT[Parent Label],1,0)&gt;0,"Leaf")</f>
        <v>Leaf</v>
      </c>
      <c r="I137" s="9">
        <v>227</v>
      </c>
      <c r="J137" s="10">
        <v>127</v>
      </c>
      <c r="K137" s="10" t="s">
        <v>517</v>
      </c>
      <c r="L137" s="10"/>
      <c r="M137" s="10" t="s">
        <v>518</v>
      </c>
      <c r="N137" s="10" t="s">
        <v>519</v>
      </c>
      <c r="O137" s="10"/>
      <c r="P137" s="10" t="s">
        <v>446</v>
      </c>
      <c r="Q137" s="11" t="s">
        <v>40</v>
      </c>
      <c r="R137" s="10" t="b">
        <v>1</v>
      </c>
      <c r="S137" s="10">
        <v>2</v>
      </c>
      <c r="T137" s="10" t="s">
        <v>36</v>
      </c>
      <c r="U137" s="10"/>
      <c r="V137" s="10"/>
      <c r="W137" s="10"/>
      <c r="X137" s="10"/>
      <c r="Y137" s="10"/>
      <c r="Z137" s="10"/>
      <c r="AA137" s="10"/>
      <c r="AB137" s="10"/>
      <c r="AC137" s="10"/>
      <c r="AD137" s="10" t="s">
        <v>520</v>
      </c>
      <c r="AE137" s="10" t="s">
        <v>521</v>
      </c>
      <c r="AF137" s="10">
        <v>5</v>
      </c>
    </row>
    <row r="138" spans="2:32" x14ac:dyDescent="0.25">
      <c r="B138" s="4">
        <f>(ROW(tDICT[[#This Row],[Table Name]])-ROW(tDICT[[#Headers],[Table Name]]))*8</f>
        <v>1072</v>
      </c>
      <c r="C138" s="5" t="str">
        <f>pTABLE</f>
        <v>dbo.tbl_D_COMPONENT</v>
      </c>
      <c r="D138" s="6"/>
      <c r="E138" s="7" t="str">
        <f ca="1">IFERROR(REPT("  ", tDICT[[#This Row],[LVL]]-1) &amp; tDICT[[#This Row],[Name]], tDICT[[#This Row],[Name]])</f>
        <v xml:space="preserve">        Social Tax (Sign ons)</v>
      </c>
      <c r="F138" s="8">
        <f ca="1">IF(tDICT[Level Number]="",OFFSET(tDICT[[#This Row],[Level Number]],-1,0),tDICT[Level Number])</f>
        <v>5</v>
      </c>
      <c r="G13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38" s="8" t="str">
        <f ca="1">_xlfn.IFNA(VLOOKUP(tDICT[[#This Row],[Label]],tDICT[Parent Label],1,0)&gt;0,"Leaf")</f>
        <v>Leaf</v>
      </c>
      <c r="I138" s="9">
        <v>42139</v>
      </c>
      <c r="J138" s="10">
        <v>127</v>
      </c>
      <c r="K138" s="10" t="s">
        <v>522</v>
      </c>
      <c r="L138" s="10"/>
      <c r="M138" s="10" t="s">
        <v>523</v>
      </c>
      <c r="N138" s="10" t="s">
        <v>524</v>
      </c>
      <c r="O138" s="10"/>
      <c r="P138" s="10"/>
      <c r="Q138" s="11" t="s">
        <v>40</v>
      </c>
      <c r="R138" s="10" t="b">
        <v>1</v>
      </c>
      <c r="S138" s="10"/>
      <c r="T138" s="10" t="s">
        <v>36</v>
      </c>
      <c r="U138" s="10"/>
      <c r="V138" s="10"/>
      <c r="W138" s="10"/>
      <c r="X138" s="10"/>
      <c r="Y138" s="10"/>
      <c r="Z138" s="10" t="s">
        <v>525</v>
      </c>
      <c r="AA138" s="10" t="s">
        <v>526</v>
      </c>
      <c r="AB138" s="10" t="s">
        <v>527</v>
      </c>
      <c r="AC138" s="10">
        <v>1</v>
      </c>
      <c r="AD138" s="10"/>
      <c r="AE138" s="10"/>
      <c r="AF138" s="10">
        <v>5</v>
      </c>
    </row>
    <row r="139" spans="2:32" x14ac:dyDescent="0.25">
      <c r="B139" s="4">
        <f>(ROW(tDICT[[#This Row],[Table Name]])-ROW(tDICT[[#Headers],[Table Name]]))*8</f>
        <v>1080</v>
      </c>
      <c r="C139" s="5" t="str">
        <f>pTABLE</f>
        <v>dbo.tbl_D_COMPONENT</v>
      </c>
      <c r="D139" s="6"/>
      <c r="E139" s="7" t="str">
        <f ca="1">IFERROR(REPT("  ", tDICT[[#This Row],[LVL]]-1) &amp; tDICT[[#This Row],[Name]], tDICT[[#This Row],[Name]])</f>
        <v xml:space="preserve">        Social Tax (Severance)</v>
      </c>
      <c r="F139" s="8">
        <f ca="1">IF(tDICT[Level Number]="",OFFSET(tDICT[[#This Row],[Level Number]],-1,0),tDICT[Level Number])</f>
        <v>5</v>
      </c>
      <c r="G13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39" s="8" t="str">
        <f ca="1">_xlfn.IFNA(VLOOKUP(tDICT[[#This Row],[Label]],tDICT[Parent Label],1,0)&gt;0,"Leaf")</f>
        <v>Leaf</v>
      </c>
      <c r="I139" s="9">
        <v>42138</v>
      </c>
      <c r="J139" s="10">
        <v>127</v>
      </c>
      <c r="K139" s="10" t="s">
        <v>528</v>
      </c>
      <c r="L139" s="10"/>
      <c r="M139" s="10" t="s">
        <v>529</v>
      </c>
      <c r="N139" s="10" t="s">
        <v>530</v>
      </c>
      <c r="O139" s="10"/>
      <c r="P139" s="10"/>
      <c r="Q139" s="11" t="s">
        <v>40</v>
      </c>
      <c r="R139" s="10" t="b">
        <v>1</v>
      </c>
      <c r="S139" s="10">
        <v>2</v>
      </c>
      <c r="T139" s="10" t="s">
        <v>36</v>
      </c>
      <c r="U139" s="10"/>
      <c r="V139" s="10"/>
      <c r="W139" s="10"/>
      <c r="X139" s="10"/>
      <c r="Y139" s="10"/>
      <c r="Z139" s="10" t="s">
        <v>531</v>
      </c>
      <c r="AA139" s="10" t="s">
        <v>532</v>
      </c>
      <c r="AB139" s="10" t="s">
        <v>533</v>
      </c>
      <c r="AC139" s="10">
        <v>1</v>
      </c>
      <c r="AD139" s="10"/>
      <c r="AE139" s="10"/>
      <c r="AF139" s="10">
        <v>5</v>
      </c>
    </row>
    <row r="140" spans="2:32" x14ac:dyDescent="0.25">
      <c r="B140" s="4">
        <f>(ROW(tDICT[[#This Row],[Table Name]])-ROW(tDICT[[#Headers],[Table Name]]))*8</f>
        <v>1088</v>
      </c>
      <c r="C140" s="5" t="str">
        <f>pTABLE</f>
        <v>dbo.tbl_D_COMPONENT</v>
      </c>
      <c r="D140" s="6"/>
      <c r="E140" s="7" t="str">
        <f ca="1">IFERROR(REPT("  ", tDICT[[#This Row],[LVL]]-1) &amp; tDICT[[#This Row],[Name]], tDICT[[#This Row],[Name]])</f>
        <v xml:space="preserve">        Social Tax (Maternity leave)</v>
      </c>
      <c r="F140" s="8">
        <f ca="1">IF(tDICT[Level Number]="",OFFSET(tDICT[[#This Row],[Level Number]],-1,0),tDICT[Level Number])</f>
        <v>5</v>
      </c>
      <c r="G14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40" s="8" t="str">
        <f ca="1">_xlfn.IFNA(VLOOKUP(tDICT[[#This Row],[Label]],tDICT[Parent Label],1,0)&gt;0,"Leaf")</f>
        <v>Leaf</v>
      </c>
      <c r="I140" s="9">
        <v>42142</v>
      </c>
      <c r="J140" s="10">
        <v>127</v>
      </c>
      <c r="K140" s="10" t="s">
        <v>534</v>
      </c>
      <c r="L140" s="10"/>
      <c r="M140" s="10" t="s">
        <v>535</v>
      </c>
      <c r="N140" s="10" t="s">
        <v>536</v>
      </c>
      <c r="O140" s="10"/>
      <c r="P140" s="10"/>
      <c r="Q140" s="11" t="s">
        <v>40</v>
      </c>
      <c r="R140" s="10" t="b">
        <v>1</v>
      </c>
      <c r="S140" s="10"/>
      <c r="T140" s="10" t="s">
        <v>36</v>
      </c>
      <c r="U140" s="10"/>
      <c r="V140" s="10"/>
      <c r="W140" s="10"/>
      <c r="X140" s="10"/>
      <c r="Y140" s="10"/>
      <c r="Z140" s="10" t="s">
        <v>537</v>
      </c>
      <c r="AA140" s="10" t="s">
        <v>538</v>
      </c>
      <c r="AB140" s="10" t="s">
        <v>539</v>
      </c>
      <c r="AC140" s="10">
        <v>1</v>
      </c>
      <c r="AD140" s="10"/>
      <c r="AE140" s="10"/>
      <c r="AF140" s="10">
        <v>5</v>
      </c>
    </row>
    <row r="141" spans="2:32" x14ac:dyDescent="0.25">
      <c r="B141" s="4">
        <f>(ROW(tDICT[[#This Row],[Table Name]])-ROW(tDICT[[#Headers],[Table Name]]))*8</f>
        <v>1096</v>
      </c>
      <c r="C141" s="5" t="str">
        <f>pTABLE</f>
        <v>dbo.tbl_D_COMPONENT</v>
      </c>
      <c r="D141" s="6"/>
      <c r="E141" s="7" t="str">
        <f ca="1">IFERROR(REPT("  ", tDICT[[#This Row],[LVL]]-1) &amp; tDICT[[#This Row],[Name]], tDICT[[#This Row],[Name]])</f>
        <v xml:space="preserve">        Social Tax (Total Discretionary Bonus)</v>
      </c>
      <c r="F141" s="8">
        <f ca="1">IF(tDICT[Level Number]="",OFFSET(tDICT[[#This Row],[Level Number]],-1,0),tDICT[Level Number])</f>
        <v>5</v>
      </c>
      <c r="G14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41" s="8" t="b">
        <f ca="1">_xlfn.IFNA(VLOOKUP(tDICT[[#This Row],[Label]],tDICT[Parent Label],1,0)&gt;0,"Leaf")</f>
        <v>1</v>
      </c>
      <c r="I141" s="9">
        <v>244</v>
      </c>
      <c r="J141" s="10">
        <v>127</v>
      </c>
      <c r="K141" s="10" t="s">
        <v>540</v>
      </c>
      <c r="L141" s="10"/>
      <c r="M141" s="10" t="s">
        <v>541</v>
      </c>
      <c r="N141" s="10" t="s">
        <v>542</v>
      </c>
      <c r="O141" s="10"/>
      <c r="P141" s="10" t="s">
        <v>446</v>
      </c>
      <c r="Q141" s="11" t="s">
        <v>40</v>
      </c>
      <c r="R141" s="10" t="b">
        <v>1</v>
      </c>
      <c r="S141" s="10">
        <v>1</v>
      </c>
      <c r="T141" s="10" t="s">
        <v>36</v>
      </c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>
        <v>5</v>
      </c>
    </row>
    <row r="142" spans="2:32" x14ac:dyDescent="0.25">
      <c r="B142" s="4">
        <f>(ROW(tDICT[[#This Row],[Table Name]])-ROW(tDICT[[#Headers],[Table Name]]))*8</f>
        <v>1104</v>
      </c>
      <c r="C142" s="5" t="str">
        <f>pTABLE</f>
        <v>dbo.tbl_D_COMPONENT</v>
      </c>
      <c r="D142" s="6"/>
      <c r="E142" s="7" t="str">
        <f ca="1">IFERROR(REPT("  ", tDICT[[#This Row],[LVL]]-1) &amp; tDICT[[#This Row],[Name]], tDICT[[#This Row],[Name]])</f>
        <v xml:space="preserve">          Social Tax (Annual Cash Bonus CAPEX)</v>
      </c>
      <c r="F142" s="8">
        <f ca="1">IF(tDICT[Level Number]="",OFFSET(tDICT[[#This Row],[Level Number]],-1,0),tDICT[Level Number])</f>
        <v>6</v>
      </c>
      <c r="G14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SOCIAL_TAX_TOTAL_DISCRETIONARY_BONUS</v>
      </c>
      <c r="H142" s="8" t="str">
        <f ca="1">_xlfn.IFNA(VLOOKUP(tDICT[[#This Row],[Label]],tDICT[Parent Label],1,0)&gt;0,"Leaf")</f>
        <v>Leaf</v>
      </c>
      <c r="I142" s="9">
        <v>4177</v>
      </c>
      <c r="J142" s="10">
        <v>244</v>
      </c>
      <c r="K142" s="10" t="s">
        <v>543</v>
      </c>
      <c r="L142" s="10"/>
      <c r="M142" s="10" t="s">
        <v>544</v>
      </c>
      <c r="N142" s="10" t="s">
        <v>545</v>
      </c>
      <c r="O142" s="10"/>
      <c r="P142" s="10" t="s">
        <v>446</v>
      </c>
      <c r="Q142" s="11" t="s">
        <v>40</v>
      </c>
      <c r="R142" s="10" t="b">
        <v>1</v>
      </c>
      <c r="S142" s="10">
        <v>1</v>
      </c>
      <c r="T142" s="10" t="s">
        <v>36</v>
      </c>
      <c r="U142" s="10"/>
      <c r="V142" s="10"/>
      <c r="W142" s="10"/>
      <c r="X142" s="10"/>
      <c r="Y142" s="10"/>
      <c r="Z142" s="10" t="s">
        <v>546</v>
      </c>
      <c r="AA142" s="10" t="s">
        <v>547</v>
      </c>
      <c r="AB142" s="10" t="s">
        <v>548</v>
      </c>
      <c r="AC142" s="10"/>
      <c r="AD142" s="10" t="s">
        <v>549</v>
      </c>
      <c r="AE142" s="10" t="s">
        <v>550</v>
      </c>
      <c r="AF142" s="10">
        <v>6</v>
      </c>
    </row>
    <row r="143" spans="2:32" x14ac:dyDescent="0.25">
      <c r="B143" s="4">
        <f>(ROW(tDICT[[#This Row],[Table Name]])-ROW(tDICT[[#Headers],[Table Name]]))*8</f>
        <v>1112</v>
      </c>
      <c r="C143" s="5" t="str">
        <f>pTABLE</f>
        <v>dbo.tbl_D_COMPONENT</v>
      </c>
      <c r="D143" s="6"/>
      <c r="E143" s="7" t="str">
        <f ca="1">IFERROR(REPT("  ", tDICT[[#This Row],[LVL]]-1) &amp; tDICT[[#This Row],[Name]], tDICT[[#This Row],[Name]])</f>
        <v xml:space="preserve">          Social Tax (Annual Cash Bonus)</v>
      </c>
      <c r="F143" s="8">
        <f ca="1">IF(tDICT[Level Number]="",OFFSET(tDICT[[#This Row],[Level Number]],-1,0),tDICT[Level Number])</f>
        <v>6</v>
      </c>
      <c r="G14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SOCIAL_TAX_TOTAL_DISCRETIONARY_BONUS</v>
      </c>
      <c r="H143" s="8" t="str">
        <f ca="1">_xlfn.IFNA(VLOOKUP(tDICT[[#This Row],[Label]],tDICT[Parent Label],1,0)&gt;0,"Leaf")</f>
        <v>Leaf</v>
      </c>
      <c r="I143" s="9">
        <v>177</v>
      </c>
      <c r="J143" s="10">
        <v>244</v>
      </c>
      <c r="K143" s="10" t="s">
        <v>551</v>
      </c>
      <c r="L143" s="10"/>
      <c r="M143" s="10" t="s">
        <v>552</v>
      </c>
      <c r="N143" s="10" t="s">
        <v>553</v>
      </c>
      <c r="O143" s="10"/>
      <c r="P143" s="10" t="s">
        <v>446</v>
      </c>
      <c r="Q143" s="11" t="s">
        <v>40</v>
      </c>
      <c r="R143" s="10" t="b">
        <v>1</v>
      </c>
      <c r="S143" s="10">
        <v>1</v>
      </c>
      <c r="T143" s="10" t="s">
        <v>36</v>
      </c>
      <c r="U143" s="10"/>
      <c r="V143" s="10"/>
      <c r="W143" s="10"/>
      <c r="X143" s="10"/>
      <c r="Y143" s="10"/>
      <c r="Z143" s="10" t="s">
        <v>546</v>
      </c>
      <c r="AA143" s="10" t="s">
        <v>547</v>
      </c>
      <c r="AB143" s="10" t="s">
        <v>548</v>
      </c>
      <c r="AC143" s="10">
        <v>1</v>
      </c>
      <c r="AD143" s="10" t="s">
        <v>554</v>
      </c>
      <c r="AE143" s="10" t="s">
        <v>550</v>
      </c>
      <c r="AF143" s="10">
        <v>6</v>
      </c>
    </row>
    <row r="144" spans="2:32" x14ac:dyDescent="0.25">
      <c r="B144" s="4">
        <f>(ROW(tDICT[[#This Row],[Table Name]])-ROW(tDICT[[#Headers],[Table Name]]))*8</f>
        <v>1120</v>
      </c>
      <c r="C144" s="5" t="str">
        <f>pTABLE</f>
        <v>dbo.tbl_D_COMPONENT</v>
      </c>
      <c r="D144" s="6"/>
      <c r="E144" s="7" t="str">
        <f ca="1">IFERROR(REPT("  ", tDICT[[#This Row],[LVL]]-1) &amp; tDICT[[#This Row],[Name]], tDICT[[#This Row],[Name]])</f>
        <v xml:space="preserve">          Social Tax (Total Deferral)</v>
      </c>
      <c r="F144" s="8">
        <f ca="1">IF(tDICT[Level Number]="",OFFSET(tDICT[[#This Row],[Level Number]],-1,0),tDICT[Level Number])</f>
        <v>6</v>
      </c>
      <c r="G14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SOCIAL_TAX_TOTAL_DISCRETIONARY_BONUS</v>
      </c>
      <c r="H144" s="8" t="str">
        <f ca="1">_xlfn.IFNA(VLOOKUP(tDICT[[#This Row],[Label]],tDICT[Parent Label],1,0)&gt;0,"Leaf")</f>
        <v>Leaf</v>
      </c>
      <c r="I144" s="9">
        <v>245</v>
      </c>
      <c r="J144" s="10">
        <v>244</v>
      </c>
      <c r="K144" s="10" t="s">
        <v>555</v>
      </c>
      <c r="L144" s="10"/>
      <c r="M144" s="10" t="s">
        <v>556</v>
      </c>
      <c r="N144" s="10" t="s">
        <v>557</v>
      </c>
      <c r="O144" s="10"/>
      <c r="P144" s="10" t="s">
        <v>446</v>
      </c>
      <c r="Q144" s="11" t="s">
        <v>40</v>
      </c>
      <c r="R144" s="10" t="b">
        <v>1</v>
      </c>
      <c r="S144" s="10">
        <v>1</v>
      </c>
      <c r="T144" s="10" t="s">
        <v>36</v>
      </c>
      <c r="U144" s="10"/>
      <c r="V144" s="10"/>
      <c r="W144" s="10"/>
      <c r="X144" s="10"/>
      <c r="Y144" s="10"/>
      <c r="Z144" s="10" t="s">
        <v>558</v>
      </c>
      <c r="AA144" s="10" t="s">
        <v>559</v>
      </c>
      <c r="AB144" s="10" t="s">
        <v>560</v>
      </c>
      <c r="AC144" s="10">
        <v>1</v>
      </c>
      <c r="AD144" s="10" t="s">
        <v>561</v>
      </c>
      <c r="AE144" s="10" t="s">
        <v>562</v>
      </c>
      <c r="AF144" s="10">
        <v>6</v>
      </c>
    </row>
    <row r="145" spans="2:32" x14ac:dyDescent="0.25">
      <c r="B145" s="4">
        <f>(ROW(tDICT[[#This Row],[Table Name]])-ROW(tDICT[[#Headers],[Table Name]]))*8</f>
        <v>1128</v>
      </c>
      <c r="C145" s="5" t="str">
        <f>pTABLE</f>
        <v>dbo.tbl_D_COMPONENT</v>
      </c>
      <c r="D145" s="6"/>
      <c r="E145" s="7" t="str">
        <f ca="1">IFERROR(REPT("  ", tDICT[[#This Row],[LVL]]-1) &amp; tDICT[[#This Row],[Name]], tDICT[[#This Row],[Name]])</f>
        <v xml:space="preserve">        Social Tax (Guaranteed Annual Cash Bonus)</v>
      </c>
      <c r="F145" s="8">
        <f ca="1">IF(tDICT[Level Number]="",OFFSET(tDICT[[#This Row],[Level Number]],-1,0),tDICT[Level Number])</f>
        <v>5</v>
      </c>
      <c r="G14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45" s="8" t="str">
        <f ca="1">_xlfn.IFNA(VLOOKUP(tDICT[[#This Row],[Label]],tDICT[Parent Label],1,0)&gt;0,"Leaf")</f>
        <v>Leaf</v>
      </c>
      <c r="I145" s="9">
        <v>191</v>
      </c>
      <c r="J145" s="10">
        <v>127</v>
      </c>
      <c r="K145" s="10" t="s">
        <v>563</v>
      </c>
      <c r="L145" s="10"/>
      <c r="M145" s="10" t="s">
        <v>564</v>
      </c>
      <c r="N145" s="10" t="s">
        <v>565</v>
      </c>
      <c r="O145" s="10"/>
      <c r="P145" s="10" t="s">
        <v>446</v>
      </c>
      <c r="Q145" s="11" t="s">
        <v>40</v>
      </c>
      <c r="R145" s="10" t="b">
        <v>1</v>
      </c>
      <c r="S145" s="10">
        <v>1</v>
      </c>
      <c r="T145" s="10" t="s">
        <v>36</v>
      </c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>
        <v>5</v>
      </c>
    </row>
    <row r="146" spans="2:32" x14ac:dyDescent="0.25">
      <c r="B146" s="4">
        <f>(ROW(tDICT[[#This Row],[Table Name]])-ROW(tDICT[[#Headers],[Table Name]]))*8</f>
        <v>1136</v>
      </c>
      <c r="C146" s="5" t="str">
        <f>pTABLE</f>
        <v>dbo.tbl_D_COMPONENT</v>
      </c>
      <c r="D146" s="6"/>
      <c r="E146" s="7" t="str">
        <f ca="1">IFERROR(REPT("  ", tDICT[[#This Row],[LVL]]-1) &amp; tDICT[[#This Row],[Name]], tDICT[[#This Row],[Name]])</f>
        <v xml:space="preserve">        Social Tax (Conditional Annual Cash Bonus)</v>
      </c>
      <c r="F146" s="8">
        <f ca="1">IF(tDICT[Level Number]="",OFFSET(tDICT[[#This Row],[Level Number]],-1,0),tDICT[Level Number])</f>
        <v>5</v>
      </c>
      <c r="G14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46" s="8" t="str">
        <f ca="1">_xlfn.IFNA(VLOOKUP(tDICT[[#This Row],[Label]],tDICT[Parent Label],1,0)&gt;0,"Leaf")</f>
        <v>Leaf</v>
      </c>
      <c r="I146" s="9">
        <v>192</v>
      </c>
      <c r="J146" s="10">
        <v>127</v>
      </c>
      <c r="K146" s="10" t="s">
        <v>566</v>
      </c>
      <c r="L146" s="10"/>
      <c r="M146" s="10" t="s">
        <v>567</v>
      </c>
      <c r="N146" s="10" t="s">
        <v>568</v>
      </c>
      <c r="O146" s="10"/>
      <c r="P146" s="10" t="s">
        <v>446</v>
      </c>
      <c r="Q146" s="11" t="s">
        <v>40</v>
      </c>
      <c r="R146" s="10" t="b">
        <v>1</v>
      </c>
      <c r="S146" s="10">
        <v>1</v>
      </c>
      <c r="T146" s="10" t="s">
        <v>36</v>
      </c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>
        <v>5</v>
      </c>
    </row>
    <row r="147" spans="2:32" x14ac:dyDescent="0.25">
      <c r="B147" s="4">
        <f>(ROW(tDICT[[#This Row],[Table Name]])-ROW(tDICT[[#Headers],[Table Name]]))*8</f>
        <v>1144</v>
      </c>
      <c r="C147" s="5" t="str">
        <f>pTABLE</f>
        <v>dbo.tbl_D_COMPONENT</v>
      </c>
      <c r="D147" s="6"/>
      <c r="E147" s="7" t="str">
        <f ca="1">IFERROR(REPT("  ", tDICT[[#This Row],[LVL]]-1) &amp; tDICT[[#This Row],[Name]], tDICT[[#This Row],[Name]])</f>
        <v xml:space="preserve">        Social Tax (Quarterly Bonus)</v>
      </c>
      <c r="F147" s="8">
        <f ca="1">IF(tDICT[Level Number]="",OFFSET(tDICT[[#This Row],[Level Number]],-1,0),tDICT[Level Number])</f>
        <v>5</v>
      </c>
      <c r="G14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47" s="8" t="str">
        <f ca="1">_xlfn.IFNA(VLOOKUP(tDICT[[#This Row],[Label]],tDICT[Parent Label],1,0)&gt;0,"Leaf")</f>
        <v>Leaf</v>
      </c>
      <c r="I147" s="9">
        <v>193</v>
      </c>
      <c r="J147" s="10">
        <v>127</v>
      </c>
      <c r="K147" s="10" t="s">
        <v>569</v>
      </c>
      <c r="L147" s="10"/>
      <c r="M147" s="10" t="s">
        <v>570</v>
      </c>
      <c r="N147" s="10" t="s">
        <v>571</v>
      </c>
      <c r="O147" s="10"/>
      <c r="P147" s="10" t="s">
        <v>446</v>
      </c>
      <c r="Q147" s="11" t="s">
        <v>40</v>
      </c>
      <c r="R147" s="10" t="b">
        <v>1</v>
      </c>
      <c r="S147" s="10">
        <v>2</v>
      </c>
      <c r="T147" s="10" t="s">
        <v>36</v>
      </c>
      <c r="U147" s="10"/>
      <c r="V147" s="10"/>
      <c r="W147" s="10"/>
      <c r="X147" s="10"/>
      <c r="Y147" s="10"/>
      <c r="Z147" s="10" t="s">
        <v>572</v>
      </c>
      <c r="AA147" s="10" t="s">
        <v>573</v>
      </c>
      <c r="AB147" s="10" t="s">
        <v>574</v>
      </c>
      <c r="AC147" s="10">
        <v>1</v>
      </c>
      <c r="AD147" s="10" t="s">
        <v>575</v>
      </c>
      <c r="AE147" s="10" t="s">
        <v>576</v>
      </c>
      <c r="AF147" s="10">
        <v>5</v>
      </c>
    </row>
    <row r="148" spans="2:32" x14ac:dyDescent="0.25">
      <c r="B148" s="4">
        <f>(ROW(tDICT[[#This Row],[Table Name]])-ROW(tDICT[[#Headers],[Table Name]]))*8</f>
        <v>1152</v>
      </c>
      <c r="C148" s="5" t="str">
        <f>pTABLE</f>
        <v>dbo.tbl_D_COMPONENT</v>
      </c>
      <c r="D148" s="6"/>
      <c r="E148" s="7" t="str">
        <f ca="1">IFERROR(REPT("  ", tDICT[[#This Row],[LVL]]-1) &amp; tDICT[[#This Row],[Name]], tDICT[[#This Row],[Name]])</f>
        <v xml:space="preserve">        Social Tax (Quarterly Bonus Uplift)</v>
      </c>
      <c r="F148" s="8">
        <f ca="1">IF(tDICT[Level Number]="",OFFSET(tDICT[[#This Row],[Level Number]],-1,0),tDICT[Level Number])</f>
        <v>5</v>
      </c>
      <c r="G14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48" s="8" t="str">
        <f ca="1">_xlfn.IFNA(VLOOKUP(tDICT[[#This Row],[Label]],tDICT[Parent Label],1,0)&gt;0,"Leaf")</f>
        <v>Leaf</v>
      </c>
      <c r="I148" s="9">
        <v>259</v>
      </c>
      <c r="J148" s="10">
        <v>127</v>
      </c>
      <c r="K148" s="10" t="s">
        <v>577</v>
      </c>
      <c r="L148" s="10"/>
      <c r="M148" s="10" t="s">
        <v>578</v>
      </c>
      <c r="N148" s="10" t="s">
        <v>579</v>
      </c>
      <c r="O148" s="10"/>
      <c r="P148" s="10" t="s">
        <v>446</v>
      </c>
      <c r="Q148" s="11" t="s">
        <v>40</v>
      </c>
      <c r="R148" s="10" t="b">
        <v>1</v>
      </c>
      <c r="S148" s="10">
        <v>2</v>
      </c>
      <c r="T148" s="10" t="s">
        <v>36</v>
      </c>
      <c r="U148" s="10"/>
      <c r="V148" s="10"/>
      <c r="W148" s="10"/>
      <c r="X148" s="10"/>
      <c r="Y148" s="10"/>
      <c r="Z148" s="10" t="s">
        <v>572</v>
      </c>
      <c r="AA148" s="10" t="s">
        <v>573</v>
      </c>
      <c r="AB148" s="10" t="s">
        <v>574</v>
      </c>
      <c r="AC148" s="10"/>
      <c r="AD148" s="10"/>
      <c r="AE148" s="10"/>
      <c r="AF148" s="10">
        <v>5</v>
      </c>
    </row>
    <row r="149" spans="2:32" x14ac:dyDescent="0.25">
      <c r="B149" s="4">
        <f>(ROW(tDICT[[#This Row],[Table Name]])-ROW(tDICT[[#Headers],[Table Name]]))*8</f>
        <v>1160</v>
      </c>
      <c r="C149" s="5" t="str">
        <f>pTABLE</f>
        <v>dbo.tbl_D_COMPONENT</v>
      </c>
      <c r="D149" s="6"/>
      <c r="E149" s="7" t="str">
        <f ca="1">IFERROR(REPT("  ", tDICT[[#This Row],[LVL]]-1) &amp; tDICT[[#This Row],[Name]], tDICT[[#This Row],[Name]])</f>
        <v xml:space="preserve">        Social Tax (Monthly Bonus)</v>
      </c>
      <c r="F149" s="8">
        <f ca="1">IF(tDICT[Level Number]="",OFFSET(tDICT[[#This Row],[Level Number]],-1,0),tDICT[Level Number])</f>
        <v>5</v>
      </c>
      <c r="G14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49" s="8" t="str">
        <f ca="1">_xlfn.IFNA(VLOOKUP(tDICT[[#This Row],[Label]],tDICT[Parent Label],1,0)&gt;0,"Leaf")</f>
        <v>Leaf</v>
      </c>
      <c r="I149" s="9">
        <v>194</v>
      </c>
      <c r="J149" s="10">
        <v>127</v>
      </c>
      <c r="K149" s="10" t="s">
        <v>580</v>
      </c>
      <c r="L149" s="10"/>
      <c r="M149" s="10" t="s">
        <v>581</v>
      </c>
      <c r="N149" s="10" t="s">
        <v>582</v>
      </c>
      <c r="O149" s="10"/>
      <c r="P149" s="10" t="s">
        <v>446</v>
      </c>
      <c r="Q149" s="11" t="s">
        <v>40</v>
      </c>
      <c r="R149" s="10" t="b">
        <v>1</v>
      </c>
      <c r="S149" s="10">
        <v>4</v>
      </c>
      <c r="T149" s="10" t="s">
        <v>36</v>
      </c>
      <c r="U149" s="10"/>
      <c r="V149" s="10"/>
      <c r="W149" s="10"/>
      <c r="X149" s="10"/>
      <c r="Y149" s="10"/>
      <c r="Z149" s="10" t="s">
        <v>583</v>
      </c>
      <c r="AA149" s="10" t="s">
        <v>584</v>
      </c>
      <c r="AB149" s="10" t="s">
        <v>585</v>
      </c>
      <c r="AC149" s="10">
        <v>1</v>
      </c>
      <c r="AD149" s="10"/>
      <c r="AE149" s="10"/>
      <c r="AF149" s="10">
        <v>5</v>
      </c>
    </row>
    <row r="150" spans="2:32" x14ac:dyDescent="0.25">
      <c r="B150" s="4">
        <f>(ROW(tDICT[[#This Row],[Table Name]])-ROW(tDICT[[#Headers],[Table Name]]))*8</f>
        <v>1168</v>
      </c>
      <c r="C150" s="5" t="str">
        <f>pTABLE</f>
        <v>dbo.tbl_D_COMPONENT</v>
      </c>
      <c r="D150" s="6"/>
      <c r="E150" s="7" t="str">
        <f ca="1">IFERROR(REPT("  ", tDICT[[#This Row],[LVL]]-1) &amp; tDICT[[#This Row],[Name]], tDICT[[#This Row],[Name]])</f>
        <v xml:space="preserve">        Social Tax (Other Bonus)</v>
      </c>
      <c r="F150" s="8">
        <f ca="1">IF(tDICT[Level Number]="",OFFSET(tDICT[[#This Row],[Level Number]],-1,0),tDICT[Level Number])</f>
        <v>5</v>
      </c>
      <c r="G15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50" s="8" t="str">
        <f ca="1">_xlfn.IFNA(VLOOKUP(tDICT[[#This Row],[Label]],tDICT[Parent Label],1,0)&gt;0,"Leaf")</f>
        <v>Leaf</v>
      </c>
      <c r="I150" s="9">
        <v>195</v>
      </c>
      <c r="J150" s="10">
        <v>127</v>
      </c>
      <c r="K150" s="10" t="s">
        <v>509</v>
      </c>
      <c r="L150" s="10"/>
      <c r="M150" s="10" t="s">
        <v>586</v>
      </c>
      <c r="N150" s="10" t="s">
        <v>587</v>
      </c>
      <c r="O150" s="10"/>
      <c r="P150" s="10" t="s">
        <v>446</v>
      </c>
      <c r="Q150" s="11" t="s">
        <v>40</v>
      </c>
      <c r="R150" s="10" t="b">
        <v>1</v>
      </c>
      <c r="S150" s="10"/>
      <c r="T150" s="10" t="s">
        <v>36</v>
      </c>
      <c r="U150" s="10"/>
      <c r="V150" s="10"/>
      <c r="W150" s="10"/>
      <c r="X150" s="10"/>
      <c r="Y150" s="10"/>
      <c r="Z150" s="10"/>
      <c r="AA150" s="10"/>
      <c r="AB150" s="10"/>
      <c r="AC150" s="10"/>
      <c r="AD150" s="10" t="s">
        <v>588</v>
      </c>
      <c r="AE150" s="10" t="s">
        <v>589</v>
      </c>
      <c r="AF150" s="10">
        <v>5</v>
      </c>
    </row>
    <row r="151" spans="2:32" x14ac:dyDescent="0.25">
      <c r="B151" s="4">
        <f>(ROW(tDICT[[#This Row],[Table Name]])-ROW(tDICT[[#Headers],[Table Name]]))*8</f>
        <v>1176</v>
      </c>
      <c r="C151" s="5" t="str">
        <f>pTABLE</f>
        <v>dbo.tbl_D_COMPONENT</v>
      </c>
      <c r="D151" s="6"/>
      <c r="E151" s="7" t="str">
        <f ca="1">IFERROR(REPT("  ", tDICT[[#This Row],[LVL]]-1) &amp; tDICT[[#This Row],[Name]], tDICT[[#This Row],[Name]])</f>
        <v xml:space="preserve">        Social Tax (Referral Bonus)</v>
      </c>
      <c r="F151" s="8">
        <f ca="1">IF(tDICT[Level Number]="",OFFSET(tDICT[[#This Row],[Level Number]],-1,0),tDICT[Level Number])</f>
        <v>5</v>
      </c>
      <c r="G15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51" s="8" t="str">
        <f ca="1">_xlfn.IFNA(VLOOKUP(tDICT[[#This Row],[Label]],tDICT[Parent Label],1,0)&gt;0,"Leaf")</f>
        <v>Leaf</v>
      </c>
      <c r="I151" s="9">
        <v>261</v>
      </c>
      <c r="J151" s="10">
        <v>127</v>
      </c>
      <c r="K151" s="10" t="s">
        <v>590</v>
      </c>
      <c r="L151" s="10"/>
      <c r="M151" s="10" t="s">
        <v>591</v>
      </c>
      <c r="N151" s="10" t="s">
        <v>592</v>
      </c>
      <c r="O151" s="10"/>
      <c r="P151" s="10" t="s">
        <v>446</v>
      </c>
      <c r="Q151" s="11" t="s">
        <v>40</v>
      </c>
      <c r="R151" s="10" t="b">
        <v>1</v>
      </c>
      <c r="S151" s="10"/>
      <c r="T151" s="10" t="s">
        <v>36</v>
      </c>
      <c r="U151" s="10"/>
      <c r="V151" s="10"/>
      <c r="W151" s="10"/>
      <c r="X151" s="10"/>
      <c r="Y151" s="10"/>
      <c r="Z151" s="10"/>
      <c r="AA151" s="10"/>
      <c r="AB151" s="10"/>
      <c r="AC151" s="10"/>
      <c r="AD151" s="10" t="s">
        <v>593</v>
      </c>
      <c r="AE151" s="10" t="s">
        <v>594</v>
      </c>
      <c r="AF151" s="10">
        <v>5</v>
      </c>
    </row>
    <row r="152" spans="2:32" x14ac:dyDescent="0.25">
      <c r="B152" s="4">
        <f>(ROW(tDICT[[#This Row],[Table Name]])-ROW(tDICT[[#Headers],[Table Name]]))*8</f>
        <v>1184</v>
      </c>
      <c r="C152" s="5" t="str">
        <f>pTABLE</f>
        <v>dbo.tbl_D_COMPONENT</v>
      </c>
      <c r="D152" s="6"/>
      <c r="E152" s="7" t="str">
        <f ca="1">IFERROR(REPT("  ", tDICT[[#This Row],[LVL]]-1) &amp; tDICT[[#This Row],[Name]], tDICT[[#This Row],[Name]])</f>
        <v xml:space="preserve">        Social Tax (Other Bonus Patents)</v>
      </c>
      <c r="F152" s="8">
        <f ca="1">IF(tDICT[Level Number]="",OFFSET(tDICT[[#This Row],[Level Number]],-1,0),tDICT[Level Number])</f>
        <v>5</v>
      </c>
      <c r="G15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52" s="8" t="str">
        <f ca="1">_xlfn.IFNA(VLOOKUP(tDICT[[#This Row],[Label]],tDICT[Parent Label],1,0)&gt;0,"Leaf")</f>
        <v>Leaf</v>
      </c>
      <c r="I152" s="9">
        <v>262</v>
      </c>
      <c r="J152" s="10">
        <v>127</v>
      </c>
      <c r="K152" s="10" t="s">
        <v>595</v>
      </c>
      <c r="L152" s="10"/>
      <c r="M152" s="10" t="s">
        <v>596</v>
      </c>
      <c r="N152" s="10" t="s">
        <v>597</v>
      </c>
      <c r="O152" s="10"/>
      <c r="P152" s="10" t="s">
        <v>446</v>
      </c>
      <c r="Q152" s="11" t="s">
        <v>40</v>
      </c>
      <c r="R152" s="10" t="b">
        <v>1</v>
      </c>
      <c r="S152" s="10"/>
      <c r="T152" s="10" t="s">
        <v>36</v>
      </c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>
        <v>5</v>
      </c>
    </row>
    <row r="153" spans="2:32" x14ac:dyDescent="0.25">
      <c r="B153" s="4">
        <f>(ROW(tDICT[[#This Row],[Table Name]])-ROW(tDICT[[#Headers],[Table Name]]))*8</f>
        <v>1192</v>
      </c>
      <c r="C153" s="5" t="str">
        <f>pTABLE</f>
        <v>dbo.tbl_D_COMPONENT</v>
      </c>
      <c r="D153" s="6"/>
      <c r="E153" s="7" t="str">
        <f ca="1">IFERROR(REPT("  ", tDICT[[#This Row],[LVL]]-1) &amp; tDICT[[#This Row],[Name]], tDICT[[#This Row],[Name]])</f>
        <v xml:space="preserve">        Social Tax (Cross Sale Bonus)</v>
      </c>
      <c r="F153" s="8">
        <f ca="1">IF(tDICT[Level Number]="",OFFSET(tDICT[[#This Row],[Level Number]],-1,0),tDICT[Level Number])</f>
        <v>5</v>
      </c>
      <c r="G15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53" s="8" t="str">
        <f ca="1">_xlfn.IFNA(VLOOKUP(tDICT[[#This Row],[Label]],tDICT[Parent Label],1,0)&gt;0,"Leaf")</f>
        <v>Leaf</v>
      </c>
      <c r="I153" s="9">
        <v>196</v>
      </c>
      <c r="J153" s="10">
        <v>127</v>
      </c>
      <c r="K153" s="10" t="s">
        <v>598</v>
      </c>
      <c r="L153" s="10"/>
      <c r="M153" s="10" t="s">
        <v>599</v>
      </c>
      <c r="N153" s="10" t="s">
        <v>600</v>
      </c>
      <c r="O153" s="10"/>
      <c r="P153" s="10" t="s">
        <v>446</v>
      </c>
      <c r="Q153" s="11" t="s">
        <v>40</v>
      </c>
      <c r="R153" s="10" t="b">
        <v>1</v>
      </c>
      <c r="S153" s="10"/>
      <c r="T153" s="10" t="s">
        <v>36</v>
      </c>
      <c r="U153" s="10"/>
      <c r="V153" s="10"/>
      <c r="W153" s="10"/>
      <c r="X153" s="10"/>
      <c r="Y153" s="10"/>
      <c r="Z153" s="10"/>
      <c r="AA153" s="10"/>
      <c r="AB153" s="10"/>
      <c r="AC153" s="10"/>
      <c r="AD153" s="10" t="s">
        <v>601</v>
      </c>
      <c r="AE153" s="10" t="s">
        <v>602</v>
      </c>
      <c r="AF153" s="10">
        <v>5</v>
      </c>
    </row>
    <row r="154" spans="2:32" x14ac:dyDescent="0.25">
      <c r="B154" s="4">
        <f>(ROW(tDICT[[#This Row],[Table Name]])-ROW(tDICT[[#Headers],[Table Name]]))*8</f>
        <v>1200</v>
      </c>
      <c r="C154" s="5" t="str">
        <f>pTABLE</f>
        <v>dbo.tbl_D_COMPONENT</v>
      </c>
      <c r="D154" s="6"/>
      <c r="E154" s="7" t="str">
        <f ca="1">IFERROR(REPT("  ", tDICT[[#This Row],[LVL]]-1) &amp; tDICT[[#This Row],[Name]], tDICT[[#This Row],[Name]])</f>
        <v xml:space="preserve">      Social Tax Vacation Pay</v>
      </c>
      <c r="F154" s="8">
        <f ca="1">IF(tDICT[Level Number]="",OFFSET(tDICT[[#This Row],[Level Number]],-1,0),tDICT[Level Number])</f>
        <v>4</v>
      </c>
      <c r="G15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54" s="8" t="b">
        <f ca="1">_xlfn.IFNA(VLOOKUP(tDICT[[#This Row],[Label]],tDICT[Parent Label],1,0)&gt;0,"Leaf")</f>
        <v>1</v>
      </c>
      <c r="I154" s="9">
        <v>128</v>
      </c>
      <c r="J154" s="10">
        <v>126</v>
      </c>
      <c r="K154" s="10" t="s">
        <v>603</v>
      </c>
      <c r="L154" s="10"/>
      <c r="M154" s="10" t="s">
        <v>604</v>
      </c>
      <c r="N154" s="10" t="s">
        <v>605</v>
      </c>
      <c r="O154" s="10"/>
      <c r="P154" s="10" t="s">
        <v>443</v>
      </c>
      <c r="Q154" s="11" t="s">
        <v>40</v>
      </c>
      <c r="R154" s="10" t="b">
        <v>1</v>
      </c>
      <c r="S154" s="10"/>
      <c r="T154" s="10" t="s">
        <v>36</v>
      </c>
      <c r="U154" s="10"/>
      <c r="V154" s="10"/>
      <c r="W154" s="10"/>
      <c r="X154" s="10"/>
      <c r="Y154" s="10"/>
      <c r="Z154" s="10" t="s">
        <v>606</v>
      </c>
      <c r="AA154" s="10" t="s">
        <v>607</v>
      </c>
      <c r="AB154" s="10" t="s">
        <v>608</v>
      </c>
      <c r="AC154" s="10">
        <v>1</v>
      </c>
      <c r="AD154" s="10"/>
      <c r="AE154" s="10"/>
      <c r="AF154" s="10">
        <v>4</v>
      </c>
    </row>
    <row r="155" spans="2:32" x14ac:dyDescent="0.25">
      <c r="B155" s="4">
        <f>(ROW(tDICT[[#This Row],[Table Name]])-ROW(tDICT[[#Headers],[Table Name]]))*8</f>
        <v>1208</v>
      </c>
      <c r="C155" s="5" t="str">
        <f>pTABLE</f>
        <v>dbo.tbl_D_COMPONENT</v>
      </c>
      <c r="D155" s="6"/>
      <c r="E155" s="7" t="str">
        <f ca="1">IFERROR(REPT("  ", tDICT[[#This Row],[LVL]]-1) &amp; tDICT[[#This Row],[Name]], tDICT[[#This Row],[Name]])</f>
        <v xml:space="preserve">        Social Tax Vacation Pay Bonus</v>
      </c>
      <c r="F155" s="8">
        <f ca="1">IF(tDICT[Level Number]="",OFFSET(tDICT[[#This Row],[Level Number]],-1,0),tDICT[Level Number])</f>
        <v>5</v>
      </c>
      <c r="G15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SOCIAL_TAX_VACATION_PAY</v>
      </c>
      <c r="H155" s="8" t="str">
        <f ca="1">_xlfn.IFNA(VLOOKUP(tDICT[[#This Row],[Label]],tDICT[Parent Label],1,0)&gt;0,"Leaf")</f>
        <v>Leaf</v>
      </c>
      <c r="I155" s="9">
        <v>129</v>
      </c>
      <c r="J155" s="10">
        <v>128</v>
      </c>
      <c r="K155" s="10" t="s">
        <v>609</v>
      </c>
      <c r="L155" s="10"/>
      <c r="M155" s="10" t="s">
        <v>610</v>
      </c>
      <c r="N155" s="10" t="s">
        <v>611</v>
      </c>
      <c r="O155" s="10"/>
      <c r="P155" s="10" t="s">
        <v>605</v>
      </c>
      <c r="Q155" s="11" t="s">
        <v>40</v>
      </c>
      <c r="R155" s="10" t="b">
        <v>1</v>
      </c>
      <c r="S155" s="10">
        <v>1</v>
      </c>
      <c r="T155" s="10" t="s">
        <v>36</v>
      </c>
      <c r="U155" s="10"/>
      <c r="V155" s="10"/>
      <c r="W155" s="10"/>
      <c r="X155" s="10"/>
      <c r="Y155" s="10"/>
      <c r="Z155" s="10" t="s">
        <v>606</v>
      </c>
      <c r="AA155" s="10" t="s">
        <v>607</v>
      </c>
      <c r="AB155" s="10" t="s">
        <v>608</v>
      </c>
      <c r="AC155" s="10"/>
      <c r="AD155" s="10"/>
      <c r="AE155" s="10"/>
      <c r="AF155" s="10">
        <v>5</v>
      </c>
    </row>
    <row r="156" spans="2:32" x14ac:dyDescent="0.25">
      <c r="B156" s="4">
        <f>(ROW(tDICT[[#This Row],[Table Name]])-ROW(tDICT[[#Headers],[Table Name]]))*8</f>
        <v>1216</v>
      </c>
      <c r="C156" s="5" t="str">
        <f>pTABLE</f>
        <v>dbo.tbl_D_COMPONENT</v>
      </c>
      <c r="D156" s="6"/>
      <c r="E156" s="7" t="str">
        <f ca="1">IFERROR(REPT("  ", tDICT[[#This Row],[LVL]]-1) &amp; tDICT[[#This Row],[Name]], tDICT[[#This Row],[Name]])</f>
        <v xml:space="preserve">        Social Tax Vacation Pay Deferral</v>
      </c>
      <c r="F156" s="8">
        <f ca="1">IF(tDICT[Level Number]="",OFFSET(tDICT[[#This Row],[Level Number]],-1,0),tDICT[Level Number])</f>
        <v>5</v>
      </c>
      <c r="G15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SOCIAL_TAX_VACATION_PAY</v>
      </c>
      <c r="H156" s="8" t="str">
        <f ca="1">_xlfn.IFNA(VLOOKUP(tDICT[[#This Row],[Label]],tDICT[Parent Label],1,0)&gt;0,"Leaf")</f>
        <v>Leaf</v>
      </c>
      <c r="I156" s="9">
        <v>130</v>
      </c>
      <c r="J156" s="10">
        <v>128</v>
      </c>
      <c r="K156" s="10" t="s">
        <v>612</v>
      </c>
      <c r="L156" s="10"/>
      <c r="M156" s="10" t="s">
        <v>613</v>
      </c>
      <c r="N156" s="10" t="s">
        <v>614</v>
      </c>
      <c r="O156" s="10"/>
      <c r="P156" s="10" t="s">
        <v>605</v>
      </c>
      <c r="Q156" s="11" t="s">
        <v>40</v>
      </c>
      <c r="R156" s="10" t="b">
        <v>1</v>
      </c>
      <c r="S156" s="10">
        <v>1</v>
      </c>
      <c r="T156" s="10" t="s">
        <v>36</v>
      </c>
      <c r="U156" s="10"/>
      <c r="V156" s="10"/>
      <c r="W156" s="10"/>
      <c r="X156" s="10"/>
      <c r="Y156" s="10"/>
      <c r="Z156" s="10" t="s">
        <v>606</v>
      </c>
      <c r="AA156" s="10" t="s">
        <v>607</v>
      </c>
      <c r="AB156" s="10" t="s">
        <v>608</v>
      </c>
      <c r="AC156" s="10"/>
      <c r="AD156" s="10"/>
      <c r="AE156" s="10"/>
      <c r="AF156" s="10">
        <v>5</v>
      </c>
    </row>
    <row r="157" spans="2:32" x14ac:dyDescent="0.25">
      <c r="B157" s="4">
        <f>(ROW(tDICT[[#This Row],[Table Name]])-ROW(tDICT[[#Headers],[Table Name]]))*8</f>
        <v>1224</v>
      </c>
      <c r="C157" s="5" t="str">
        <f>pTABLE</f>
        <v>dbo.tbl_D_COMPONENT</v>
      </c>
      <c r="D157" s="6"/>
      <c r="E157" s="7" t="str">
        <f ca="1">IFERROR(REPT("  ", tDICT[[#This Row],[LVL]]-1) &amp; tDICT[[#This Row],[Name]], tDICT[[#This Row],[Name]])</f>
        <v xml:space="preserve">    Total Benefits</v>
      </c>
      <c r="F157" s="8">
        <f ca="1">IF(tDICT[Level Number]="",OFFSET(tDICT[[#This Row],[Level Number]],-1,0),tDICT[Level Number])</f>
        <v>3</v>
      </c>
      <c r="G15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57" s="8" t="b">
        <f ca="1">_xlfn.IFNA(VLOOKUP(tDICT[[#This Row],[Label]],tDICT[Parent Label],1,0)&gt;0,"Leaf")</f>
        <v>1</v>
      </c>
      <c r="I157" s="9">
        <v>131</v>
      </c>
      <c r="J157" s="10">
        <v>125</v>
      </c>
      <c r="K157" s="10" t="s">
        <v>615</v>
      </c>
      <c r="L157" s="10"/>
      <c r="M157" s="10" t="s">
        <v>616</v>
      </c>
      <c r="N157" s="10" t="s">
        <v>617</v>
      </c>
      <c r="O157" s="10"/>
      <c r="P157" s="10" t="s">
        <v>43</v>
      </c>
      <c r="Q157" s="11" t="s">
        <v>40</v>
      </c>
      <c r="R157" s="10" t="b">
        <v>1</v>
      </c>
      <c r="S157" s="10"/>
      <c r="T157" s="10" t="s">
        <v>36</v>
      </c>
      <c r="U157" s="10"/>
      <c r="V157" s="10"/>
      <c r="W157" s="10"/>
      <c r="X157" s="10"/>
      <c r="Y157" s="10"/>
      <c r="Z157" s="10" t="s">
        <v>618</v>
      </c>
      <c r="AA157" s="10" t="s">
        <v>619</v>
      </c>
      <c r="AB157" s="10" t="s">
        <v>620</v>
      </c>
      <c r="AC157" s="10"/>
      <c r="AD157" s="10"/>
      <c r="AE157" s="10"/>
      <c r="AF157" s="10">
        <v>3</v>
      </c>
    </row>
    <row r="158" spans="2:32" x14ac:dyDescent="0.25">
      <c r="B158" s="4">
        <f>(ROW(tDICT[[#This Row],[Table Name]])-ROW(tDICT[[#Headers],[Table Name]]))*8</f>
        <v>1232</v>
      </c>
      <c r="C158" s="5" t="str">
        <f>pTABLE</f>
        <v>dbo.tbl_D_COMPONENT</v>
      </c>
      <c r="D158" s="6"/>
      <c r="E158" s="7" t="str">
        <f ca="1">IFERROR(REPT("  ", tDICT[[#This Row],[LVL]]-1) &amp; tDICT[[#This Row],[Name]], tDICT[[#This Row],[Name]])</f>
        <v xml:space="preserve">      Medical Insurance and Reimbursement</v>
      </c>
      <c r="F158" s="8">
        <f ca="1">IF(tDICT[Level Number]="",OFFSET(tDICT[[#This Row],[Level Number]],-1,0),tDICT[Level Number])</f>
        <v>4</v>
      </c>
      <c r="G15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TOTAL_BENEFITS</v>
      </c>
      <c r="H158" s="8" t="b">
        <f ca="1">_xlfn.IFNA(VLOOKUP(tDICT[[#This Row],[Label]],tDICT[Parent Label],1,0)&gt;0,"Leaf")</f>
        <v>1</v>
      </c>
      <c r="I158" s="9">
        <v>1008</v>
      </c>
      <c r="J158" s="10">
        <v>131</v>
      </c>
      <c r="K158" s="10" t="s">
        <v>621</v>
      </c>
      <c r="L158" s="10"/>
      <c r="M158" s="10" t="s">
        <v>622</v>
      </c>
      <c r="N158" s="10" t="s">
        <v>623</v>
      </c>
      <c r="O158" s="10"/>
      <c r="P158" s="10" t="s">
        <v>617</v>
      </c>
      <c r="Q158" s="11" t="s">
        <v>40</v>
      </c>
      <c r="R158" s="10" t="b">
        <v>1</v>
      </c>
      <c r="S158" s="10">
        <v>4</v>
      </c>
      <c r="T158" s="10" t="s">
        <v>36</v>
      </c>
      <c r="U158" s="10"/>
      <c r="V158" s="10"/>
      <c r="W158" s="10"/>
      <c r="X158" s="10"/>
      <c r="Y158" s="10"/>
      <c r="Z158" s="10" t="s">
        <v>618</v>
      </c>
      <c r="AA158" s="10" t="s">
        <v>619</v>
      </c>
      <c r="AB158" s="10" t="s">
        <v>620</v>
      </c>
      <c r="AC158" s="10">
        <v>1</v>
      </c>
      <c r="AD158" s="10"/>
      <c r="AE158" s="10"/>
      <c r="AF158" s="10">
        <v>4</v>
      </c>
    </row>
    <row r="159" spans="2:32" x14ac:dyDescent="0.25">
      <c r="B159" s="4">
        <f>(ROW(tDICT[[#This Row],[Table Name]])-ROW(tDICT[[#Headers],[Table Name]]))*8</f>
        <v>1240</v>
      </c>
      <c r="C159" s="5" t="str">
        <f>pTABLE</f>
        <v>dbo.tbl_D_COMPONENT</v>
      </c>
      <c r="D159" s="6"/>
      <c r="E159" s="7" t="str">
        <f ca="1">IFERROR(REPT("  ", tDICT[[#This Row],[LVL]]-1) &amp; tDICT[[#This Row],[Name]], tDICT[[#This Row],[Name]])</f>
        <v xml:space="preserve">        Medical insurance</v>
      </c>
      <c r="F159" s="8">
        <f ca="1">IF(tDICT[Level Number]="",OFFSET(tDICT[[#This Row],[Level Number]],-1,0),tDICT[Level Number])</f>
        <v>5</v>
      </c>
      <c r="G15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MEDICAL_INSURANCE_AND_REIMBURSEMENT</v>
      </c>
      <c r="H159" s="8" t="str">
        <f ca="1">_xlfn.IFNA(VLOOKUP(tDICT[[#This Row],[Label]],tDICT[Parent Label],1,0)&gt;0,"Leaf")</f>
        <v>Leaf</v>
      </c>
      <c r="I159" s="9">
        <v>156</v>
      </c>
      <c r="J159" s="10">
        <v>1008</v>
      </c>
      <c r="K159" s="10" t="s">
        <v>624</v>
      </c>
      <c r="L159" s="10"/>
      <c r="M159" s="10" t="s">
        <v>625</v>
      </c>
      <c r="N159" s="10" t="s">
        <v>626</v>
      </c>
      <c r="O159" s="10"/>
      <c r="P159" s="10" t="s">
        <v>623</v>
      </c>
      <c r="Q159" s="11" t="s">
        <v>40</v>
      </c>
      <c r="R159" s="10" t="b">
        <v>1</v>
      </c>
      <c r="S159" s="10">
        <v>4</v>
      </c>
      <c r="T159" s="10" t="s">
        <v>36</v>
      </c>
      <c r="U159" s="10"/>
      <c r="V159" s="10"/>
      <c r="W159" s="10"/>
      <c r="X159" s="10"/>
      <c r="Y159" s="10"/>
      <c r="Z159" s="10" t="s">
        <v>618</v>
      </c>
      <c r="AA159" s="10" t="s">
        <v>619</v>
      </c>
      <c r="AB159" s="10" t="s">
        <v>620</v>
      </c>
      <c r="AC159" s="10"/>
      <c r="AD159" s="10" t="s">
        <v>627</v>
      </c>
      <c r="AE159" s="10" t="s">
        <v>628</v>
      </c>
      <c r="AF159" s="10">
        <v>5</v>
      </c>
    </row>
    <row r="160" spans="2:32" x14ac:dyDescent="0.25">
      <c r="B160" s="4">
        <f>(ROW(tDICT[[#This Row],[Table Name]])-ROW(tDICT[[#Headers],[Table Name]]))*8</f>
        <v>1248</v>
      </c>
      <c r="C160" s="5" t="str">
        <f>pTABLE</f>
        <v>dbo.tbl_D_COMPONENT</v>
      </c>
      <c r="D160" s="6"/>
      <c r="E160" s="7" t="str">
        <f ca="1">IFERROR(REPT("  ", tDICT[[#This Row],[LVL]]-1) &amp; tDICT[[#This Row],[Name]], tDICT[[#This Row],[Name]])</f>
        <v xml:space="preserve">        Health Screening Reimbursement</v>
      </c>
      <c r="F160" s="8">
        <f ca="1">IF(tDICT[Level Number]="",OFFSET(tDICT[[#This Row],[Level Number]],-1,0),tDICT[Level Number])</f>
        <v>5</v>
      </c>
      <c r="G16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MEDICAL_INSURANCE_AND_REIMBURSEMENT</v>
      </c>
      <c r="H160" s="8" t="str">
        <f ca="1">_xlfn.IFNA(VLOOKUP(tDICT[[#This Row],[Label]],tDICT[Parent Label],1,0)&gt;0,"Leaf")</f>
        <v>Leaf</v>
      </c>
      <c r="I160" s="9">
        <v>219</v>
      </c>
      <c r="J160" s="10">
        <v>1008</v>
      </c>
      <c r="K160" s="10" t="s">
        <v>629</v>
      </c>
      <c r="L160" s="10"/>
      <c r="M160" s="10" t="s">
        <v>630</v>
      </c>
      <c r="N160" s="10" t="s">
        <v>631</v>
      </c>
      <c r="O160" s="10"/>
      <c r="P160" s="10" t="s">
        <v>623</v>
      </c>
      <c r="Q160" s="11" t="s">
        <v>40</v>
      </c>
      <c r="R160" s="10" t="b">
        <v>1</v>
      </c>
      <c r="S160" s="10">
        <v>4</v>
      </c>
      <c r="T160" s="10" t="s">
        <v>36</v>
      </c>
      <c r="U160" s="10"/>
      <c r="V160" s="10"/>
      <c r="W160" s="10"/>
      <c r="X160" s="10"/>
      <c r="Y160" s="10"/>
      <c r="Z160" s="10" t="s">
        <v>618</v>
      </c>
      <c r="AA160" s="10" t="s">
        <v>619</v>
      </c>
      <c r="AB160" s="10" t="s">
        <v>620</v>
      </c>
      <c r="AC160" s="10"/>
      <c r="AD160" s="10"/>
      <c r="AE160" s="10"/>
      <c r="AF160" s="10">
        <v>5</v>
      </c>
    </row>
    <row r="161" spans="2:32" x14ac:dyDescent="0.25">
      <c r="B161" s="4">
        <f>(ROW(tDICT[[#This Row],[Table Name]])-ROW(tDICT[[#Headers],[Table Name]]))*8</f>
        <v>1256</v>
      </c>
      <c r="C161" s="5" t="str">
        <f>pTABLE</f>
        <v>dbo.tbl_D_COMPONENT</v>
      </c>
      <c r="D161" s="6"/>
      <c r="E161" s="7" t="str">
        <f ca="1">IFERROR(REPT("  ", tDICT[[#This Row],[LVL]]-1) &amp; tDICT[[#This Row],[Name]], tDICT[[#This Row],[Name]])</f>
        <v xml:space="preserve">        GST Reimbursement</v>
      </c>
      <c r="F161" s="8">
        <f ca="1">IF(tDICT[Level Number]="",OFFSET(tDICT[[#This Row],[Level Number]],-1,0),tDICT[Level Number])</f>
        <v>5</v>
      </c>
      <c r="G16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MEDICAL_INSURANCE_AND_REIMBURSEMENT</v>
      </c>
      <c r="H161" s="8" t="str">
        <f ca="1">_xlfn.IFNA(VLOOKUP(tDICT[[#This Row],[Label]],tDICT[Parent Label],1,0)&gt;0,"Leaf")</f>
        <v>Leaf</v>
      </c>
      <c r="I161" s="9">
        <v>220</v>
      </c>
      <c r="J161" s="10">
        <v>1008</v>
      </c>
      <c r="K161" s="10" t="s">
        <v>632</v>
      </c>
      <c r="L161" s="10"/>
      <c r="M161" s="10" t="s">
        <v>633</v>
      </c>
      <c r="N161" s="10" t="s">
        <v>634</v>
      </c>
      <c r="O161" s="10"/>
      <c r="P161" s="10" t="s">
        <v>623</v>
      </c>
      <c r="Q161" s="11" t="s">
        <v>40</v>
      </c>
      <c r="R161" s="10" t="b">
        <v>1</v>
      </c>
      <c r="S161" s="10"/>
      <c r="T161" s="10" t="s">
        <v>36</v>
      </c>
      <c r="U161" s="10"/>
      <c r="V161" s="10"/>
      <c r="W161" s="10"/>
      <c r="X161" s="10"/>
      <c r="Y161" s="10"/>
      <c r="Z161" s="10" t="s">
        <v>618</v>
      </c>
      <c r="AA161" s="10" t="s">
        <v>619</v>
      </c>
      <c r="AB161" s="10" t="s">
        <v>620</v>
      </c>
      <c r="AC161" s="10"/>
      <c r="AD161" s="10"/>
      <c r="AE161" s="10"/>
      <c r="AF161" s="10">
        <v>5</v>
      </c>
    </row>
    <row r="162" spans="2:32" x14ac:dyDescent="0.25">
      <c r="B162" s="4">
        <f>(ROW(tDICT[[#This Row],[Table Name]])-ROW(tDICT[[#Headers],[Table Name]]))*8</f>
        <v>1264</v>
      </c>
      <c r="C162" s="5" t="str">
        <f>pTABLE</f>
        <v>dbo.tbl_D_COMPONENT</v>
      </c>
      <c r="D162" s="6"/>
      <c r="E162" s="7" t="str">
        <f ca="1">IFERROR(REPT("  ", tDICT[[#This Row],[LVL]]-1) &amp; tDICT[[#This Row],[Name]], tDICT[[#This Row],[Name]])</f>
        <v xml:space="preserve">        Cancer Insurance</v>
      </c>
      <c r="F162" s="8">
        <f ca="1">IF(tDICT[Level Number]="",OFFSET(tDICT[[#This Row],[Level Number]],-1,0),tDICT[Level Number])</f>
        <v>5</v>
      </c>
      <c r="G16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MEDICAL_INSURANCE_AND_REIMBURSEMENT</v>
      </c>
      <c r="H162" s="8" t="str">
        <f ca="1">_xlfn.IFNA(VLOOKUP(tDICT[[#This Row],[Label]],tDICT[Parent Label],1,0)&gt;0,"Leaf")</f>
        <v>Leaf</v>
      </c>
      <c r="I162" s="9">
        <v>239</v>
      </c>
      <c r="J162" s="10">
        <v>1008</v>
      </c>
      <c r="K162" s="10" t="s">
        <v>635</v>
      </c>
      <c r="L162" s="10"/>
      <c r="M162" s="10" t="s">
        <v>636</v>
      </c>
      <c r="N162" s="10" t="s">
        <v>637</v>
      </c>
      <c r="O162" s="10"/>
      <c r="P162" s="10" t="s">
        <v>623</v>
      </c>
      <c r="Q162" s="11" t="s">
        <v>40</v>
      </c>
      <c r="R162" s="10" t="b">
        <v>1</v>
      </c>
      <c r="S162" s="10"/>
      <c r="T162" s="10" t="s">
        <v>36</v>
      </c>
      <c r="U162" s="10"/>
      <c r="V162" s="10"/>
      <c r="W162" s="10"/>
      <c r="X162" s="10"/>
      <c r="Y162" s="10"/>
      <c r="Z162" s="10" t="s">
        <v>618</v>
      </c>
      <c r="AA162" s="10" t="s">
        <v>619</v>
      </c>
      <c r="AB162" s="10" t="s">
        <v>620</v>
      </c>
      <c r="AC162" s="10"/>
      <c r="AD162" s="10"/>
      <c r="AE162" s="10"/>
      <c r="AF162" s="10">
        <v>5</v>
      </c>
    </row>
    <row r="163" spans="2:32" x14ac:dyDescent="0.25">
      <c r="B163" s="4">
        <f>(ROW(tDICT[[#This Row],[Table Name]])-ROW(tDICT[[#Headers],[Table Name]]))*8</f>
        <v>1272</v>
      </c>
      <c r="C163" s="5" t="str">
        <f>pTABLE</f>
        <v>dbo.tbl_D_COMPONENT</v>
      </c>
      <c r="D163" s="6"/>
      <c r="E163" s="7" t="str">
        <f ca="1">IFERROR(REPT("  ", tDICT[[#This Row],[LVL]]-1) &amp; tDICT[[#This Row],[Name]], tDICT[[#This Row],[Name]])</f>
        <v xml:space="preserve">      Life and accident insuranсe</v>
      </c>
      <c r="F163" s="8">
        <f ca="1">IF(tDICT[Level Number]="",OFFSET(tDICT[[#This Row],[Level Number]],-1,0),tDICT[Level Number])</f>
        <v>4</v>
      </c>
      <c r="G16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63" s="8" t="b">
        <f ca="1">_xlfn.IFNA(VLOOKUP(tDICT[[#This Row],[Label]],tDICT[Parent Label],1,0)&gt;0,"Leaf")</f>
        <v>1</v>
      </c>
      <c r="I163" s="9">
        <v>157</v>
      </c>
      <c r="J163" s="10">
        <v>131</v>
      </c>
      <c r="K163" s="10" t="s">
        <v>638</v>
      </c>
      <c r="L163" s="10"/>
      <c r="M163" s="10" t="s">
        <v>639</v>
      </c>
      <c r="N163" s="10" t="s">
        <v>640</v>
      </c>
      <c r="O163" s="10"/>
      <c r="P163" s="10" t="s">
        <v>617</v>
      </c>
      <c r="Q163" s="11" t="s">
        <v>40</v>
      </c>
      <c r="R163" s="10" t="b">
        <v>1</v>
      </c>
      <c r="S163" s="10">
        <v>4</v>
      </c>
      <c r="T163" s="10" t="s">
        <v>36</v>
      </c>
      <c r="U163" s="10"/>
      <c r="V163" s="10"/>
      <c r="W163" s="10"/>
      <c r="X163" s="10"/>
      <c r="Y163" s="10"/>
      <c r="Z163" s="10" t="s">
        <v>618</v>
      </c>
      <c r="AA163" s="10" t="s">
        <v>619</v>
      </c>
      <c r="AB163" s="10" t="s">
        <v>620</v>
      </c>
      <c r="AC163" s="10"/>
      <c r="AD163" s="10"/>
      <c r="AE163" s="10"/>
      <c r="AF163" s="10">
        <v>4</v>
      </c>
    </row>
    <row r="164" spans="2:32" x14ac:dyDescent="0.25">
      <c r="B164" s="4">
        <f>(ROW(tDICT[[#This Row],[Table Name]])-ROW(tDICT[[#Headers],[Table Name]]))*8</f>
        <v>1280</v>
      </c>
      <c r="C164" s="5" t="str">
        <f>pTABLE</f>
        <v>dbo.tbl_D_COMPONENT</v>
      </c>
      <c r="D164" s="6"/>
      <c r="E164" s="7" t="str">
        <f ca="1">IFERROR(REPT("  ", tDICT[[#This Row],[LVL]]-1) &amp; tDICT[[#This Row],[Name]], tDICT[[#This Row],[Name]])</f>
        <v xml:space="preserve">        Life Insurance</v>
      </c>
      <c r="F164" s="8">
        <f ca="1">IF(tDICT[Level Number]="",OFFSET(tDICT[[#This Row],[Level Number]],-1,0),tDICT[Level Number])</f>
        <v>5</v>
      </c>
      <c r="G16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LIFE_AND_ACCIDENT_INSURANCE</v>
      </c>
      <c r="H164" s="8" t="str">
        <f ca="1">_xlfn.IFNA(VLOOKUP(tDICT[[#This Row],[Label]],tDICT[Parent Label],1,0)&gt;0,"Leaf")</f>
        <v>Leaf</v>
      </c>
      <c r="I164" s="9">
        <v>240</v>
      </c>
      <c r="J164" s="10">
        <v>157</v>
      </c>
      <c r="K164" s="10" t="s">
        <v>641</v>
      </c>
      <c r="L164" s="10"/>
      <c r="M164" s="10" t="s">
        <v>642</v>
      </c>
      <c r="N164" s="10" t="s">
        <v>643</v>
      </c>
      <c r="O164" s="10"/>
      <c r="P164" s="10" t="s">
        <v>640</v>
      </c>
      <c r="Q164" s="11" t="s">
        <v>40</v>
      </c>
      <c r="R164" s="10" t="b">
        <v>1</v>
      </c>
      <c r="S164" s="10"/>
      <c r="T164" s="10" t="s">
        <v>36</v>
      </c>
      <c r="U164" s="10"/>
      <c r="V164" s="10"/>
      <c r="W164" s="10"/>
      <c r="X164" s="10"/>
      <c r="Y164" s="10"/>
      <c r="Z164" s="10" t="s">
        <v>618</v>
      </c>
      <c r="AA164" s="10" t="s">
        <v>619</v>
      </c>
      <c r="AB164" s="10" t="s">
        <v>620</v>
      </c>
      <c r="AC164" s="10"/>
      <c r="AD164" s="10"/>
      <c r="AE164" s="10"/>
      <c r="AF164" s="10">
        <v>5</v>
      </c>
    </row>
    <row r="165" spans="2:32" x14ac:dyDescent="0.25">
      <c r="B165" s="4">
        <f>(ROW(tDICT[[#This Row],[Table Name]])-ROW(tDICT[[#Headers],[Table Name]]))*8</f>
        <v>1288</v>
      </c>
      <c r="C165" s="5" t="str">
        <f>pTABLE</f>
        <v>dbo.tbl_D_COMPONENT</v>
      </c>
      <c r="D165" s="6"/>
      <c r="E165" s="7" t="str">
        <f ca="1">IFERROR(REPT("  ", tDICT[[#This Row],[LVL]]-1) &amp; tDICT[[#This Row],[Name]], tDICT[[#This Row],[Name]])</f>
        <v xml:space="preserve">        Accident Insurance</v>
      </c>
      <c r="F165" s="8">
        <f ca="1">IF(tDICT[Level Number]="",OFFSET(tDICT[[#This Row],[Level Number]],-1,0),tDICT[Level Number])</f>
        <v>5</v>
      </c>
      <c r="G16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LIFE_AND_ACCIDENT_INSURANCE</v>
      </c>
      <c r="H165" s="8" t="str">
        <f ca="1">_xlfn.IFNA(VLOOKUP(tDICT[[#This Row],[Label]],tDICT[Parent Label],1,0)&gt;0,"Leaf")</f>
        <v>Leaf</v>
      </c>
      <c r="I165" s="9">
        <v>241</v>
      </c>
      <c r="J165" s="10">
        <v>157</v>
      </c>
      <c r="K165" s="10" t="s">
        <v>644</v>
      </c>
      <c r="L165" s="10"/>
      <c r="M165" s="10" t="s">
        <v>645</v>
      </c>
      <c r="N165" s="10" t="s">
        <v>646</v>
      </c>
      <c r="O165" s="10"/>
      <c r="P165" s="10" t="s">
        <v>640</v>
      </c>
      <c r="Q165" s="11" t="s">
        <v>40</v>
      </c>
      <c r="R165" s="10" t="b">
        <v>1</v>
      </c>
      <c r="S165" s="10"/>
      <c r="T165" s="10" t="s">
        <v>36</v>
      </c>
      <c r="U165" s="10"/>
      <c r="V165" s="10"/>
      <c r="W165" s="10"/>
      <c r="X165" s="10"/>
      <c r="Y165" s="10"/>
      <c r="Z165" s="10" t="s">
        <v>618</v>
      </c>
      <c r="AA165" s="10" t="s">
        <v>619</v>
      </c>
      <c r="AB165" s="10" t="s">
        <v>620</v>
      </c>
      <c r="AC165" s="10"/>
      <c r="AD165" s="10"/>
      <c r="AE165" s="10"/>
      <c r="AF165" s="10">
        <v>5</v>
      </c>
    </row>
    <row r="166" spans="2:32" x14ac:dyDescent="0.25">
      <c r="B166" s="4">
        <f>(ROW(tDICT[[#This Row],[Table Name]])-ROW(tDICT[[#Headers],[Table Name]]))*8</f>
        <v>1296</v>
      </c>
      <c r="C166" s="5" t="str">
        <f>pTABLE</f>
        <v>dbo.tbl_D_COMPONENT</v>
      </c>
      <c r="D166" s="6"/>
      <c r="E166" s="7" t="str">
        <f ca="1">IFERROR(REPT("  ", tDICT[[#This Row],[LVL]]-1) &amp; tDICT[[#This Row],[Name]], tDICT[[#This Row],[Name]])</f>
        <v xml:space="preserve">      Health &amp; welfare-State mandated</v>
      </c>
      <c r="F166" s="8">
        <f ca="1">IF(tDICT[Level Number]="",OFFSET(tDICT[[#This Row],[Level Number]],-1,0),tDICT[Level Number])</f>
        <v>4</v>
      </c>
      <c r="G16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66" s="8" t="str">
        <f ca="1">_xlfn.IFNA(VLOOKUP(tDICT[[#This Row],[Label]],tDICT[Parent Label],1,0)&gt;0,"Leaf")</f>
        <v>Leaf</v>
      </c>
      <c r="I166" s="9">
        <v>42143</v>
      </c>
      <c r="J166" s="10"/>
      <c r="K166" s="10" t="s">
        <v>647</v>
      </c>
      <c r="L166" s="10"/>
      <c r="M166" s="10" t="s">
        <v>648</v>
      </c>
      <c r="N166" s="10" t="s">
        <v>649</v>
      </c>
      <c r="O166" s="10"/>
      <c r="P166" s="10"/>
      <c r="Q166" s="11" t="s">
        <v>40</v>
      </c>
      <c r="R166" s="10" t="b">
        <v>1</v>
      </c>
      <c r="S166" s="10"/>
      <c r="T166" s="10" t="s">
        <v>36</v>
      </c>
      <c r="U166" s="10"/>
      <c r="V166" s="10"/>
      <c r="W166" s="10"/>
      <c r="X166" s="10"/>
      <c r="Y166" s="10"/>
      <c r="Z166" s="10" t="s">
        <v>650</v>
      </c>
      <c r="AA166" s="10" t="s">
        <v>649</v>
      </c>
      <c r="AB166" s="10" t="s">
        <v>651</v>
      </c>
      <c r="AC166" s="10">
        <v>1</v>
      </c>
      <c r="AD166" s="10"/>
      <c r="AE166" s="10"/>
      <c r="AF166" s="10">
        <v>4</v>
      </c>
    </row>
    <row r="167" spans="2:32" x14ac:dyDescent="0.25">
      <c r="B167" s="4">
        <f>(ROW(tDICT[[#This Row],[Table Name]])-ROW(tDICT[[#Headers],[Table Name]]))*8</f>
        <v>1304</v>
      </c>
      <c r="C167" s="5" t="str">
        <f>pTABLE</f>
        <v>dbo.tbl_D_COMPONENT</v>
      </c>
      <c r="D167" s="6"/>
      <c r="E167" s="7" t="str">
        <f ca="1">IFERROR(REPT("  ", tDICT[[#This Row],[LVL]]-1) &amp; tDICT[[#This Row],[Name]], tDICT[[#This Row],[Name]])</f>
        <v xml:space="preserve">      Pension plan</v>
      </c>
      <c r="F167" s="8">
        <f ca="1">IF(tDICT[Level Number]="",OFFSET(tDICT[[#This Row],[Level Number]],-1,0),tDICT[Level Number])</f>
        <v>4</v>
      </c>
      <c r="G16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67" s="8" t="str">
        <f ca="1">_xlfn.IFNA(VLOOKUP(tDICT[[#This Row],[Label]],tDICT[Parent Label],1,0)&gt;0,"Leaf")</f>
        <v>Leaf</v>
      </c>
      <c r="I167" s="9">
        <v>158</v>
      </c>
      <c r="J167" s="10">
        <v>131</v>
      </c>
      <c r="K167" s="10" t="s">
        <v>652</v>
      </c>
      <c r="L167" s="10"/>
      <c r="M167" s="10" t="s">
        <v>653</v>
      </c>
      <c r="N167" s="10" t="s">
        <v>654</v>
      </c>
      <c r="O167" s="10"/>
      <c r="P167" s="10" t="s">
        <v>617</v>
      </c>
      <c r="Q167" s="11" t="s">
        <v>40</v>
      </c>
      <c r="R167" s="10" t="b">
        <v>1</v>
      </c>
      <c r="S167" s="10"/>
      <c r="T167" s="10" t="s">
        <v>36</v>
      </c>
      <c r="U167" s="10"/>
      <c r="V167" s="10"/>
      <c r="W167" s="10"/>
      <c r="X167" s="10"/>
      <c r="Y167" s="10"/>
      <c r="Z167" s="10"/>
      <c r="AA167" s="10"/>
      <c r="AB167" s="10"/>
      <c r="AC167" s="10"/>
      <c r="AD167" s="10" t="s">
        <v>655</v>
      </c>
      <c r="AE167" s="10" t="s">
        <v>656</v>
      </c>
      <c r="AF167" s="10">
        <v>4</v>
      </c>
    </row>
    <row r="168" spans="2:32" x14ac:dyDescent="0.25">
      <c r="B168" s="4">
        <f>(ROW(tDICT[[#This Row],[Table Name]])-ROW(tDICT[[#Headers],[Table Name]]))*8</f>
        <v>1312</v>
      </c>
      <c r="C168" s="5" t="str">
        <f>pTABLE</f>
        <v>dbo.tbl_D_COMPONENT</v>
      </c>
      <c r="D168" s="6"/>
      <c r="E168" s="7" t="str">
        <f ca="1">IFERROR(REPT("  ", tDICT[[#This Row],[LVL]]-1) &amp; tDICT[[#This Row],[Name]], tDICT[[#This Row],[Name]])</f>
        <v xml:space="preserve">      Other benefits</v>
      </c>
      <c r="F168" s="8">
        <f ca="1">IF(tDICT[Level Number]="",OFFSET(tDICT[[#This Row],[Level Number]],-1,0),tDICT[Level Number])</f>
        <v>4</v>
      </c>
      <c r="G16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68" s="8" t="str">
        <f ca="1">_xlfn.IFNA(VLOOKUP(tDICT[[#This Row],[Label]],tDICT[Parent Label],1,0)&gt;0,"Leaf")</f>
        <v>Leaf</v>
      </c>
      <c r="I168" s="9">
        <v>159</v>
      </c>
      <c r="J168" s="10">
        <v>131</v>
      </c>
      <c r="K168" s="10" t="s">
        <v>657</v>
      </c>
      <c r="L168" s="10"/>
      <c r="M168" s="10" t="s">
        <v>658</v>
      </c>
      <c r="N168" s="10" t="s">
        <v>659</v>
      </c>
      <c r="O168" s="10"/>
      <c r="P168" s="10" t="s">
        <v>617</v>
      </c>
      <c r="Q168" s="11" t="s">
        <v>40</v>
      </c>
      <c r="R168" s="10" t="b">
        <v>1</v>
      </c>
      <c r="S168" s="10"/>
      <c r="T168" s="10" t="s">
        <v>36</v>
      </c>
      <c r="U168" s="10"/>
      <c r="V168" s="10"/>
      <c r="W168" s="10"/>
      <c r="X168" s="10"/>
      <c r="Y168" s="10"/>
      <c r="Z168" s="10" t="s">
        <v>660</v>
      </c>
      <c r="AA168" s="10" t="s">
        <v>661</v>
      </c>
      <c r="AB168" s="10" t="s">
        <v>662</v>
      </c>
      <c r="AC168" s="10">
        <v>1</v>
      </c>
      <c r="AD168" s="10"/>
      <c r="AE168" s="10"/>
      <c r="AF168" s="10">
        <v>4</v>
      </c>
    </row>
    <row r="169" spans="2:32" x14ac:dyDescent="0.25">
      <c r="B169" s="4">
        <f>(ROW(tDICT[[#This Row],[Table Name]])-ROW(tDICT[[#Headers],[Table Name]]))*8</f>
        <v>1320</v>
      </c>
      <c r="C169" s="5" t="str">
        <f>pTABLE</f>
        <v>dbo.tbl_D_COMPONENT</v>
      </c>
      <c r="D169" s="6"/>
      <c r="E169" s="7" t="str">
        <f ca="1">IFERROR(REPT("  ", tDICT[[#This Row],[LVL]]-1) &amp; tDICT[[#This Row],[Name]], tDICT[[#This Row],[Name]])</f>
        <v xml:space="preserve">      Other benefits State mandated</v>
      </c>
      <c r="F169" s="8">
        <f ca="1">IF(tDICT[Level Number]="",OFFSET(tDICT[[#This Row],[Level Number]],-1,0),tDICT[Level Number])</f>
        <v>4</v>
      </c>
      <c r="G16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69" s="8" t="str">
        <f ca="1">_xlfn.IFNA(VLOOKUP(tDICT[[#This Row],[Label]],tDICT[Parent Label],1,0)&gt;0,"Leaf")</f>
        <v>Leaf</v>
      </c>
      <c r="I169" s="9">
        <v>42140</v>
      </c>
      <c r="J169" s="10"/>
      <c r="K169" s="10" t="s">
        <v>663</v>
      </c>
      <c r="L169" s="10"/>
      <c r="M169" s="10" t="s">
        <v>664</v>
      </c>
      <c r="N169" s="10" t="s">
        <v>665</v>
      </c>
      <c r="O169" s="10"/>
      <c r="P169" s="10"/>
      <c r="Q169" s="11" t="s">
        <v>40</v>
      </c>
      <c r="R169" s="10" t="b">
        <v>1</v>
      </c>
      <c r="S169" s="10"/>
      <c r="T169" s="10" t="s">
        <v>36</v>
      </c>
      <c r="U169" s="10"/>
      <c r="V169" s="10"/>
      <c r="W169" s="10"/>
      <c r="X169" s="10"/>
      <c r="Y169" s="10"/>
      <c r="Z169" s="10" t="s">
        <v>666</v>
      </c>
      <c r="AA169" s="10" t="s">
        <v>667</v>
      </c>
      <c r="AB169" s="10" t="s">
        <v>668</v>
      </c>
      <c r="AC169" s="10">
        <v>1</v>
      </c>
      <c r="AD169" s="10"/>
      <c r="AE169" s="10"/>
      <c r="AF169" s="10">
        <v>4</v>
      </c>
    </row>
    <row r="170" spans="2:32" x14ac:dyDescent="0.25">
      <c r="B170" s="4">
        <f>(ROW(tDICT[[#This Row],[Table Name]])-ROW(tDICT[[#Headers],[Table Name]]))*8</f>
        <v>1328</v>
      </c>
      <c r="C170" s="5" t="str">
        <f>pTABLE</f>
        <v>dbo.tbl_D_COMPONENT</v>
      </c>
      <c r="D170" s="6"/>
      <c r="E170" s="7" t="str">
        <f ca="1">IFERROR(REPT("  ", tDICT[[#This Row],[LVL]]-1) &amp; tDICT[[#This Row],[Name]], tDICT[[#This Row],[Name]])</f>
        <v xml:space="preserve">    Total Vacation Pay</v>
      </c>
      <c r="F170" s="8">
        <f ca="1">IF(tDICT[Level Number]="",OFFSET(tDICT[[#This Row],[Level Number]],-1,0),tDICT[Level Number])</f>
        <v>3</v>
      </c>
      <c r="G17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70" s="8" t="str">
        <f ca="1">_xlfn.IFNA(VLOOKUP(tDICT[[#This Row],[Label]],tDICT[Parent Label],1,0)&gt;0,"Leaf")</f>
        <v>Leaf</v>
      </c>
      <c r="I170" s="9">
        <v>132</v>
      </c>
      <c r="J170" s="10">
        <v>1</v>
      </c>
      <c r="K170" s="10" t="s">
        <v>669</v>
      </c>
      <c r="L170" s="10"/>
      <c r="M170" s="10" t="s">
        <v>670</v>
      </c>
      <c r="N170" s="10" t="s">
        <v>671</v>
      </c>
      <c r="O170" s="10"/>
      <c r="P170" s="10" t="s">
        <v>39</v>
      </c>
      <c r="Q170" s="11" t="s">
        <v>40</v>
      </c>
      <c r="R170" s="10" t="b">
        <v>1</v>
      </c>
      <c r="S170" s="10"/>
      <c r="T170" s="10" t="s">
        <v>36</v>
      </c>
      <c r="U170" s="10"/>
      <c r="V170" s="10"/>
      <c r="W170" s="10"/>
      <c r="X170" s="10"/>
      <c r="Y170" s="10"/>
      <c r="Z170" s="10" t="s">
        <v>672</v>
      </c>
      <c r="AA170" s="10" t="s">
        <v>673</v>
      </c>
      <c r="AB170" s="10" t="s">
        <v>674</v>
      </c>
      <c r="AC170" s="10">
        <v>1</v>
      </c>
      <c r="AD170" s="10" t="s">
        <v>675</v>
      </c>
      <c r="AE170" s="10" t="s">
        <v>676</v>
      </c>
      <c r="AF170" s="10">
        <v>3</v>
      </c>
    </row>
    <row r="171" spans="2:32" x14ac:dyDescent="0.25">
      <c r="B171" s="4">
        <f>(ROW(tDICT[[#This Row],[Table Name]])-ROW(tDICT[[#Headers],[Table Name]]))*8</f>
        <v>1336</v>
      </c>
      <c r="C171" s="5" t="str">
        <f>pTABLE</f>
        <v>dbo.tbl_D_COMPONENT</v>
      </c>
      <c r="D171" s="6"/>
      <c r="E171" s="7" t="str">
        <f ca="1">IFERROR(REPT("  ", tDICT[[#This Row],[LVL]]-1) &amp; tDICT[[#This Row],[Name]], tDICT[[#This Row],[Name]])</f>
        <v xml:space="preserve">    Total Other</v>
      </c>
      <c r="F171" s="8">
        <f ca="1">IF(tDICT[Level Number]="",OFFSET(tDICT[[#This Row],[Level Number]],-1,0),tDICT[Level Number])</f>
        <v>3</v>
      </c>
      <c r="G17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71" s="8" t="b">
        <f ca="1">_xlfn.IFNA(VLOOKUP(tDICT[[#This Row],[Label]],tDICT[Parent Label],1,0)&gt;0,"Leaf")</f>
        <v>1</v>
      </c>
      <c r="I171" s="9">
        <v>35</v>
      </c>
      <c r="J171" s="10">
        <v>1</v>
      </c>
      <c r="K171" s="10" t="s">
        <v>677</v>
      </c>
      <c r="L171" s="10"/>
      <c r="M171" s="10" t="s">
        <v>678</v>
      </c>
      <c r="N171" s="10" t="s">
        <v>679</v>
      </c>
      <c r="O171" s="10"/>
      <c r="P171" s="10" t="s">
        <v>39</v>
      </c>
      <c r="Q171" s="11" t="s">
        <v>40</v>
      </c>
      <c r="R171" s="10" t="b">
        <v>1</v>
      </c>
      <c r="S171" s="10"/>
      <c r="T171" s="10" t="s">
        <v>36</v>
      </c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>
        <v>3</v>
      </c>
    </row>
    <row r="172" spans="2:32" x14ac:dyDescent="0.25">
      <c r="B172" s="4">
        <f>(ROW(tDICT[[#This Row],[Table Name]])-ROW(tDICT[[#Headers],[Table Name]]))*8</f>
        <v>1344</v>
      </c>
      <c r="C172" s="5" t="str">
        <f>pTABLE</f>
        <v>dbo.tbl_D_COMPONENT</v>
      </c>
      <c r="D172" s="6"/>
      <c r="E172" s="7" t="str">
        <f ca="1">IFERROR(REPT("  ", tDICT[[#This Row],[LVL]]-1) &amp; tDICT[[#This Row],[Name]], tDICT[[#This Row],[Name]])</f>
        <v xml:space="preserve">      Living Allowance_x000D_
</v>
      </c>
      <c r="F172" s="8">
        <f ca="1">IF(tDICT[Level Number]="",OFFSET(tDICT[[#This Row],[Level Number]],-1,0),tDICT[Level Number])</f>
        <v>4</v>
      </c>
      <c r="G17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</v>
      </c>
      <c r="H172" s="8" t="str">
        <f ca="1">_xlfn.IFNA(VLOOKUP(tDICT[[#This Row],[Label]],tDICT[Parent Label],1,0)&gt;0,"Leaf")</f>
        <v>Leaf</v>
      </c>
      <c r="I172" s="9">
        <v>36</v>
      </c>
      <c r="J172" s="10">
        <v>35</v>
      </c>
      <c r="K172" s="10" t="s">
        <v>680</v>
      </c>
      <c r="L172" s="10"/>
      <c r="M172" s="10" t="s">
        <v>681</v>
      </c>
      <c r="N172" s="10" t="s">
        <v>682</v>
      </c>
      <c r="O172" s="10"/>
      <c r="P172" s="10" t="s">
        <v>679</v>
      </c>
      <c r="Q172" s="11" t="s">
        <v>40</v>
      </c>
      <c r="R172" s="10" t="b">
        <v>1</v>
      </c>
      <c r="S172" s="10"/>
      <c r="T172" s="10" t="s">
        <v>36</v>
      </c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>
        <v>4</v>
      </c>
    </row>
    <row r="173" spans="2:32" x14ac:dyDescent="0.25">
      <c r="B173" s="4">
        <f>(ROW(tDICT[[#This Row],[Table Name]])-ROW(tDICT[[#Headers],[Table Name]]))*8</f>
        <v>1352</v>
      </c>
      <c r="C173" s="5" t="str">
        <f>pTABLE</f>
        <v>dbo.tbl_D_COMPONENT</v>
      </c>
      <c r="D173" s="6"/>
      <c r="E173" s="7" t="str">
        <f ca="1">IFERROR(REPT("  ", tDICT[[#This Row],[LVL]]-1) &amp; tDICT[[#This Row],[Name]], tDICT[[#This Row],[Name]])</f>
        <v xml:space="preserve">      Car Allowance_x000D_
</v>
      </c>
      <c r="F173" s="8">
        <f ca="1">IF(tDICT[Level Number]="",OFFSET(tDICT[[#This Row],[Level Number]],-1,0),tDICT[Level Number])</f>
        <v>4</v>
      </c>
      <c r="G17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</v>
      </c>
      <c r="H173" s="8" t="str">
        <f ca="1">_xlfn.IFNA(VLOOKUP(tDICT[[#This Row],[Label]],tDICT[Parent Label],1,0)&gt;0,"Leaf")</f>
        <v>Leaf</v>
      </c>
      <c r="I173" s="9">
        <v>37</v>
      </c>
      <c r="J173" s="10">
        <v>35</v>
      </c>
      <c r="K173" s="10" t="s">
        <v>683</v>
      </c>
      <c r="L173" s="10"/>
      <c r="M173" s="10" t="s">
        <v>684</v>
      </c>
      <c r="N173" s="10" t="s">
        <v>685</v>
      </c>
      <c r="O173" s="10"/>
      <c r="P173" s="10" t="s">
        <v>679</v>
      </c>
      <c r="Q173" s="11" t="s">
        <v>40</v>
      </c>
      <c r="R173" s="10" t="b">
        <v>1</v>
      </c>
      <c r="S173" s="10"/>
      <c r="T173" s="10" t="s">
        <v>36</v>
      </c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>
        <v>4</v>
      </c>
    </row>
    <row r="174" spans="2:32" x14ac:dyDescent="0.25">
      <c r="B174" s="4">
        <f>(ROW(tDICT[[#This Row],[Table Name]])-ROW(tDICT[[#Headers],[Table Name]]))*8</f>
        <v>1360</v>
      </c>
      <c r="C174" s="5" t="str">
        <f>pTABLE</f>
        <v>dbo.tbl_D_COMPONENT</v>
      </c>
      <c r="D174" s="6"/>
      <c r="E174" s="7" t="str">
        <f ca="1">IFERROR(REPT("  ", tDICT[[#This Row],[LVL]]-1) &amp; tDICT[[#This Row],[Name]], tDICT[[#This Row],[Name]])</f>
        <v xml:space="preserve">      Other Allowance Element_x000D_
</v>
      </c>
      <c r="F174" s="8">
        <f ca="1">IF(tDICT[Level Number]="",OFFSET(tDICT[[#This Row],[Level Number]],-1,0),tDICT[Level Number])</f>
        <v>4</v>
      </c>
      <c r="G17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</v>
      </c>
      <c r="H174" s="8" t="str">
        <f ca="1">_xlfn.IFNA(VLOOKUP(tDICT[[#This Row],[Label]],tDICT[Parent Label],1,0)&gt;0,"Leaf")</f>
        <v>Leaf</v>
      </c>
      <c r="I174" s="9">
        <v>38</v>
      </c>
      <c r="J174" s="10">
        <v>35</v>
      </c>
      <c r="K174" s="10" t="s">
        <v>686</v>
      </c>
      <c r="L174" s="10"/>
      <c r="M174" s="10" t="s">
        <v>687</v>
      </c>
      <c r="N174" s="10" t="s">
        <v>688</v>
      </c>
      <c r="O174" s="10"/>
      <c r="P174" s="10" t="s">
        <v>679</v>
      </c>
      <c r="Q174" s="11" t="s">
        <v>40</v>
      </c>
      <c r="R174" s="10" t="b">
        <v>1</v>
      </c>
      <c r="S174" s="10"/>
      <c r="T174" s="10" t="s">
        <v>36</v>
      </c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>
        <v>4</v>
      </c>
    </row>
    <row r="175" spans="2:32" x14ac:dyDescent="0.25">
      <c r="B175" s="4">
        <f>(ROW(tDICT[[#This Row],[Table Name]])-ROW(tDICT[[#Headers],[Table Name]]))*8</f>
        <v>1368</v>
      </c>
      <c r="C175" s="5" t="str">
        <f>pTABLE</f>
        <v>dbo.tbl_D_COMPONENT</v>
      </c>
      <c r="D175" s="6"/>
      <c r="E175" s="7" t="str">
        <f ca="1">IFERROR(REPT("  ", tDICT[[#This Row],[LVL]]-1) &amp; tDICT[[#This Row],[Name]], tDICT[[#This Row],[Name]])</f>
        <v xml:space="preserve">      Severance</v>
      </c>
      <c r="F175" s="8">
        <f ca="1">IF(tDICT[Level Number]="",OFFSET(tDICT[[#This Row],[Level Number]],-1,0),tDICT[Level Number])</f>
        <v>4</v>
      </c>
      <c r="G17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</v>
      </c>
      <c r="H175" s="8" t="str">
        <f ca="1">_xlfn.IFNA(VLOOKUP(tDICT[[#This Row],[Label]],tDICT[Parent Label],1,0)&gt;0,"Leaf")</f>
        <v>Leaf</v>
      </c>
      <c r="I175" s="9">
        <v>200</v>
      </c>
      <c r="J175" s="10">
        <v>35</v>
      </c>
      <c r="K175" s="10" t="s">
        <v>689</v>
      </c>
      <c r="L175" s="10"/>
      <c r="M175" s="10" t="s">
        <v>690</v>
      </c>
      <c r="N175" s="10" t="s">
        <v>691</v>
      </c>
      <c r="O175" s="10"/>
      <c r="P175" s="10" t="s">
        <v>679</v>
      </c>
      <c r="Q175" s="11" t="s">
        <v>40</v>
      </c>
      <c r="R175" s="10" t="b">
        <v>1</v>
      </c>
      <c r="S175" s="10"/>
      <c r="T175" s="10" t="s">
        <v>36</v>
      </c>
      <c r="U175" s="10"/>
      <c r="V175" s="10"/>
      <c r="W175" s="10"/>
      <c r="X175" s="10"/>
      <c r="Y175" s="10"/>
      <c r="Z175" s="10" t="s">
        <v>692</v>
      </c>
      <c r="AA175" s="10" t="s">
        <v>693</v>
      </c>
      <c r="AB175" s="10" t="s">
        <v>694</v>
      </c>
      <c r="AC175" s="10">
        <v>1</v>
      </c>
      <c r="AD175" s="10" t="s">
        <v>695</v>
      </c>
      <c r="AE175" s="10" t="s">
        <v>696</v>
      </c>
      <c r="AF175" s="10">
        <v>4</v>
      </c>
    </row>
    <row r="176" spans="2:32" x14ac:dyDescent="0.25">
      <c r="B176" s="4">
        <f>(ROW(tDICT[[#This Row],[Table Name]])-ROW(tDICT[[#Headers],[Table Name]]))*8</f>
        <v>1376</v>
      </c>
      <c r="C176" s="5" t="str">
        <f>pTABLE</f>
        <v>dbo.tbl_D_COMPONENT</v>
      </c>
      <c r="D176" s="6"/>
      <c r="E176" s="7" t="str">
        <f ca="1">IFERROR(REPT("  ", tDICT[[#This Row],[LVL]]-1) &amp; tDICT[[#This Row],[Name]], tDICT[[#This Row],[Name]])</f>
        <v xml:space="preserve">      BoD Payment</v>
      </c>
      <c r="F176" s="8">
        <f ca="1">IF(tDICT[Level Number]="",OFFSET(tDICT[[#This Row],[Level Number]],-1,0),tDICT[Level Number])</f>
        <v>4</v>
      </c>
      <c r="G17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</v>
      </c>
      <c r="H176" s="8" t="str">
        <f ca="1">_xlfn.IFNA(VLOOKUP(tDICT[[#This Row],[Label]],tDICT[Parent Label],1,0)&gt;0,"Leaf")</f>
        <v>Leaf</v>
      </c>
      <c r="I176" s="9">
        <v>201</v>
      </c>
      <c r="J176" s="10">
        <v>35</v>
      </c>
      <c r="K176" s="10" t="s">
        <v>697</v>
      </c>
      <c r="L176" s="10"/>
      <c r="M176" s="10" t="s">
        <v>698</v>
      </c>
      <c r="N176" s="10" t="s">
        <v>699</v>
      </c>
      <c r="O176" s="10"/>
      <c r="P176" s="10" t="s">
        <v>679</v>
      </c>
      <c r="Q176" s="11" t="s">
        <v>40</v>
      </c>
      <c r="R176" s="10" t="b">
        <v>1</v>
      </c>
      <c r="S176" s="10"/>
      <c r="T176" s="10" t="s">
        <v>36</v>
      </c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>
        <v>4</v>
      </c>
    </row>
    <row r="177" spans="2:32" x14ac:dyDescent="0.25">
      <c r="B177" s="4">
        <f>(ROW(tDICT[[#This Row],[Table Name]])-ROW(tDICT[[#Headers],[Table Name]]))*8</f>
        <v>1384</v>
      </c>
      <c r="C177" s="5" t="str">
        <f>pTABLE</f>
        <v>dbo.tbl_D_COMPONENT</v>
      </c>
      <c r="D177" s="6"/>
      <c r="E177" s="7" t="str">
        <f ca="1">IFERROR(REPT("  ", tDICT[[#This Row],[LVL]]-1) &amp; tDICT[[#This Row],[Name]], tDICT[[#This Row],[Name]])</f>
        <v xml:space="preserve">      Transfer</v>
      </c>
      <c r="F177" s="8">
        <f ca="1">IF(tDICT[Level Number]="",OFFSET(tDICT[[#This Row],[Level Number]],-1,0),tDICT[Level Number])</f>
        <v>4</v>
      </c>
      <c r="G17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</v>
      </c>
      <c r="H177" s="8" t="str">
        <f ca="1">_xlfn.IFNA(VLOOKUP(tDICT[[#This Row],[Label]],tDICT[Parent Label],1,0)&gt;0,"Leaf")</f>
        <v>Leaf</v>
      </c>
      <c r="I177" s="9">
        <v>203</v>
      </c>
      <c r="J177" s="10">
        <v>35</v>
      </c>
      <c r="K177" s="10" t="s">
        <v>700</v>
      </c>
      <c r="L177" s="10"/>
      <c r="M177" s="10" t="s">
        <v>701</v>
      </c>
      <c r="N177" s="10" t="s">
        <v>702</v>
      </c>
      <c r="O177" s="10"/>
      <c r="P177" s="10" t="s">
        <v>679</v>
      </c>
      <c r="Q177" s="11" t="s">
        <v>40</v>
      </c>
      <c r="R177" s="10" t="b">
        <v>1</v>
      </c>
      <c r="S177" s="10"/>
      <c r="T177" s="10" t="s">
        <v>36</v>
      </c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>
        <v>4</v>
      </c>
    </row>
    <row r="178" spans="2:32" x14ac:dyDescent="0.25">
      <c r="B178" s="4">
        <f>(ROW(tDICT[[#This Row],[Table Name]])-ROW(tDICT[[#Headers],[Table Name]]))*8</f>
        <v>1392</v>
      </c>
      <c r="C178" s="5" t="str">
        <f>pTABLE</f>
        <v>dbo.tbl_D_COMPONENT</v>
      </c>
      <c r="D178" s="6"/>
      <c r="E178" s="7" t="str">
        <f ca="1">IFERROR(REPT("  ", tDICT[[#This Row],[LVL]]-1) &amp; tDICT[[#This Row],[Name]], tDICT[[#This Row],[Name]])</f>
        <v xml:space="preserve">      Sign-ons</v>
      </c>
      <c r="F178" s="8">
        <f ca="1">IF(tDICT[Level Number]="",OFFSET(tDICT[[#This Row],[Level Number]],-1,0),tDICT[Level Number])</f>
        <v>4</v>
      </c>
      <c r="G17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</v>
      </c>
      <c r="H178" s="8" t="str">
        <f ca="1">_xlfn.IFNA(VLOOKUP(tDICT[[#This Row],[Label]],tDICT[Parent Label],1,0)&gt;0,"Leaf")</f>
        <v>Leaf</v>
      </c>
      <c r="I178" s="9">
        <v>204</v>
      </c>
      <c r="J178" s="10">
        <v>35</v>
      </c>
      <c r="K178" s="10" t="s">
        <v>703</v>
      </c>
      <c r="L178" s="10"/>
      <c r="M178" s="10" t="s">
        <v>704</v>
      </c>
      <c r="N178" s="10" t="s">
        <v>705</v>
      </c>
      <c r="O178" s="10"/>
      <c r="P178" s="10" t="s">
        <v>679</v>
      </c>
      <c r="Q178" s="11" t="s">
        <v>40</v>
      </c>
      <c r="R178" s="10" t="b">
        <v>1</v>
      </c>
      <c r="S178" s="10"/>
      <c r="T178" s="10" t="s">
        <v>36</v>
      </c>
      <c r="U178" s="10"/>
      <c r="V178" s="10"/>
      <c r="W178" s="10"/>
      <c r="X178" s="10"/>
      <c r="Y178" s="10"/>
      <c r="Z178" s="10" t="s">
        <v>706</v>
      </c>
      <c r="AA178" s="10" t="s">
        <v>707</v>
      </c>
      <c r="AB178" s="10" t="s">
        <v>708</v>
      </c>
      <c r="AC178" s="10">
        <v>1</v>
      </c>
      <c r="AD178" s="10"/>
      <c r="AE178" s="10"/>
      <c r="AF178" s="10">
        <v>4</v>
      </c>
    </row>
    <row r="179" spans="2:32" x14ac:dyDescent="0.25">
      <c r="B179" s="4">
        <f>(ROW(tDICT[[#This Row],[Table Name]])-ROW(tDICT[[#Headers],[Table Name]]))*8</f>
        <v>1400</v>
      </c>
      <c r="C179" s="5" t="str">
        <f>pTABLE</f>
        <v>dbo.tbl_D_COMPONENT</v>
      </c>
      <c r="D179" s="6"/>
      <c r="E179" s="7" t="str">
        <f ca="1">IFERROR(REPT("  ", tDICT[[#This Row],[LVL]]-1) &amp; tDICT[[#This Row],[Name]], tDICT[[#This Row],[Name]])</f>
        <v xml:space="preserve">      LoD Compensation</v>
      </c>
      <c r="F179" s="8">
        <f ca="1">IF(tDICT[Level Number]="",OFFSET(tDICT[[#This Row],[Level Number]],-1,0),tDICT[Level Number])</f>
        <v>4</v>
      </c>
      <c r="G17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</v>
      </c>
      <c r="H179" s="8" t="str">
        <f ca="1">_xlfn.IFNA(VLOOKUP(tDICT[[#This Row],[Label]],tDICT[Parent Label],1,0)&gt;0,"Leaf")</f>
        <v>Leaf</v>
      </c>
      <c r="I179" s="9">
        <v>225</v>
      </c>
      <c r="J179" s="10">
        <v>35</v>
      </c>
      <c r="K179" s="10" t="s">
        <v>709</v>
      </c>
      <c r="L179" s="10"/>
      <c r="M179" s="10" t="s">
        <v>710</v>
      </c>
      <c r="N179" s="10" t="s">
        <v>711</v>
      </c>
      <c r="O179" s="10"/>
      <c r="P179" s="10" t="s">
        <v>679</v>
      </c>
      <c r="Q179" s="11" t="s">
        <v>40</v>
      </c>
      <c r="R179" s="10" t="b">
        <v>1</v>
      </c>
      <c r="S179" s="10"/>
      <c r="T179" s="10" t="s">
        <v>36</v>
      </c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>
        <v>4</v>
      </c>
    </row>
    <row r="180" spans="2:32" x14ac:dyDescent="0.25">
      <c r="B180" s="4">
        <f>(ROW(tDICT[[#This Row],[Table Name]])-ROW(tDICT[[#Headers],[Table Name]]))*8</f>
        <v>1408</v>
      </c>
      <c r="C180" s="5" t="str">
        <f>pTABLE</f>
        <v>dbo.tbl_D_COMPONENT</v>
      </c>
      <c r="D180" s="6"/>
      <c r="E180" s="7" t="str">
        <f ca="1">IFERROR(REPT("  ", tDICT[[#This Row],[LVL]]-1) &amp; tDICT[[#This Row],[Name]], tDICT[[#This Row],[Name]])</f>
        <v xml:space="preserve">      Total Social Expenses</v>
      </c>
      <c r="F180" s="8">
        <f ca="1">IF(tDICT[Level Number]="",OFFSET(tDICT[[#This Row],[Level Number]],-1,0),tDICT[Level Number])</f>
        <v>4</v>
      </c>
      <c r="G18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TOTAL_OTHER</v>
      </c>
      <c r="H180" s="8" t="b">
        <f ca="1">_xlfn.IFNA(VLOOKUP(tDICT[[#This Row],[Label]],tDICT[Parent Label],1,0)&gt;0,"Leaf")</f>
        <v>1</v>
      </c>
      <c r="I180" s="9">
        <v>223</v>
      </c>
      <c r="J180" s="10">
        <v>35</v>
      </c>
      <c r="K180" s="10" t="s">
        <v>677</v>
      </c>
      <c r="L180" s="10"/>
      <c r="M180" s="10" t="s">
        <v>712</v>
      </c>
      <c r="N180" s="10" t="s">
        <v>713</v>
      </c>
      <c r="O180" s="10"/>
      <c r="P180" s="10" t="s">
        <v>679</v>
      </c>
      <c r="Q180" s="11" t="s">
        <v>40</v>
      </c>
      <c r="R180" s="10" t="b">
        <v>1</v>
      </c>
      <c r="S180" s="10"/>
      <c r="T180" s="10" t="s">
        <v>36</v>
      </c>
      <c r="U180" s="10"/>
      <c r="V180" s="10"/>
      <c r="W180" s="10"/>
      <c r="X180" s="10"/>
      <c r="Y180" s="10"/>
      <c r="Z180" s="10"/>
      <c r="AA180" s="10"/>
      <c r="AB180" s="10"/>
      <c r="AC180" s="10"/>
      <c r="AD180" s="10" t="s">
        <v>714</v>
      </c>
      <c r="AE180" s="10" t="s">
        <v>715</v>
      </c>
      <c r="AF180" s="10">
        <v>4</v>
      </c>
    </row>
    <row r="181" spans="2:32" x14ac:dyDescent="0.25">
      <c r="B181" s="4">
        <f>(ROW(tDICT[[#This Row],[Table Name]])-ROW(tDICT[[#Headers],[Table Name]]))*8</f>
        <v>1416</v>
      </c>
      <c r="C181" s="5" t="str">
        <f>pTABLE</f>
        <v>dbo.tbl_D_COMPONENT</v>
      </c>
      <c r="D181" s="6"/>
      <c r="E181" s="7" t="str">
        <f ca="1">IFERROR(REPT("  ", tDICT[[#This Row],[LVL]]-1) &amp; tDICT[[#This Row],[Name]], tDICT[[#This Row],[Name]])</f>
        <v xml:space="preserve">        Material aid</v>
      </c>
      <c r="F181" s="8">
        <f ca="1">IF(tDICT[Level Number]="",OFFSET(tDICT[[#This Row],[Level Number]],-1,0),tDICT[Level Number])</f>
        <v>5</v>
      </c>
      <c r="G18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TOTAL_SOCIAL_EXPENSES</v>
      </c>
      <c r="H181" s="8" t="str">
        <f ca="1">_xlfn.IFNA(VLOOKUP(tDICT[[#This Row],[Label]],tDICT[Parent Label],1,0)&gt;0,"Leaf")</f>
        <v>Leaf</v>
      </c>
      <c r="I181" s="9">
        <v>202</v>
      </c>
      <c r="J181" s="10">
        <v>223</v>
      </c>
      <c r="K181" s="10" t="s">
        <v>716</v>
      </c>
      <c r="L181" s="10"/>
      <c r="M181" s="10" t="s">
        <v>717</v>
      </c>
      <c r="N181" s="10" t="s">
        <v>718</v>
      </c>
      <c r="O181" s="10"/>
      <c r="P181" s="10" t="s">
        <v>713</v>
      </c>
      <c r="Q181" s="11" t="s">
        <v>40</v>
      </c>
      <c r="R181" s="10" t="b">
        <v>1</v>
      </c>
      <c r="S181" s="10"/>
      <c r="T181" s="10" t="s">
        <v>36</v>
      </c>
      <c r="U181" s="10"/>
      <c r="V181" s="10"/>
      <c r="W181" s="10"/>
      <c r="X181" s="10"/>
      <c r="Y181" s="10"/>
      <c r="Z181" s="10"/>
      <c r="AA181" s="10"/>
      <c r="AB181" s="10"/>
      <c r="AC181" s="10"/>
      <c r="AD181" s="10" t="s">
        <v>719</v>
      </c>
      <c r="AE181" s="10" t="s">
        <v>720</v>
      </c>
      <c r="AF181" s="10">
        <v>5</v>
      </c>
    </row>
    <row r="182" spans="2:32" x14ac:dyDescent="0.25">
      <c r="B182" s="4">
        <f>(ROW(tDICT[[#This Row],[Table Name]])-ROW(tDICT[[#Headers],[Table Name]]))*8</f>
        <v>1424</v>
      </c>
      <c r="C182" s="5" t="str">
        <f>pTABLE</f>
        <v>dbo.tbl_D_COMPONENT</v>
      </c>
      <c r="D182" s="6"/>
      <c r="E182" s="7" t="str">
        <f ca="1">IFERROR(REPT("  ", tDICT[[#This Row],[LVL]]-1) &amp; tDICT[[#This Row],[Name]], tDICT[[#This Row],[Name]])</f>
        <v xml:space="preserve">        Social Expense</v>
      </c>
      <c r="F182" s="8">
        <f ca="1">IF(tDICT[Level Number]="",OFFSET(tDICT[[#This Row],[Level Number]],-1,0),tDICT[Level Number])</f>
        <v>5</v>
      </c>
      <c r="G18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TOTAL_SOCIAL_EXPENSES</v>
      </c>
      <c r="H182" s="8" t="str">
        <f ca="1">_xlfn.IFNA(VLOOKUP(tDICT[[#This Row],[Label]],tDICT[Parent Label],1,0)&gt;0,"Leaf")</f>
        <v>Leaf</v>
      </c>
      <c r="I182" s="9">
        <v>224</v>
      </c>
      <c r="J182" s="10">
        <v>223</v>
      </c>
      <c r="K182" s="10" t="s">
        <v>721</v>
      </c>
      <c r="L182" s="10"/>
      <c r="M182" s="10" t="s">
        <v>722</v>
      </c>
      <c r="N182" s="10" t="s">
        <v>723</v>
      </c>
      <c r="O182" s="10"/>
      <c r="P182" s="10" t="s">
        <v>713</v>
      </c>
      <c r="Q182" s="11" t="s">
        <v>40</v>
      </c>
      <c r="R182" s="10" t="b">
        <v>1</v>
      </c>
      <c r="S182" s="10"/>
      <c r="T182" s="10" t="s">
        <v>36</v>
      </c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>
        <v>5</v>
      </c>
    </row>
    <row r="183" spans="2:32" x14ac:dyDescent="0.25">
      <c r="B183" s="4">
        <f>(ROW(tDICT[[#This Row],[Table Name]])-ROW(tDICT[[#Headers],[Table Name]]))*8</f>
        <v>1432</v>
      </c>
      <c r="C183" s="5" t="str">
        <f>pTABLE</f>
        <v>dbo.tbl_D_COMPONENT</v>
      </c>
      <c r="D183" s="6"/>
      <c r="E183" s="7" t="str">
        <f ca="1">IFERROR(REPT("  ", tDICT[[#This Row],[LVL]]-1) &amp; tDICT[[#This Row],[Name]], tDICT[[#This Row],[Name]])</f>
        <v xml:space="preserve">  Demography</v>
      </c>
      <c r="F183" s="8">
        <f ca="1">IF(tDICT[Level Number]="",OFFSET(tDICT[[#This Row],[Level Number]],-1,0),tDICT[Level Number])</f>
        <v>2</v>
      </c>
      <c r="G18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83" s="8" t="b">
        <f ca="1">_xlfn.IFNA(VLOOKUP(tDICT[[#This Row],[Label]],tDICT[Parent Label],1,0)&gt;0,"Leaf")</f>
        <v>1</v>
      </c>
      <c r="I183" s="9">
        <v>138</v>
      </c>
      <c r="J183" s="10">
        <v>10001</v>
      </c>
      <c r="K183" s="10" t="s">
        <v>724</v>
      </c>
      <c r="L183" s="10"/>
      <c r="M183" s="10" t="s">
        <v>725</v>
      </c>
      <c r="N183" s="10" t="s">
        <v>726</v>
      </c>
      <c r="O183" s="10"/>
      <c r="P183" s="10" t="s">
        <v>33</v>
      </c>
      <c r="Q183" s="11" t="s">
        <v>726</v>
      </c>
      <c r="R183" s="10" t="b">
        <v>0</v>
      </c>
      <c r="S183" s="10"/>
      <c r="T183" s="10" t="s">
        <v>36</v>
      </c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>
        <v>2</v>
      </c>
    </row>
    <row r="184" spans="2:32" x14ac:dyDescent="0.25">
      <c r="B184" s="4">
        <f>(ROW(tDICT[[#This Row],[Table Name]])-ROW(tDICT[[#Headers],[Table Name]]))*8</f>
        <v>1440</v>
      </c>
      <c r="C184" s="5" t="str">
        <f>pTABLE</f>
        <v>dbo.tbl_D_COMPONENT</v>
      </c>
      <c r="D184" s="6"/>
      <c r="E184" s="7" t="str">
        <f ca="1">IFERROR(REPT("  ", tDICT[[#This Row],[LVL]]-1) &amp; tDICT[[#This Row],[Name]], tDICT[[#This Row],[Name]])</f>
        <v xml:space="preserve">    Headcount</v>
      </c>
      <c r="F184" s="8">
        <f ca="1">IF(tDICT[Level Number]="",OFFSET(tDICT[[#This Row],[Level Number]],-1,0),tDICT[Level Number])</f>
        <v>3</v>
      </c>
      <c r="G18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DEMOGRAPHY</v>
      </c>
      <c r="H184" s="8" t="b">
        <f ca="1">_xlfn.IFNA(VLOOKUP(tDICT[[#This Row],[Label]],tDICT[Parent Label],1,0)&gt;0,"Leaf")</f>
        <v>1</v>
      </c>
      <c r="I184" s="9">
        <v>135</v>
      </c>
      <c r="J184" s="10">
        <v>138</v>
      </c>
      <c r="K184" s="10" t="s">
        <v>727</v>
      </c>
      <c r="L184" s="10"/>
      <c r="M184" s="10" t="s">
        <v>728</v>
      </c>
      <c r="N184" s="10" t="s">
        <v>729</v>
      </c>
      <c r="O184" s="10"/>
      <c r="P184" s="10" t="s">
        <v>726</v>
      </c>
      <c r="Q184" s="11" t="s">
        <v>726</v>
      </c>
      <c r="R184" s="10" t="b">
        <v>0</v>
      </c>
      <c r="S184" s="10"/>
      <c r="T184" s="10" t="s">
        <v>36</v>
      </c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>
        <v>3</v>
      </c>
    </row>
    <row r="185" spans="2:32" x14ac:dyDescent="0.25">
      <c r="B185" s="4">
        <f>(ROW(tDICT[[#This Row],[Table Name]])-ROW(tDICT[[#Headers],[Table Name]]))*8</f>
        <v>1448</v>
      </c>
      <c r="C185" s="5" t="str">
        <f>pTABLE</f>
        <v>dbo.tbl_D_COMPONENT</v>
      </c>
      <c r="D185" s="6"/>
      <c r="E185" s="7" t="str">
        <f ca="1">IFERROR(REPT("  ", tDICT[[#This Row],[LVL]]-1) &amp; tDICT[[#This Row],[Name]], tDICT[[#This Row],[Name]])</f>
        <v xml:space="preserve">      Headcount (Employees)</v>
      </c>
      <c r="F185" s="8">
        <f ca="1">IF(tDICT[Level Number]="",OFFSET(tDICT[[#This Row],[Level Number]],-1,0),tDICT[Level Number])</f>
        <v>4</v>
      </c>
      <c r="G18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HEADCOUNT</v>
      </c>
      <c r="H185" s="8" t="str">
        <f ca="1">_xlfn.IFNA(VLOOKUP(tDICT[[#This Row],[Label]],tDICT[Parent Label],1,0)&gt;0,"Leaf")</f>
        <v>Leaf</v>
      </c>
      <c r="I185" s="9">
        <v>1135</v>
      </c>
      <c r="J185" s="10">
        <v>135</v>
      </c>
      <c r="K185" s="10" t="s">
        <v>730</v>
      </c>
      <c r="L185" s="10"/>
      <c r="M185" s="10" t="s">
        <v>730</v>
      </c>
      <c r="N185" s="10" t="s">
        <v>731</v>
      </c>
      <c r="O185" s="10"/>
      <c r="P185" s="10" t="s">
        <v>726</v>
      </c>
      <c r="Q185" s="11" t="s">
        <v>726</v>
      </c>
      <c r="R185" s="10" t="b">
        <v>0</v>
      </c>
      <c r="S185" s="10"/>
      <c r="T185" s="10" t="s">
        <v>36</v>
      </c>
      <c r="U185" s="10"/>
      <c r="V185" s="10"/>
      <c r="W185" s="10"/>
      <c r="X185" s="10"/>
      <c r="Y185" s="10"/>
      <c r="Z185" s="10" t="s">
        <v>732</v>
      </c>
      <c r="AA185" s="10" t="s">
        <v>729</v>
      </c>
      <c r="AB185" s="10" t="s">
        <v>733</v>
      </c>
      <c r="AC185" s="10">
        <v>1</v>
      </c>
      <c r="AD185" s="10" t="s">
        <v>734</v>
      </c>
      <c r="AE185" s="10" t="s">
        <v>728</v>
      </c>
      <c r="AF185" s="10">
        <v>4</v>
      </c>
    </row>
    <row r="186" spans="2:32" x14ac:dyDescent="0.25">
      <c r="B186" s="4">
        <f>(ROW(tDICT[[#This Row],[Table Name]])-ROW(tDICT[[#Headers],[Table Name]]))*8</f>
        <v>1456</v>
      </c>
      <c r="C186" s="5" t="str">
        <f>pTABLE</f>
        <v>dbo.tbl_D_COMPONENT</v>
      </c>
      <c r="D186" s="6"/>
      <c r="E186" s="7" t="str">
        <f ca="1">IFERROR(REPT("  ", tDICT[[#This Row],[LVL]]-1) &amp; tDICT[[#This Row],[Name]], tDICT[[#This Row],[Name]])</f>
        <v xml:space="preserve">      Headcount (Vacancies)</v>
      </c>
      <c r="F186" s="8">
        <f ca="1">IF(tDICT[Level Number]="",OFFSET(tDICT[[#This Row],[Level Number]],-1,0),tDICT[Level Number])</f>
        <v>4</v>
      </c>
      <c r="G18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HEADCOUNT</v>
      </c>
      <c r="H186" s="8" t="str">
        <f ca="1">_xlfn.IFNA(VLOOKUP(tDICT[[#This Row],[Label]],tDICT[Parent Label],1,0)&gt;0,"Leaf")</f>
        <v>Leaf</v>
      </c>
      <c r="I186" s="9">
        <v>4135</v>
      </c>
      <c r="J186" s="10">
        <v>135</v>
      </c>
      <c r="K186" s="10" t="s">
        <v>735</v>
      </c>
      <c r="L186" s="10"/>
      <c r="M186" s="10" t="s">
        <v>735</v>
      </c>
      <c r="N186" s="10" t="s">
        <v>736</v>
      </c>
      <c r="O186" s="10"/>
      <c r="P186" s="10" t="s">
        <v>726</v>
      </c>
      <c r="Q186" s="11" t="s">
        <v>726</v>
      </c>
      <c r="R186" s="10" t="b">
        <v>0</v>
      </c>
      <c r="S186" s="10"/>
      <c r="T186" s="10" t="s">
        <v>36</v>
      </c>
      <c r="U186" s="10"/>
      <c r="V186" s="10"/>
      <c r="W186" s="10"/>
      <c r="X186" s="10"/>
      <c r="Y186" s="10"/>
      <c r="Z186" s="10" t="s">
        <v>737</v>
      </c>
      <c r="AA186" s="10" t="s">
        <v>729</v>
      </c>
      <c r="AB186" s="10" t="s">
        <v>738</v>
      </c>
      <c r="AC186" s="10">
        <v>1</v>
      </c>
      <c r="AD186" s="10"/>
      <c r="AE186" s="10"/>
      <c r="AF186" s="10">
        <v>4</v>
      </c>
    </row>
    <row r="187" spans="2:32" x14ac:dyDescent="0.25">
      <c r="B187" s="4">
        <f>(ROW(tDICT[[#This Row],[Table Name]])-ROW(tDICT[[#Headers],[Table Name]]))*8</f>
        <v>1464</v>
      </c>
      <c r="C187" s="5" t="str">
        <f>pTABLE</f>
        <v>dbo.tbl_D_COMPONENT</v>
      </c>
      <c r="D187" s="6"/>
      <c r="E187" s="7" t="str">
        <f ca="1">IFERROR(REPT("  ", tDICT[[#This Row],[LVL]]-1) &amp; tDICT[[#This Row],[Name]], tDICT[[#This Row],[Name]])</f>
        <v xml:space="preserve">    MSU</v>
      </c>
      <c r="F187" s="8">
        <f ca="1">IF(tDICT[Level Number]="",OFFSET(tDICT[[#This Row],[Level Number]],-1,0),tDICT[Level Number])</f>
        <v>3</v>
      </c>
      <c r="G18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87" s="8" t="b">
        <f ca="1">_xlfn.IFNA(VLOOKUP(tDICT[[#This Row],[Label]],tDICT[Parent Label],1,0)&gt;0,"Leaf")</f>
        <v>1</v>
      </c>
      <c r="I187" s="9">
        <v>137</v>
      </c>
      <c r="J187" s="10">
        <v>138</v>
      </c>
      <c r="K187" s="10" t="s">
        <v>739</v>
      </c>
      <c r="L187" s="10"/>
      <c r="M187" s="10" t="s">
        <v>739</v>
      </c>
      <c r="N187" s="10" t="s">
        <v>739</v>
      </c>
      <c r="O187" s="10"/>
      <c r="P187" s="10" t="s">
        <v>726</v>
      </c>
      <c r="Q187" s="11" t="s">
        <v>726</v>
      </c>
      <c r="R187" s="10" t="b">
        <v>0</v>
      </c>
      <c r="S187" s="10"/>
      <c r="T187" s="10" t="s">
        <v>36</v>
      </c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>
        <v>3</v>
      </c>
    </row>
    <row r="188" spans="2:32" x14ac:dyDescent="0.25">
      <c r="B188" s="4">
        <f>(ROW(tDICT[[#This Row],[Table Name]])-ROW(tDICT[[#Headers],[Table Name]]))*8</f>
        <v>1472</v>
      </c>
      <c r="C188" s="5" t="str">
        <f>pTABLE</f>
        <v>dbo.tbl_D_COMPONENT</v>
      </c>
      <c r="D188" s="6"/>
      <c r="E188" s="7" t="str">
        <f ca="1">IFERROR(REPT("  ", tDICT[[#This Row],[LVL]]-1) &amp; tDICT[[#This Row],[Name]], tDICT[[#This Row],[Name]])</f>
        <v xml:space="preserve">      MSU (Employees)</v>
      </c>
      <c r="F188" s="8">
        <f ca="1">IF(tDICT[Level Number]="",OFFSET(tDICT[[#This Row],[Level Number]],-1,0),tDICT[Level Number])</f>
        <v>4</v>
      </c>
      <c r="G18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MSU</v>
      </c>
      <c r="H188" s="8" t="str">
        <f ca="1">_xlfn.IFNA(VLOOKUP(tDICT[[#This Row],[Label]],tDICT[Parent Label],1,0)&gt;0,"Leaf")</f>
        <v>Leaf</v>
      </c>
      <c r="I188" s="9">
        <v>1137</v>
      </c>
      <c r="J188" s="10">
        <v>137</v>
      </c>
      <c r="K188" s="10" t="s">
        <v>740</v>
      </c>
      <c r="L188" s="10"/>
      <c r="M188" s="10" t="s">
        <v>740</v>
      </c>
      <c r="N188" s="10" t="s">
        <v>741</v>
      </c>
      <c r="O188" s="10"/>
      <c r="P188" s="10" t="s">
        <v>726</v>
      </c>
      <c r="Q188" s="11" t="s">
        <v>726</v>
      </c>
      <c r="R188" s="10" t="b">
        <v>0</v>
      </c>
      <c r="S188" s="10"/>
      <c r="T188" s="10" t="s">
        <v>36</v>
      </c>
      <c r="U188" s="10"/>
      <c r="V188" s="10"/>
      <c r="W188" s="10"/>
      <c r="X188" s="10"/>
      <c r="Y188" s="10"/>
      <c r="Z188" s="10" t="s">
        <v>742</v>
      </c>
      <c r="AA188" s="10" t="s">
        <v>739</v>
      </c>
      <c r="AB188" s="10" t="s">
        <v>743</v>
      </c>
      <c r="AC188" s="10">
        <v>1</v>
      </c>
      <c r="AD188" s="10"/>
      <c r="AE188" s="10"/>
      <c r="AF188" s="10">
        <v>4</v>
      </c>
    </row>
    <row r="189" spans="2:32" x14ac:dyDescent="0.25">
      <c r="B189" s="4">
        <f>(ROW(tDICT[[#This Row],[Table Name]])-ROW(tDICT[[#Headers],[Table Name]]))*8</f>
        <v>1480</v>
      </c>
      <c r="C189" s="5" t="str">
        <f>pTABLE</f>
        <v>dbo.tbl_D_COMPONENT</v>
      </c>
      <c r="D189" s="6"/>
      <c r="E189" s="7" t="str">
        <f ca="1">IFERROR(REPT("  ", tDICT[[#This Row],[LVL]]-1) &amp; tDICT[[#This Row],[Name]], tDICT[[#This Row],[Name]])</f>
        <v xml:space="preserve">      MSU (Vacancies)</v>
      </c>
      <c r="F189" s="8">
        <f ca="1">IF(tDICT[Level Number]="",OFFSET(tDICT[[#This Row],[Level Number]],-1,0),tDICT[Level Number])</f>
        <v>4</v>
      </c>
      <c r="G18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MSU</v>
      </c>
      <c r="H189" s="8" t="str">
        <f ca="1">_xlfn.IFNA(VLOOKUP(tDICT[[#This Row],[Label]],tDICT[Parent Label],1,0)&gt;0,"Leaf")</f>
        <v>Leaf</v>
      </c>
      <c r="I189" s="9">
        <v>4137</v>
      </c>
      <c r="J189" s="10">
        <v>137</v>
      </c>
      <c r="K189" s="10" t="s">
        <v>744</v>
      </c>
      <c r="L189" s="10"/>
      <c r="M189" s="10" t="s">
        <v>744</v>
      </c>
      <c r="N189" s="10" t="s">
        <v>745</v>
      </c>
      <c r="O189" s="10"/>
      <c r="P189" s="10" t="s">
        <v>726</v>
      </c>
      <c r="Q189" s="11" t="s">
        <v>726</v>
      </c>
      <c r="R189" s="10" t="b">
        <v>0</v>
      </c>
      <c r="S189" s="10"/>
      <c r="T189" s="10" t="s">
        <v>36</v>
      </c>
      <c r="U189" s="10"/>
      <c r="V189" s="10"/>
      <c r="W189" s="10"/>
      <c r="X189" s="10"/>
      <c r="Y189" s="10"/>
      <c r="Z189" s="10" t="s">
        <v>746</v>
      </c>
      <c r="AA189" s="10" t="s">
        <v>739</v>
      </c>
      <c r="AB189" s="10" t="s">
        <v>747</v>
      </c>
      <c r="AC189" s="10">
        <v>1</v>
      </c>
      <c r="AD189" s="10"/>
      <c r="AE189" s="10"/>
      <c r="AF189" s="10">
        <v>4</v>
      </c>
    </row>
    <row r="190" spans="2:32" x14ac:dyDescent="0.25">
      <c r="B190" s="4">
        <f>(ROW(tDICT[[#This Row],[Table Name]])-ROW(tDICT[[#Headers],[Table Name]]))*8</f>
        <v>1488</v>
      </c>
      <c r="C190" s="5" t="str">
        <f>pTABLE</f>
        <v>dbo.tbl_D_COMPONENT</v>
      </c>
      <c r="D190" s="6"/>
      <c r="E190" s="7" t="str">
        <f ca="1">IFERROR(REPT("  ", tDICT[[#This Row],[LVL]]-1) &amp; tDICT[[#This Row],[Name]], tDICT[[#This Row],[Name]])</f>
        <v xml:space="preserve">    MSU based on Salary</v>
      </c>
      <c r="F190" s="8">
        <f ca="1">IF(tDICT[Level Number]="",OFFSET(tDICT[[#This Row],[Level Number]],-1,0),tDICT[Level Number])</f>
        <v>3</v>
      </c>
      <c r="G19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90" s="8" t="b">
        <f ca="1">_xlfn.IFNA(VLOOKUP(tDICT[[#This Row],[Label]],tDICT[Parent Label],1,0)&gt;0,"Leaf")</f>
        <v>1</v>
      </c>
      <c r="I190" s="9">
        <v>2137</v>
      </c>
      <c r="J190" s="10">
        <v>138</v>
      </c>
      <c r="K190" s="10" t="s">
        <v>748</v>
      </c>
      <c r="L190" s="10"/>
      <c r="M190" s="10" t="s">
        <v>749</v>
      </c>
      <c r="N190" s="10" t="s">
        <v>750</v>
      </c>
      <c r="O190" s="10"/>
      <c r="P190" s="10" t="s">
        <v>726</v>
      </c>
      <c r="Q190" s="11" t="s">
        <v>726</v>
      </c>
      <c r="R190" s="10" t="b">
        <v>0</v>
      </c>
      <c r="S190" s="10"/>
      <c r="T190" s="10" t="s">
        <v>36</v>
      </c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>
        <v>3</v>
      </c>
    </row>
    <row r="191" spans="2:32" x14ac:dyDescent="0.25">
      <c r="B191" s="4">
        <f>(ROW(tDICT[[#This Row],[Table Name]])-ROW(tDICT[[#Headers],[Table Name]]))*8</f>
        <v>1496</v>
      </c>
      <c r="C191" s="5" t="str">
        <f>pTABLE</f>
        <v>dbo.tbl_D_COMPONENT</v>
      </c>
      <c r="D191" s="6"/>
      <c r="E191" s="7" t="str">
        <f ca="1">IFERROR(REPT("  ", tDICT[[#This Row],[LVL]]-1) &amp; tDICT[[#This Row],[Name]], tDICT[[#This Row],[Name]])</f>
        <v xml:space="preserve">      MSU based on Salary (Employees)</v>
      </c>
      <c r="F191" s="8">
        <f ca="1">IF(tDICT[Level Number]="",OFFSET(tDICT[[#This Row],[Level Number]],-1,0),tDICT[Level Number])</f>
        <v>4</v>
      </c>
      <c r="G19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MSU_Salary</v>
      </c>
      <c r="H191" s="8" t="str">
        <f ca="1">_xlfn.IFNA(VLOOKUP(tDICT[[#This Row],[Label]],tDICT[Parent Label],1,0)&gt;0,"Leaf")</f>
        <v>Leaf</v>
      </c>
      <c r="I191" s="9">
        <v>12137</v>
      </c>
      <c r="J191" s="10">
        <v>2137</v>
      </c>
      <c r="K191" s="10" t="s">
        <v>751</v>
      </c>
      <c r="L191" s="10"/>
      <c r="M191" s="10" t="s">
        <v>751</v>
      </c>
      <c r="N191" s="10" t="s">
        <v>752</v>
      </c>
      <c r="O191" s="10"/>
      <c r="P191" s="10" t="s">
        <v>726</v>
      </c>
      <c r="Q191" s="11" t="s">
        <v>726</v>
      </c>
      <c r="R191" s="10" t="b">
        <v>0</v>
      </c>
      <c r="S191" s="10"/>
      <c r="T191" s="10" t="s">
        <v>36</v>
      </c>
      <c r="U191" s="10"/>
      <c r="V191" s="10"/>
      <c r="W191" s="10"/>
      <c r="X191" s="10"/>
      <c r="Y191" s="10"/>
      <c r="Z191" s="10" t="s">
        <v>753</v>
      </c>
      <c r="AA191" s="10" t="s">
        <v>739</v>
      </c>
      <c r="AB191" s="10" t="s">
        <v>754</v>
      </c>
      <c r="AC191" s="10">
        <v>1</v>
      </c>
      <c r="AD191" s="10"/>
      <c r="AE191" s="10"/>
      <c r="AF191" s="10">
        <v>4</v>
      </c>
    </row>
    <row r="192" spans="2:32" x14ac:dyDescent="0.25">
      <c r="B192" s="4">
        <f>(ROW(tDICT[[#This Row],[Table Name]])-ROW(tDICT[[#Headers],[Table Name]]))*8</f>
        <v>1504</v>
      </c>
      <c r="C192" s="5" t="str">
        <f>pTABLE</f>
        <v>dbo.tbl_D_COMPONENT</v>
      </c>
      <c r="D192" s="6"/>
      <c r="E192" s="7" t="str">
        <f ca="1">IFERROR(REPT("  ", tDICT[[#This Row],[LVL]]-1) &amp; tDICT[[#This Row],[Name]], tDICT[[#This Row],[Name]])</f>
        <v xml:space="preserve">      MSU based on Salary Uplift (Employees)</v>
      </c>
      <c r="F192" s="8">
        <f ca="1">IF(tDICT[Level Number]="",OFFSET(tDICT[[#This Row],[Level Number]],-1,0),tDICT[Level Number])</f>
        <v>4</v>
      </c>
      <c r="G19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MSU_Salary</v>
      </c>
      <c r="H192" s="8" t="str">
        <f ca="1">_xlfn.IFNA(VLOOKUP(tDICT[[#This Row],[Label]],tDICT[Parent Label],1,0)&gt;0,"Leaf")</f>
        <v>Leaf</v>
      </c>
      <c r="I192" s="9">
        <v>121371</v>
      </c>
      <c r="J192" s="10">
        <v>138</v>
      </c>
      <c r="K192" s="10" t="s">
        <v>755</v>
      </c>
      <c r="L192" s="10"/>
      <c r="M192" s="10" t="s">
        <v>755</v>
      </c>
      <c r="N192" s="10" t="s">
        <v>756</v>
      </c>
      <c r="O192" s="10"/>
      <c r="P192" s="10" t="s">
        <v>726</v>
      </c>
      <c r="Q192" s="11" t="s">
        <v>726</v>
      </c>
      <c r="R192" s="10" t="b">
        <v>0</v>
      </c>
      <c r="S192" s="10"/>
      <c r="T192" s="10" t="s">
        <v>36</v>
      </c>
      <c r="U192" s="10"/>
      <c r="V192" s="10"/>
      <c r="W192" s="10"/>
      <c r="X192" s="10"/>
      <c r="Y192" s="10"/>
      <c r="Z192" s="10" t="s">
        <v>753</v>
      </c>
      <c r="AA192" s="10" t="s">
        <v>739</v>
      </c>
      <c r="AB192" s="10" t="s">
        <v>754</v>
      </c>
      <c r="AC192" s="10">
        <v>1</v>
      </c>
      <c r="AD192" s="10"/>
      <c r="AE192" s="10"/>
      <c r="AF192" s="10">
        <v>4</v>
      </c>
    </row>
    <row r="193" spans="2:32" x14ac:dyDescent="0.25">
      <c r="B193" s="4">
        <f>(ROW(tDICT[[#This Row],[Table Name]])-ROW(tDICT[[#Headers],[Table Name]]))*8</f>
        <v>1512</v>
      </c>
      <c r="C193" s="5" t="str">
        <f>pTABLE</f>
        <v>dbo.tbl_D_COMPONENT</v>
      </c>
      <c r="D193" s="6"/>
      <c r="E193" s="7" t="str">
        <f ca="1">IFERROR(REPT("  ", tDICT[[#This Row],[LVL]]-1) &amp; tDICT[[#This Row],[Name]], tDICT[[#This Row],[Name]])</f>
        <v xml:space="preserve">      MSU based on Salary (Vacancies)</v>
      </c>
      <c r="F193" s="8">
        <f ca="1">IF(tDICT[Level Number]="",OFFSET(tDICT[[#This Row],[Level Number]],-1,0),tDICT[Level Number])</f>
        <v>4</v>
      </c>
      <c r="G19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MSU_Salary</v>
      </c>
      <c r="H193" s="8" t="str">
        <f ca="1">_xlfn.IFNA(VLOOKUP(tDICT[[#This Row],[Label]],tDICT[Parent Label],1,0)&gt;0,"Leaf")</f>
        <v>Leaf</v>
      </c>
      <c r="I193" s="9">
        <v>42137</v>
      </c>
      <c r="J193" s="10">
        <v>2137</v>
      </c>
      <c r="K193" s="10" t="s">
        <v>757</v>
      </c>
      <c r="L193" s="10"/>
      <c r="M193" s="10" t="s">
        <v>757</v>
      </c>
      <c r="N193" s="10" t="s">
        <v>758</v>
      </c>
      <c r="O193" s="10"/>
      <c r="P193" s="10" t="s">
        <v>726</v>
      </c>
      <c r="Q193" s="11" t="s">
        <v>726</v>
      </c>
      <c r="R193" s="10" t="b">
        <v>0</v>
      </c>
      <c r="S193" s="10"/>
      <c r="T193" s="10" t="s">
        <v>36</v>
      </c>
      <c r="U193" s="10"/>
      <c r="V193" s="10"/>
      <c r="W193" s="10"/>
      <c r="X193" s="10"/>
      <c r="Y193" s="10"/>
      <c r="Z193" s="10" t="s">
        <v>759</v>
      </c>
      <c r="AA193" s="10" t="s">
        <v>739</v>
      </c>
      <c r="AB193" s="10" t="s">
        <v>760</v>
      </c>
      <c r="AC193" s="10">
        <v>1</v>
      </c>
      <c r="AD193" s="10"/>
      <c r="AE193" s="10"/>
      <c r="AF193" s="10">
        <v>4</v>
      </c>
    </row>
    <row r="194" spans="2:32" x14ac:dyDescent="0.25">
      <c r="B194" s="4">
        <f>(ROW(tDICT[[#This Row],[Table Name]])-ROW(tDICT[[#Headers],[Table Name]]))*8</f>
        <v>1520</v>
      </c>
      <c r="C194" s="5" t="str">
        <f>pTABLE</f>
        <v>dbo.tbl_D_COMPONENT</v>
      </c>
      <c r="D194" s="6"/>
      <c r="E194" s="7" t="str">
        <f ca="1">IFERROR(REPT("  ", tDICT[[#This Row],[LVL]]-1) &amp; tDICT[[#This Row],[Name]], tDICT[[#This Row],[Name]])</f>
        <v xml:space="preserve">    Active Headcount</v>
      </c>
      <c r="F194" s="8">
        <f ca="1">IF(tDICT[Level Number]="",OFFSET(tDICT[[#This Row],[Level Number]],-1,0),tDICT[Level Number])</f>
        <v>3</v>
      </c>
      <c r="G19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94" s="8" t="str">
        <f ca="1">_xlfn.IFNA(VLOOKUP(tDICT[[#This Row],[Label]],tDICT[Parent Label],1,0)&gt;0,"Leaf")</f>
        <v>Leaf</v>
      </c>
      <c r="I194" s="9">
        <v>248</v>
      </c>
      <c r="J194" s="10">
        <v>138</v>
      </c>
      <c r="K194" s="10" t="s">
        <v>761</v>
      </c>
      <c r="L194" s="10"/>
      <c r="M194" s="10" t="s">
        <v>762</v>
      </c>
      <c r="N194" s="10" t="s">
        <v>763</v>
      </c>
      <c r="O194" s="10"/>
      <c r="P194" s="10" t="s">
        <v>726</v>
      </c>
      <c r="Q194" s="11" t="s">
        <v>726</v>
      </c>
      <c r="R194" s="10" t="b">
        <v>0</v>
      </c>
      <c r="S194" s="10"/>
      <c r="T194" s="10" t="s">
        <v>36</v>
      </c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>
        <v>3</v>
      </c>
    </row>
    <row r="195" spans="2:32" x14ac:dyDescent="0.25">
      <c r="B195" s="4">
        <f>(ROW(tDICT[[#This Row],[Table Name]])-ROW(tDICT[[#Headers],[Table Name]]))*8</f>
        <v>1528</v>
      </c>
      <c r="C195" s="5" t="str">
        <f>pTABLE</f>
        <v>dbo.tbl_D_COMPONENT</v>
      </c>
      <c r="D195" s="6"/>
      <c r="E195" s="7" t="str">
        <f ca="1">IFERROR(REPT("  ", tDICT[[#This Row],[LVL]]-1) &amp; tDICT[[#This Row],[Name]], tDICT[[#This Row],[Name]])</f>
        <v xml:space="preserve">    FTE</v>
      </c>
      <c r="F195" s="8">
        <f ca="1">IF(tDICT[Level Number]="",OFFSET(tDICT[[#This Row],[Level Number]],-1,0),tDICT[Level Number])</f>
        <v>3</v>
      </c>
      <c r="G19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95" s="8" t="str">
        <f ca="1">_xlfn.IFNA(VLOOKUP(tDICT[[#This Row],[Label]],tDICT[Parent Label],1,0)&gt;0,"Leaf")</f>
        <v>Leaf</v>
      </c>
      <c r="I195" s="9">
        <v>136</v>
      </c>
      <c r="J195" s="10">
        <v>138</v>
      </c>
      <c r="K195" s="10" t="s">
        <v>764</v>
      </c>
      <c r="L195" s="10"/>
      <c r="M195" s="10" t="s">
        <v>764</v>
      </c>
      <c r="N195" s="10" t="s">
        <v>764</v>
      </c>
      <c r="O195" s="10"/>
      <c r="P195" s="10" t="s">
        <v>726</v>
      </c>
      <c r="Q195" s="11" t="s">
        <v>726</v>
      </c>
      <c r="R195" s="10" t="b">
        <v>0</v>
      </c>
      <c r="S195" s="10"/>
      <c r="T195" s="10" t="s">
        <v>36</v>
      </c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>
        <v>3</v>
      </c>
    </row>
    <row r="196" spans="2:32" x14ac:dyDescent="0.25">
      <c r="B196" s="4">
        <f>(ROW(tDICT[[#This Row],[Table Name]])-ROW(tDICT[[#Headers],[Table Name]]))*8</f>
        <v>1536</v>
      </c>
      <c r="C196" s="5" t="str">
        <f>pTABLE</f>
        <v>dbo.tbl_D_COMPONENT</v>
      </c>
      <c r="D196" s="6"/>
      <c r="E196" s="7" t="str">
        <f ca="1">IFERROR(REPT("  ", tDICT[[#This Row],[LVL]]-1) &amp; tDICT[[#This Row],[Name]], tDICT[[#This Row],[Name]])</f>
        <v xml:space="preserve">    Staff number</v>
      </c>
      <c r="F196" s="8">
        <f ca="1">IF(tDICT[Level Number]="",OFFSET(tDICT[[#This Row],[Level Number]],-1,0),tDICT[Level Number])</f>
        <v>3</v>
      </c>
      <c r="G19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96" s="8" t="str">
        <f ca="1">_xlfn.IFNA(VLOOKUP(tDICT[[#This Row],[Label]],tDICT[Parent Label],1,0)&gt;0,"Leaf")</f>
        <v>Leaf</v>
      </c>
      <c r="I196" s="9">
        <v>233</v>
      </c>
      <c r="J196" s="10">
        <v>138</v>
      </c>
      <c r="K196" s="10" t="s">
        <v>765</v>
      </c>
      <c r="L196" s="10"/>
      <c r="M196" s="10" t="s">
        <v>765</v>
      </c>
      <c r="N196" s="10" t="s">
        <v>766</v>
      </c>
      <c r="O196" s="10" t="s">
        <v>767</v>
      </c>
      <c r="P196" s="10" t="s">
        <v>726</v>
      </c>
      <c r="Q196" s="11" t="s">
        <v>726</v>
      </c>
      <c r="R196" s="10" t="b">
        <v>0</v>
      </c>
      <c r="S196" s="10"/>
      <c r="T196" s="10" t="s">
        <v>36</v>
      </c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>
        <v>3</v>
      </c>
    </row>
    <row r="197" spans="2:32" x14ac:dyDescent="0.25">
      <c r="B197" s="4">
        <f>(ROW(tDICT[[#This Row],[Table Name]])-ROW(tDICT[[#Headers],[Table Name]]))*8</f>
        <v>1544</v>
      </c>
      <c r="C197" s="5" t="str">
        <f>pTABLE</f>
        <v>dbo.tbl_D_COMPONENT</v>
      </c>
      <c r="D197" s="6"/>
      <c r="E197" s="7" t="str">
        <f ca="1">IFERROR(REPT("  ", tDICT[[#This Row],[LVL]]-1) &amp; tDICT[[#This Row],[Name]], tDICT[[#This Row],[Name]])</f>
        <v xml:space="preserve">    Actual staff number</v>
      </c>
      <c r="F197" s="8">
        <f ca="1">IF(tDICT[Level Number]="",OFFSET(tDICT[[#This Row],[Level Number]],-1,0),tDICT[Level Number])</f>
        <v>3</v>
      </c>
      <c r="G19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97" s="8" t="str">
        <f ca="1">_xlfn.IFNA(VLOOKUP(tDICT[[#This Row],[Label]],tDICT[Parent Label],1,0)&gt;0,"Leaf")</f>
        <v>Leaf</v>
      </c>
      <c r="I197" s="9">
        <v>234</v>
      </c>
      <c r="J197" s="10">
        <v>138</v>
      </c>
      <c r="K197" s="10" t="s">
        <v>768</v>
      </c>
      <c r="L197" s="10"/>
      <c r="M197" s="10" t="s">
        <v>768</v>
      </c>
      <c r="N197" s="10" t="s">
        <v>769</v>
      </c>
      <c r="O197" s="10" t="s">
        <v>770</v>
      </c>
      <c r="P197" s="10" t="s">
        <v>726</v>
      </c>
      <c r="Q197" s="11" t="s">
        <v>726</v>
      </c>
      <c r="R197" s="10" t="b">
        <v>0</v>
      </c>
      <c r="S197" s="10"/>
      <c r="T197" s="10" t="s">
        <v>36</v>
      </c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>
        <v>3</v>
      </c>
    </row>
    <row r="198" spans="2:32" x14ac:dyDescent="0.25">
      <c r="B198" s="4">
        <f>(ROW(tDICT[[#This Row],[Table Name]])-ROW(tDICT[[#Headers],[Table Name]]))*8</f>
        <v>1552</v>
      </c>
      <c r="C198" s="5" t="str">
        <f>pTABLE</f>
        <v>dbo.tbl_D_COMPONENT</v>
      </c>
      <c r="D198" s="6"/>
      <c r="E198" s="7" t="str">
        <f ca="1">IFERROR(REPT("  ", tDICT[[#This Row],[LVL]]-1) &amp; tDICT[[#This Row],[Name]], tDICT[[#This Row],[Name]])</f>
        <v xml:space="preserve">    Average staff number</v>
      </c>
      <c r="F198" s="8">
        <f ca="1">IF(tDICT[Level Number]="",OFFSET(tDICT[[#This Row],[Level Number]],-1,0),tDICT[Level Number])</f>
        <v>3</v>
      </c>
      <c r="G19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98" s="8" t="str">
        <f ca="1">_xlfn.IFNA(VLOOKUP(tDICT[[#This Row],[Label]],tDICT[Parent Label],1,0)&gt;0,"Leaf")</f>
        <v>Leaf</v>
      </c>
      <c r="I198" s="9">
        <v>235</v>
      </c>
      <c r="J198" s="10">
        <v>138</v>
      </c>
      <c r="K198" s="10" t="s">
        <v>771</v>
      </c>
      <c r="L198" s="10"/>
      <c r="M198" s="10" t="s">
        <v>771</v>
      </c>
      <c r="N198" s="10" t="s">
        <v>772</v>
      </c>
      <c r="O198" s="10" t="s">
        <v>773</v>
      </c>
      <c r="P198" s="10" t="s">
        <v>726</v>
      </c>
      <c r="Q198" s="11" t="s">
        <v>726</v>
      </c>
      <c r="R198" s="10" t="b">
        <v>0</v>
      </c>
      <c r="S198" s="10"/>
      <c r="T198" s="10" t="s">
        <v>36</v>
      </c>
      <c r="U198" s="10"/>
      <c r="V198" s="10"/>
      <c r="W198" s="10"/>
      <c r="X198" s="10"/>
      <c r="Y198" s="10"/>
      <c r="Z198" s="10"/>
      <c r="AA198" s="10"/>
      <c r="AB198" s="10"/>
      <c r="AC198" s="10"/>
      <c r="AD198" s="10" t="s">
        <v>774</v>
      </c>
      <c r="AE198" s="10" t="s">
        <v>775</v>
      </c>
      <c r="AF198" s="10">
        <v>3</v>
      </c>
    </row>
    <row r="199" spans="2:32" x14ac:dyDescent="0.25">
      <c r="B199" s="4">
        <f>(ROW(tDICT[[#This Row],[Table Name]])-ROW(tDICT[[#Headers],[Table Name]]))*8</f>
        <v>1560</v>
      </c>
      <c r="C199" s="5" t="str">
        <f>pTABLE</f>
        <v>dbo.tbl_D_COMPONENT</v>
      </c>
      <c r="D199" s="6"/>
      <c r="E199" s="7" t="str">
        <f ca="1">IFERROR(REPT("  ", tDICT[[#This Row],[LVL]]-1) &amp; tDICT[[#This Row],[Name]], tDICT[[#This Row],[Name]])</f>
        <v xml:space="preserve">    Staff Rate</v>
      </c>
      <c r="F199" s="8">
        <f ca="1">IF(tDICT[Level Number]="",OFFSET(tDICT[[#This Row],[Level Number]],-1,0),tDICT[Level Number])</f>
        <v>3</v>
      </c>
      <c r="G19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199" s="8" t="str">
        <f ca="1">_xlfn.IFNA(VLOOKUP(tDICT[[#This Row],[Label]],tDICT[Parent Label],1,0)&gt;0,"Leaf")</f>
        <v>Leaf</v>
      </c>
      <c r="I199" s="9">
        <v>246</v>
      </c>
      <c r="J199" s="10">
        <v>138</v>
      </c>
      <c r="K199" s="10" t="s">
        <v>776</v>
      </c>
      <c r="L199" s="10"/>
      <c r="M199" s="10" t="s">
        <v>776</v>
      </c>
      <c r="N199" s="10" t="s">
        <v>777</v>
      </c>
      <c r="O199" s="10" t="s">
        <v>778</v>
      </c>
      <c r="P199" s="10" t="s">
        <v>726</v>
      </c>
      <c r="Q199" s="11" t="s">
        <v>726</v>
      </c>
      <c r="R199" s="10" t="b">
        <v>0</v>
      </c>
      <c r="S199" s="10"/>
      <c r="T199" s="10" t="s">
        <v>36</v>
      </c>
      <c r="U199" s="10"/>
      <c r="V199" s="10"/>
      <c r="W199" s="10"/>
      <c r="X199" s="10"/>
      <c r="Y199" s="10"/>
      <c r="Z199" s="10"/>
      <c r="AA199" s="10"/>
      <c r="AB199" s="10"/>
      <c r="AC199" s="10"/>
      <c r="AD199" s="10" t="s">
        <v>779</v>
      </c>
      <c r="AE199" s="10" t="s">
        <v>767</v>
      </c>
      <c r="AF199" s="10">
        <v>3</v>
      </c>
    </row>
    <row r="200" spans="2:32" x14ac:dyDescent="0.25">
      <c r="B200" s="4">
        <f>(ROW(tDICT[[#This Row],[Table Name]])-ROW(tDICT[[#Headers],[Table Name]]))*8</f>
        <v>1568</v>
      </c>
      <c r="C200" s="5" t="str">
        <f>pTABLE</f>
        <v>dbo.tbl_D_COMPONENT</v>
      </c>
      <c r="D200" s="6"/>
      <c r="E200" s="7" t="str">
        <f ca="1">IFERROR(REPT("  ", tDICT[[#This Row],[LVL]]-1) &amp; tDICT[[#This Row],[Name]], tDICT[[#This Row],[Name]])</f>
        <v xml:space="preserve">    Actual staff number  based on employment</v>
      </c>
      <c r="F200" s="8">
        <f ca="1">IF(tDICT[Level Number]="",OFFSET(tDICT[[#This Row],[Level Number]],-1,0),tDICT[Level Number])</f>
        <v>3</v>
      </c>
      <c r="G20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00" s="8" t="str">
        <f ca="1">_xlfn.IFNA(VLOOKUP(tDICT[[#This Row],[Label]],tDICT[Parent Label],1,0)&gt;0,"Leaf")</f>
        <v>Leaf</v>
      </c>
      <c r="I200" s="9">
        <v>247</v>
      </c>
      <c r="J200" s="10">
        <v>138</v>
      </c>
      <c r="K200" s="10" t="s">
        <v>780</v>
      </c>
      <c r="L200" s="10"/>
      <c r="M200" s="10" t="s">
        <v>780</v>
      </c>
      <c r="N200" s="10" t="s">
        <v>781</v>
      </c>
      <c r="O200" s="10" t="s">
        <v>782</v>
      </c>
      <c r="P200" s="10" t="s">
        <v>726</v>
      </c>
      <c r="Q200" s="11" t="s">
        <v>726</v>
      </c>
      <c r="R200" s="10" t="b">
        <v>0</v>
      </c>
      <c r="S200" s="10"/>
      <c r="T200" s="10" t="s">
        <v>36</v>
      </c>
      <c r="U200" s="10"/>
      <c r="V200" s="10"/>
      <c r="W200" s="10"/>
      <c r="X200" s="10"/>
      <c r="Y200" s="10"/>
      <c r="Z200" s="10"/>
      <c r="AA200" s="10"/>
      <c r="AB200" s="10"/>
      <c r="AC200" s="10"/>
      <c r="AD200" s="10" t="s">
        <v>783</v>
      </c>
      <c r="AE200" s="10" t="s">
        <v>770</v>
      </c>
      <c r="AF200" s="10">
        <v>3</v>
      </c>
    </row>
    <row r="201" spans="2:32" x14ac:dyDescent="0.25">
      <c r="B201" s="4">
        <f>(ROW(tDICT[[#This Row],[Table Name]])-ROW(tDICT[[#Headers],[Table Name]]))*8</f>
        <v>1576</v>
      </c>
      <c r="C201" s="5" t="str">
        <f>pTABLE</f>
        <v>dbo.tbl_D_COMPONENT</v>
      </c>
      <c r="D201" s="6"/>
      <c r="E201" s="7" t="str">
        <f ca="1">IFERROR(REPT("  ", tDICT[[#This Row],[LVL]]-1) &amp; tDICT[[#This Row],[Name]], tDICT[[#This Row],[Name]])</f>
        <v xml:space="preserve">  Non-compensation</v>
      </c>
      <c r="F201" s="8">
        <f ca="1">IF(tDICT[Level Number]="",OFFSET(tDICT[[#This Row],[Level Number]],-1,0),tDICT[Level Number])</f>
        <v>2</v>
      </c>
      <c r="G20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01" s="8" t="b">
        <f ca="1">_xlfn.IFNA(VLOOKUP(tDICT[[#This Row],[Label]],tDICT[Parent Label],1,0)&gt;0,"Leaf")</f>
        <v>1</v>
      </c>
      <c r="I201" s="9">
        <v>42144</v>
      </c>
      <c r="J201" s="10">
        <v>10001</v>
      </c>
      <c r="K201" s="10" t="s">
        <v>784</v>
      </c>
      <c r="L201" s="10"/>
      <c r="M201" s="10" t="s">
        <v>784</v>
      </c>
      <c r="N201" s="10" t="s">
        <v>785</v>
      </c>
      <c r="O201" s="10" t="s">
        <v>786</v>
      </c>
      <c r="P201" s="10"/>
      <c r="Q201" s="11" t="s">
        <v>785</v>
      </c>
      <c r="R201" s="10" t="b">
        <v>1</v>
      </c>
      <c r="S201" s="10"/>
      <c r="T201" s="10" t="s">
        <v>36</v>
      </c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>
        <v>2</v>
      </c>
    </row>
    <row r="202" spans="2:32" x14ac:dyDescent="0.25">
      <c r="B202" s="4">
        <f>(ROW(tDICT[[#This Row],[Table Name]])-ROW(tDICT[[#Headers],[Table Name]]))*8</f>
        <v>1584</v>
      </c>
      <c r="C202" s="5" t="str">
        <f>pTABLE</f>
        <v>dbo.tbl_D_COMPONENT</v>
      </c>
      <c r="D202" s="6"/>
      <c r="E202" s="7" t="str">
        <f ca="1">IFERROR(REPT("  ", tDICT[[#This Row],[LVL]]-1) &amp; tDICT[[#This Row],[Name]], tDICT[[#This Row],[Name]])</f>
        <v xml:space="preserve">    Costs for temporary staff &amp; contractors</v>
      </c>
      <c r="F202" s="8">
        <f ca="1">IF(tDICT[Level Number]="",OFFSET(tDICT[[#This Row],[Level Number]],-1,0),tDICT[Level Number])</f>
        <v>3</v>
      </c>
      <c r="G20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NON_COMP</v>
      </c>
      <c r="H202" s="8" t="str">
        <f ca="1">_xlfn.IFNA(VLOOKUP(tDICT[[#This Row],[Label]],tDICT[Parent Label],1,0)&gt;0,"Leaf")</f>
        <v>Leaf</v>
      </c>
      <c r="I202" s="9">
        <v>42145</v>
      </c>
      <c r="J202" s="10">
        <v>42144</v>
      </c>
      <c r="K202" s="10" t="s">
        <v>787</v>
      </c>
      <c r="L202" s="10"/>
      <c r="M202" s="10" t="s">
        <v>788</v>
      </c>
      <c r="N202" s="10" t="s">
        <v>789</v>
      </c>
      <c r="O202" s="10"/>
      <c r="P202" s="10"/>
      <c r="Q202" s="11" t="s">
        <v>785</v>
      </c>
      <c r="R202" s="10" t="b">
        <v>1</v>
      </c>
      <c r="S202" s="10"/>
      <c r="T202" s="10" t="s">
        <v>36</v>
      </c>
      <c r="U202" s="10"/>
      <c r="V202" s="10"/>
      <c r="W202" s="10"/>
      <c r="X202" s="10"/>
      <c r="Y202" s="10"/>
      <c r="Z202" s="10" t="s">
        <v>790</v>
      </c>
      <c r="AA202" s="10" t="s">
        <v>789</v>
      </c>
      <c r="AB202" s="10" t="s">
        <v>791</v>
      </c>
      <c r="AC202" s="10">
        <v>1</v>
      </c>
      <c r="AD202" s="10"/>
      <c r="AE202" s="10"/>
      <c r="AF202" s="10">
        <v>3</v>
      </c>
    </row>
    <row r="203" spans="2:32" x14ac:dyDescent="0.25">
      <c r="B203" s="4">
        <f>(ROW(tDICT[[#This Row],[Table Name]])-ROW(tDICT[[#Headers],[Table Name]]))*8</f>
        <v>1592</v>
      </c>
      <c r="C203" s="5" t="str">
        <f>pTABLE</f>
        <v>dbo.tbl_D_COMPONENT</v>
      </c>
      <c r="D203" s="6"/>
      <c r="E203" s="7" t="str">
        <f ca="1">IFERROR(REPT("  ", tDICT[[#This Row],[LVL]]-1) &amp; tDICT[[#This Row],[Name]], tDICT[[#This Row],[Name]])</f>
        <v xml:space="preserve">    Expenses for internal workshops/offsites</v>
      </c>
      <c r="F203" s="8">
        <f ca="1">IF(tDICT[Level Number]="",OFFSET(tDICT[[#This Row],[Level Number]],-1,0),tDICT[Level Number])</f>
        <v>3</v>
      </c>
      <c r="G20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NON_COMP</v>
      </c>
      <c r="H203" s="8" t="str">
        <f ca="1">_xlfn.IFNA(VLOOKUP(tDICT[[#This Row],[Label]],tDICT[Parent Label],1,0)&gt;0,"Leaf")</f>
        <v>Leaf</v>
      </c>
      <c r="I203" s="9">
        <v>42146</v>
      </c>
      <c r="J203" s="10">
        <v>42144</v>
      </c>
      <c r="K203" s="10" t="s">
        <v>792</v>
      </c>
      <c r="L203" s="10"/>
      <c r="M203" s="10" t="s">
        <v>793</v>
      </c>
      <c r="N203" s="10" t="s">
        <v>794</v>
      </c>
      <c r="O203" s="10"/>
      <c r="P203" s="10"/>
      <c r="Q203" s="11" t="s">
        <v>785</v>
      </c>
      <c r="R203" s="10" t="b">
        <v>1</v>
      </c>
      <c r="S203" s="10"/>
      <c r="T203" s="10" t="s">
        <v>36</v>
      </c>
      <c r="U203" s="10"/>
      <c r="V203" s="10"/>
      <c r="W203" s="10"/>
      <c r="X203" s="10"/>
      <c r="Y203" s="10"/>
      <c r="Z203" s="10" t="s">
        <v>795</v>
      </c>
      <c r="AA203" s="10" t="s">
        <v>794</v>
      </c>
      <c r="AB203" s="10" t="s">
        <v>796</v>
      </c>
      <c r="AC203" s="10">
        <v>1</v>
      </c>
      <c r="AD203" s="10"/>
      <c r="AE203" s="10"/>
      <c r="AF203" s="10">
        <v>3</v>
      </c>
    </row>
    <row r="204" spans="2:32" x14ac:dyDescent="0.25">
      <c r="B204" s="4">
        <f>(ROW(tDICT[[#This Row],[Table Name]])-ROW(tDICT[[#Headers],[Table Name]]))*8</f>
        <v>1600</v>
      </c>
      <c r="C204" s="5" t="str">
        <f>pTABLE</f>
        <v>dbo.tbl_D_COMPONENT</v>
      </c>
      <c r="D204" s="6"/>
      <c r="E204" s="7" t="str">
        <f ca="1">IFERROR(REPT("  ", tDICT[[#This Row],[LVL]]-1) &amp; tDICT[[#This Row],[Name]], tDICT[[#This Row],[Name]])</f>
        <v xml:space="preserve">    Expenses for staff training, seminars</v>
      </c>
      <c r="F204" s="8">
        <f ca="1">IF(tDICT[Level Number]="",OFFSET(tDICT[[#This Row],[Level Number]],-1,0),tDICT[Level Number])</f>
        <v>3</v>
      </c>
      <c r="G20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NON_COMP</v>
      </c>
      <c r="H204" s="8" t="str">
        <f ca="1">_xlfn.IFNA(VLOOKUP(tDICT[[#This Row],[Label]],tDICT[Parent Label],1,0)&gt;0,"Leaf")</f>
        <v>Leaf</v>
      </c>
      <c r="I204" s="9">
        <v>42147</v>
      </c>
      <c r="J204" s="10">
        <v>42144</v>
      </c>
      <c r="K204" s="10" t="s">
        <v>797</v>
      </c>
      <c r="L204" s="10"/>
      <c r="M204" s="10" t="s">
        <v>798</v>
      </c>
      <c r="N204" s="10" t="s">
        <v>799</v>
      </c>
      <c r="O204" s="10"/>
      <c r="P204" s="10"/>
      <c r="Q204" s="11" t="s">
        <v>785</v>
      </c>
      <c r="R204" s="10" t="b">
        <v>1</v>
      </c>
      <c r="S204" s="10"/>
      <c r="T204" s="10" t="s">
        <v>36</v>
      </c>
      <c r="U204" s="10"/>
      <c r="V204" s="10"/>
      <c r="W204" s="10"/>
      <c r="X204" s="10"/>
      <c r="Y204" s="10"/>
      <c r="Z204" s="10" t="s">
        <v>800</v>
      </c>
      <c r="AA204" s="10" t="s">
        <v>799</v>
      </c>
      <c r="AB204" s="10" t="s">
        <v>801</v>
      </c>
      <c r="AC204" s="10">
        <v>1</v>
      </c>
      <c r="AD204" s="10"/>
      <c r="AE204" s="10"/>
      <c r="AF204" s="10">
        <v>3</v>
      </c>
    </row>
    <row r="205" spans="2:32" x14ac:dyDescent="0.25">
      <c r="B205" s="4">
        <f>(ROW(tDICT[[#This Row],[Table Name]])-ROW(tDICT[[#Headers],[Table Name]]))*8</f>
        <v>1608</v>
      </c>
      <c r="C205" s="5" t="str">
        <f>pTABLE</f>
        <v>dbo.tbl_D_COMPONENT</v>
      </c>
      <c r="D205" s="6"/>
      <c r="E205" s="7" t="str">
        <f ca="1">IFERROR(REPT("  ", tDICT[[#This Row],[LVL]]-1) &amp; tDICT[[#This Row],[Name]], tDICT[[#This Row],[Name]])</f>
        <v xml:space="preserve">    Recruitment Expenses</v>
      </c>
      <c r="F205" s="8">
        <f ca="1">IF(tDICT[Level Number]="",OFFSET(tDICT[[#This Row],[Level Number]],-1,0),tDICT[Level Number])</f>
        <v>3</v>
      </c>
      <c r="G20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NON_COMP</v>
      </c>
      <c r="H205" s="8" t="str">
        <f ca="1">_xlfn.IFNA(VLOOKUP(tDICT[[#This Row],[Label]],tDICT[Parent Label],1,0)&gt;0,"Leaf")</f>
        <v>Leaf</v>
      </c>
      <c r="I205" s="9">
        <v>42148</v>
      </c>
      <c r="J205" s="10">
        <v>42144</v>
      </c>
      <c r="K205" s="10" t="s">
        <v>802</v>
      </c>
      <c r="L205" s="10"/>
      <c r="M205" s="10" t="s">
        <v>803</v>
      </c>
      <c r="N205" s="10" t="s">
        <v>804</v>
      </c>
      <c r="O205" s="10"/>
      <c r="P205" s="10"/>
      <c r="Q205" s="11" t="s">
        <v>785</v>
      </c>
      <c r="R205" s="10" t="b">
        <v>1</v>
      </c>
      <c r="S205" s="10"/>
      <c r="T205" s="10" t="s">
        <v>36</v>
      </c>
      <c r="U205" s="10"/>
      <c r="V205" s="10"/>
      <c r="W205" s="10"/>
      <c r="X205" s="10"/>
      <c r="Y205" s="10"/>
      <c r="Z205" s="10" t="s">
        <v>805</v>
      </c>
      <c r="AA205" s="10" t="s">
        <v>804</v>
      </c>
      <c r="AB205" s="10" t="s">
        <v>806</v>
      </c>
      <c r="AC205" s="10">
        <v>1</v>
      </c>
      <c r="AD205" s="10"/>
      <c r="AE205" s="10"/>
      <c r="AF205" s="10">
        <v>3</v>
      </c>
    </row>
    <row r="206" spans="2:32" x14ac:dyDescent="0.25">
      <c r="B206" s="4">
        <f>(ROW(tDICT[[#This Row],[Table Name]])-ROW(tDICT[[#Headers],[Table Name]]))*8</f>
        <v>1616</v>
      </c>
      <c r="C206" s="5" t="str">
        <f>pTABLE</f>
        <v>dbo.tbl_D_COMPONENT</v>
      </c>
      <c r="D206" s="6"/>
      <c r="E206" s="7" t="str">
        <f ca="1">IFERROR(REPT("  ", tDICT[[#This Row],[LVL]]-1) &amp; tDICT[[#This Row],[Name]], tDICT[[#This Row],[Name]])</f>
        <v xml:space="preserve">    Other remaining staff related non-compensation exp</v>
      </c>
      <c r="F206" s="8">
        <f ca="1">IF(tDICT[Level Number]="",OFFSET(tDICT[[#This Row],[Level Number]],-1,0),tDICT[Level Number])</f>
        <v>3</v>
      </c>
      <c r="G20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NON_COMP</v>
      </c>
      <c r="H206" s="8" t="str">
        <f ca="1">_xlfn.IFNA(VLOOKUP(tDICT[[#This Row],[Label]],tDICT[Parent Label],1,0)&gt;0,"Leaf")</f>
        <v>Leaf</v>
      </c>
      <c r="I206" s="9">
        <v>42149</v>
      </c>
      <c r="J206" s="10">
        <v>42144</v>
      </c>
      <c r="K206" s="10" t="s">
        <v>807</v>
      </c>
      <c r="L206" s="10"/>
      <c r="M206" s="10" t="s">
        <v>808</v>
      </c>
      <c r="N206" s="10" t="s">
        <v>809</v>
      </c>
      <c r="O206" s="10"/>
      <c r="P206" s="10"/>
      <c r="Q206" s="11" t="s">
        <v>785</v>
      </c>
      <c r="R206" s="10" t="b">
        <v>1</v>
      </c>
      <c r="S206" s="10"/>
      <c r="T206" s="10" t="s">
        <v>36</v>
      </c>
      <c r="U206" s="10"/>
      <c r="V206" s="10"/>
      <c r="W206" s="10"/>
      <c r="X206" s="10"/>
      <c r="Y206" s="10"/>
      <c r="Z206" s="10" t="s">
        <v>810</v>
      </c>
      <c r="AA206" s="10" t="s">
        <v>809</v>
      </c>
      <c r="AB206" s="10" t="s">
        <v>811</v>
      </c>
      <c r="AC206" s="10">
        <v>1</v>
      </c>
      <c r="AD206" s="10"/>
      <c r="AE206" s="10"/>
      <c r="AF206" s="10">
        <v>3</v>
      </c>
    </row>
    <row r="207" spans="2:32" x14ac:dyDescent="0.25">
      <c r="B207" s="4">
        <f>(ROW(tDICT[[#This Row],[Table Name]])-ROW(tDICT[[#Headers],[Table Name]]))*8</f>
        <v>1624</v>
      </c>
      <c r="C207" s="5" t="str">
        <f>pTABLE</f>
        <v>dbo.tbl_D_COMPONENT</v>
      </c>
      <c r="D207" s="6"/>
      <c r="E207" s="7" t="str">
        <f ca="1">IFERROR(REPT("  ", tDICT[[#This Row],[LVL]]-1) &amp; tDICT[[#This Row],[Name]], tDICT[[#This Row],[Name]])</f>
        <v xml:space="preserve">  Other Components</v>
      </c>
      <c r="F207" s="8">
        <f ca="1">IF(tDICT[Level Number]="",OFFSET(tDICT[[#This Row],[Level Number]],-1,0),tDICT[Level Number])</f>
        <v>2</v>
      </c>
      <c r="G20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07" s="8" t="b">
        <f ca="1">_xlfn.IFNA(VLOOKUP(tDICT[[#This Row],[Label]],tDICT[Parent Label],1,0)&gt;0,"Leaf")</f>
        <v>1</v>
      </c>
      <c r="I207" s="9">
        <v>143</v>
      </c>
      <c r="J207" s="10">
        <v>10001</v>
      </c>
      <c r="K207" s="10" t="s">
        <v>812</v>
      </c>
      <c r="L207" s="10"/>
      <c r="M207" s="10" t="s">
        <v>812</v>
      </c>
      <c r="N207" s="10" t="s">
        <v>813</v>
      </c>
      <c r="O207" s="10"/>
      <c r="P207" s="10" t="s">
        <v>33</v>
      </c>
      <c r="Q207" s="11" t="s">
        <v>35</v>
      </c>
      <c r="R207" s="10" t="b">
        <v>1</v>
      </c>
      <c r="S207" s="10"/>
      <c r="T207" s="10" t="s">
        <v>36</v>
      </c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>
        <v>2</v>
      </c>
    </row>
    <row r="208" spans="2:32" x14ac:dyDescent="0.25">
      <c r="B208" s="4">
        <f>(ROW(tDICT[[#This Row],[Table Name]])-ROW(tDICT[[#Headers],[Table Name]]))*8</f>
        <v>1632</v>
      </c>
      <c r="C208" s="5" t="str">
        <f>pTABLE</f>
        <v>dbo.tbl_D_COMPONENT</v>
      </c>
      <c r="D208" s="6"/>
      <c r="E208" s="7" t="str">
        <f ca="1">IFERROR(REPT("  ", tDICT[[#This Row],[LVL]]-1) &amp; tDICT[[#This Row],[Name]], tDICT[[#This Row],[Name]])</f>
        <v xml:space="preserve">    Total Samestore</v>
      </c>
      <c r="F208" s="8">
        <f ca="1">IF(tDICT[Level Number]="",OFFSET(tDICT[[#This Row],[Level Number]],-1,0),tDICT[Level Number])</f>
        <v>3</v>
      </c>
      <c r="G20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OTHER</v>
      </c>
      <c r="H208" s="8" t="b">
        <f ca="1">_xlfn.IFNA(VLOOKUP(tDICT[[#This Row],[Label]],tDICT[Parent Label],1,0)&gt;0,"Leaf")</f>
        <v>1</v>
      </c>
      <c r="I208" s="9">
        <v>270</v>
      </c>
      <c r="J208" s="10">
        <v>143</v>
      </c>
      <c r="K208" s="10" t="s">
        <v>814</v>
      </c>
      <c r="L208" s="10"/>
      <c r="M208" s="10" t="s">
        <v>815</v>
      </c>
      <c r="N208" s="10" t="s">
        <v>816</v>
      </c>
      <c r="O208" s="10"/>
      <c r="P208" s="10"/>
      <c r="Q208" s="11" t="s">
        <v>35</v>
      </c>
      <c r="R208" s="10" t="b">
        <v>1</v>
      </c>
      <c r="S208" s="10"/>
      <c r="T208" s="10" t="s">
        <v>36</v>
      </c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>
        <v>3</v>
      </c>
    </row>
    <row r="209" spans="2:32" x14ac:dyDescent="0.25">
      <c r="B209" s="4">
        <f>(ROW(tDICT[[#This Row],[Table Name]])-ROW(tDICT[[#Headers],[Table Name]]))*8</f>
        <v>1640</v>
      </c>
      <c r="C209" s="5" t="str">
        <f>pTABLE</f>
        <v>dbo.tbl_D_COMPONENT</v>
      </c>
      <c r="D209" s="6"/>
      <c r="E209" s="7" t="str">
        <f ca="1">IFERROR(REPT("  ", tDICT[[#This Row],[LVL]]-1) &amp; tDICT[[#This Row],[Name]], tDICT[[#This Row],[Name]])</f>
        <v xml:space="preserve">      Samestore</v>
      </c>
      <c r="F209" s="8">
        <f ca="1">IF(tDICT[Level Number]="",OFFSET(tDICT[[#This Row],[Level Number]],-1,0),tDICT[Level Number])</f>
        <v>4</v>
      </c>
      <c r="G20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TOTAL_SAMESTORE</v>
      </c>
      <c r="H209" s="8" t="str">
        <f ca="1">_xlfn.IFNA(VLOOKUP(tDICT[[#This Row],[Label]],tDICT[Parent Label],1,0)&gt;0,"Leaf")</f>
        <v>Leaf</v>
      </c>
      <c r="I209" s="9">
        <v>112</v>
      </c>
      <c r="J209" s="10">
        <v>270</v>
      </c>
      <c r="K209" s="10" t="s">
        <v>817</v>
      </c>
      <c r="L209" s="10"/>
      <c r="M209" s="10" t="s">
        <v>818</v>
      </c>
      <c r="N209" s="10" t="s">
        <v>819</v>
      </c>
      <c r="O209" s="10"/>
      <c r="P209" s="10" t="s">
        <v>819</v>
      </c>
      <c r="Q209" s="11" t="s">
        <v>35</v>
      </c>
      <c r="R209" s="10" t="b">
        <v>1</v>
      </c>
      <c r="S209" s="10"/>
      <c r="T209" s="10" t="s">
        <v>36</v>
      </c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>
        <v>4</v>
      </c>
    </row>
    <row r="210" spans="2:32" x14ac:dyDescent="0.25">
      <c r="B210" s="4">
        <f>(ROW(tDICT[[#This Row],[Table Name]])-ROW(tDICT[[#Headers],[Table Name]]))*8</f>
        <v>1648</v>
      </c>
      <c r="C210" s="5" t="str">
        <f>pTABLE</f>
        <v>dbo.tbl_D_COMPONENT</v>
      </c>
      <c r="D210" s="6"/>
      <c r="E210" s="7" t="str">
        <f ca="1">IFERROR(REPT("  ", tDICT[[#This Row],[LVL]]-1) &amp; tDICT[[#This Row],[Name]], tDICT[[#This Row],[Name]])</f>
        <v xml:space="preserve">      Samestore Northern Top Up</v>
      </c>
      <c r="F210" s="8">
        <f ca="1">IF(tDICT[Level Number]="",OFFSET(tDICT[[#This Row],[Level Number]],-1,0),tDICT[Level Number])</f>
        <v>4</v>
      </c>
      <c r="G21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TOTAL_SAMESTORE</v>
      </c>
      <c r="H210" s="8" t="str">
        <f ca="1">_xlfn.IFNA(VLOOKUP(tDICT[[#This Row],[Label]],tDICT[Parent Label],1,0)&gt;0,"Leaf")</f>
        <v>Leaf</v>
      </c>
      <c r="I210" s="9">
        <v>251</v>
      </c>
      <c r="J210" s="10">
        <v>270</v>
      </c>
      <c r="K210" s="10" t="s">
        <v>820</v>
      </c>
      <c r="L210" s="10"/>
      <c r="M210" s="10" t="s">
        <v>821</v>
      </c>
      <c r="N210" s="10" t="s">
        <v>822</v>
      </c>
      <c r="O210" s="10"/>
      <c r="P210" s="10" t="s">
        <v>819</v>
      </c>
      <c r="Q210" s="11" t="s">
        <v>35</v>
      </c>
      <c r="R210" s="10" t="b">
        <v>1</v>
      </c>
      <c r="S210" s="10"/>
      <c r="T210" s="10" t="s">
        <v>72</v>
      </c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>
        <v>4</v>
      </c>
    </row>
    <row r="211" spans="2:32" x14ac:dyDescent="0.25">
      <c r="B211" s="4">
        <f>(ROW(tDICT[[#This Row],[Table Name]])-ROW(tDICT[[#Headers],[Table Name]]))*8</f>
        <v>1656</v>
      </c>
      <c r="C211" s="5" t="str">
        <f>pTABLE</f>
        <v>dbo.tbl_D_COMPONENT</v>
      </c>
      <c r="D211" s="6"/>
      <c r="E211" s="7" t="str">
        <f ca="1">IFERROR(REPT("  ", tDICT[[#This Row],[LVL]]-1) &amp; tDICT[[#This Row],[Name]], tDICT[[#This Row],[Name]])</f>
        <v xml:space="preserve">      Samestore RegionalTop Up</v>
      </c>
      <c r="F211" s="8">
        <f ca="1">IF(tDICT[Level Number]="",OFFSET(tDICT[[#This Row],[Level Number]],-1,0),tDICT[Level Number])</f>
        <v>4</v>
      </c>
      <c r="G21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TOTAL_SAMESTORE</v>
      </c>
      <c r="H211" s="8" t="str">
        <f ca="1">_xlfn.IFNA(VLOOKUP(tDICT[[#This Row],[Label]],tDICT[Parent Label],1,0)&gt;0,"Leaf")</f>
        <v>Leaf</v>
      </c>
      <c r="I211" s="9">
        <v>252</v>
      </c>
      <c r="J211" s="10">
        <v>270</v>
      </c>
      <c r="K211" s="10" t="s">
        <v>823</v>
      </c>
      <c r="L211" s="10"/>
      <c r="M211" s="10" t="s">
        <v>824</v>
      </c>
      <c r="N211" s="10" t="s">
        <v>825</v>
      </c>
      <c r="O211" s="10"/>
      <c r="P211" s="10" t="s">
        <v>819</v>
      </c>
      <c r="Q211" s="11" t="s">
        <v>35</v>
      </c>
      <c r="R211" s="10" t="b">
        <v>1</v>
      </c>
      <c r="S211" s="10"/>
      <c r="T211" s="10" t="s">
        <v>76</v>
      </c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>
        <v>4</v>
      </c>
    </row>
    <row r="212" spans="2:32" x14ac:dyDescent="0.25">
      <c r="B212" s="4">
        <f>(ROW(tDICT[[#This Row],[Table Name]])-ROW(tDICT[[#Headers],[Table Name]]))*8</f>
        <v>1664</v>
      </c>
      <c r="C212" s="5" t="str">
        <f>pTABLE</f>
        <v>dbo.tbl_D_COMPONENT</v>
      </c>
      <c r="D212" s="6"/>
      <c r="E212" s="7" t="str">
        <f ca="1">IFERROR(REPT("  ", tDICT[[#This Row],[LVL]]-1) &amp; tDICT[[#This Row],[Name]], tDICT[[#This Row],[Name]])</f>
        <v xml:space="preserve">    Accruals for unused vacations</v>
      </c>
      <c r="F212" s="8">
        <f ca="1">IF(tDICT[Level Number]="",OFFSET(tDICT[[#This Row],[Level Number]],-1,0),tDICT[Level Number])</f>
        <v>3</v>
      </c>
      <c r="G21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12" s="8" t="str">
        <f ca="1">_xlfn.IFNA(VLOOKUP(tDICT[[#This Row],[Label]],tDICT[Parent Label],1,0)&gt;0,"Leaf")</f>
        <v>Leaf</v>
      </c>
      <c r="I212" s="9">
        <v>197</v>
      </c>
      <c r="J212" s="10">
        <v>143</v>
      </c>
      <c r="K212" s="10" t="s">
        <v>826</v>
      </c>
      <c r="L212" s="10"/>
      <c r="M212" s="10" t="s">
        <v>827</v>
      </c>
      <c r="N212" s="10" t="s">
        <v>673</v>
      </c>
      <c r="O212" s="10"/>
      <c r="P212" s="10" t="s">
        <v>812</v>
      </c>
      <c r="Q212" s="11" t="s">
        <v>40</v>
      </c>
      <c r="R212" s="10" t="b">
        <v>1</v>
      </c>
      <c r="S212" s="10"/>
      <c r="T212" s="10" t="s">
        <v>36</v>
      </c>
      <c r="U212" s="10"/>
      <c r="V212" s="10"/>
      <c r="W212" s="10"/>
      <c r="X212" s="10"/>
      <c r="Y212" s="10"/>
      <c r="Z212" s="10"/>
      <c r="AA212" s="10"/>
      <c r="AB212" s="10"/>
      <c r="AC212" s="10"/>
      <c r="AD212" s="10" t="s">
        <v>828</v>
      </c>
      <c r="AE212" s="10" t="s">
        <v>829</v>
      </c>
      <c r="AF212" s="10">
        <v>3</v>
      </c>
    </row>
    <row r="213" spans="2:32" x14ac:dyDescent="0.25">
      <c r="B213" s="4">
        <f>(ROW(tDICT[[#This Row],[Table Name]])-ROW(tDICT[[#Headers],[Table Name]]))*8</f>
        <v>1672</v>
      </c>
      <c r="C213" s="5" t="str">
        <f>pTABLE</f>
        <v>dbo.tbl_D_COMPONENT</v>
      </c>
      <c r="D213" s="6"/>
      <c r="E213" s="7" t="str">
        <f ca="1">IFERROR(REPT("  ", tDICT[[#This Row],[LVL]]-1) &amp; tDICT[[#This Row],[Name]], tDICT[[#This Row],[Name]])</f>
        <v xml:space="preserve">    Total Annual Contractual Salary</v>
      </c>
      <c r="F213" s="8">
        <f ca="1">IF(tDICT[Level Number]="",OFFSET(tDICT[[#This Row],[Level Number]],-1,0),tDICT[Level Number])</f>
        <v>3</v>
      </c>
      <c r="G21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13" s="8" t="b">
        <f ca="1">_xlfn.IFNA(VLOOKUP(tDICT[[#This Row],[Label]],tDICT[Parent Label],1,0)&gt;0,"Leaf")</f>
        <v>1</v>
      </c>
      <c r="I213" s="9">
        <v>1003</v>
      </c>
      <c r="J213" s="10">
        <v>143</v>
      </c>
      <c r="K213" s="10" t="s">
        <v>830</v>
      </c>
      <c r="L213" s="10"/>
      <c r="M213" s="10" t="s">
        <v>831</v>
      </c>
      <c r="N213" s="10" t="s">
        <v>832</v>
      </c>
      <c r="O213" s="10"/>
      <c r="P213" s="10" t="s">
        <v>47</v>
      </c>
      <c r="Q213" s="11" t="s">
        <v>40</v>
      </c>
      <c r="R213" s="10" t="b">
        <v>1</v>
      </c>
      <c r="S213" s="10">
        <v>1</v>
      </c>
      <c r="T213" s="10" t="s">
        <v>36</v>
      </c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>
        <v>3</v>
      </c>
    </row>
    <row r="214" spans="2:32" x14ac:dyDescent="0.25">
      <c r="B214" s="4">
        <f>(ROW(tDICT[[#This Row],[Table Name]])-ROW(tDICT[[#Headers],[Table Name]]))*8</f>
        <v>1680</v>
      </c>
      <c r="C214" s="5" t="str">
        <f>pTABLE</f>
        <v>dbo.tbl_D_COMPONENT</v>
      </c>
      <c r="D214" s="6"/>
      <c r="E214" s="7" t="str">
        <f ca="1">IFERROR(REPT("  ", tDICT[[#This Row],[LVL]]-1) &amp; tDICT[[#This Row],[Name]], tDICT[[#This Row],[Name]])</f>
        <v xml:space="preserve">      Annual Contractual Salary</v>
      </c>
      <c r="F214" s="8">
        <f ca="1">IF(tDICT[Level Number]="",OFFSET(tDICT[[#This Row],[Level Number]],-1,0),tDICT[Level Number])</f>
        <v>4</v>
      </c>
      <c r="G21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TOTAL_ANNUAL_CONTRACTUAL_SALARY</v>
      </c>
      <c r="H214" s="8" t="b">
        <f ca="1">_xlfn.IFNA(VLOOKUP(tDICT[[#This Row],[Label]],tDICT[Parent Label],1,0)&gt;0,"Leaf")</f>
        <v>1</v>
      </c>
      <c r="I214" s="9">
        <v>42</v>
      </c>
      <c r="J214" s="10">
        <v>1003</v>
      </c>
      <c r="K214" s="10" t="s">
        <v>833</v>
      </c>
      <c r="L214" s="10"/>
      <c r="M214" s="10" t="s">
        <v>834</v>
      </c>
      <c r="N214" s="10" t="s">
        <v>835</v>
      </c>
      <c r="O214" s="10"/>
      <c r="P214" s="10" t="s">
        <v>47</v>
      </c>
      <c r="Q214" s="11" t="s">
        <v>40</v>
      </c>
      <c r="R214" s="10" t="b">
        <v>1</v>
      </c>
      <c r="S214" s="10">
        <v>1</v>
      </c>
      <c r="T214" s="10" t="s">
        <v>36</v>
      </c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>
        <v>4</v>
      </c>
    </row>
    <row r="215" spans="2:32" x14ac:dyDescent="0.25">
      <c r="B215" s="4">
        <f>(ROW(tDICT[[#This Row],[Table Name]])-ROW(tDICT[[#Headers],[Table Name]]))*8</f>
        <v>1688</v>
      </c>
      <c r="C215" s="5" t="str">
        <f>pTABLE</f>
        <v>dbo.tbl_D_COMPONENT</v>
      </c>
      <c r="D215" s="6"/>
      <c r="E215" s="7" t="str">
        <f ca="1">IFERROR(REPT("  ", tDICT[[#This Row],[LVL]]-1) &amp; tDICT[[#This Row],[Name]], tDICT[[#This Row],[Name]])</f>
        <v xml:space="preserve">        Annual Salary Northern Top Up</v>
      </c>
      <c r="F215" s="8">
        <f ca="1">IF(tDICT[Level Number]="",OFFSET(tDICT[[#This Row],[Level Number]],-1,0),tDICT[Level Number])</f>
        <v>5</v>
      </c>
      <c r="G21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ANNUAL_CONTRACTUAL_SALARY</v>
      </c>
      <c r="H215" s="8" t="str">
        <f ca="1">_xlfn.IFNA(VLOOKUP(tDICT[[#This Row],[Label]],tDICT[Parent Label],1,0)&gt;0,"Leaf")</f>
        <v>Leaf</v>
      </c>
      <c r="I215" s="9">
        <v>163</v>
      </c>
      <c r="J215" s="10">
        <v>42</v>
      </c>
      <c r="K215" s="10" t="s">
        <v>836</v>
      </c>
      <c r="L215" s="10"/>
      <c r="M215" s="10" t="s">
        <v>837</v>
      </c>
      <c r="N215" s="10" t="s">
        <v>838</v>
      </c>
      <c r="O215" s="10"/>
      <c r="P215" s="10" t="s">
        <v>835</v>
      </c>
      <c r="Q215" s="11" t="s">
        <v>40</v>
      </c>
      <c r="R215" s="10" t="b">
        <v>1</v>
      </c>
      <c r="S215" s="10">
        <v>1</v>
      </c>
      <c r="T215" s="10" t="s">
        <v>72</v>
      </c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>
        <v>5</v>
      </c>
    </row>
    <row r="216" spans="2:32" x14ac:dyDescent="0.25">
      <c r="B216" s="4">
        <f>(ROW(tDICT[[#This Row],[Table Name]])-ROW(tDICT[[#Headers],[Table Name]]))*8</f>
        <v>1696</v>
      </c>
      <c r="C216" s="5" t="str">
        <f>pTABLE</f>
        <v>dbo.tbl_D_COMPONENT</v>
      </c>
      <c r="D216" s="6"/>
      <c r="E216" s="7" t="str">
        <f ca="1">IFERROR(REPT("  ", tDICT[[#This Row],[LVL]]-1) &amp; tDICT[[#This Row],[Name]], tDICT[[#This Row],[Name]])</f>
        <v xml:space="preserve">        Annual Salary Regional Top Up</v>
      </c>
      <c r="F216" s="8">
        <f ca="1">IF(tDICT[Level Number]="",OFFSET(tDICT[[#This Row],[Level Number]],-1,0),tDICT[Level Number])</f>
        <v>5</v>
      </c>
      <c r="G21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>ANNUAL_CONTRACTUAL_SALARY</v>
      </c>
      <c r="H216" s="8" t="str">
        <f ca="1">_xlfn.IFNA(VLOOKUP(tDICT[[#This Row],[Label]],tDICT[Parent Label],1,0)&gt;0,"Leaf")</f>
        <v>Leaf</v>
      </c>
      <c r="I216" s="9">
        <v>164</v>
      </c>
      <c r="J216" s="10">
        <v>42</v>
      </c>
      <c r="K216" s="10" t="s">
        <v>839</v>
      </c>
      <c r="L216" s="10"/>
      <c r="M216" s="10" t="s">
        <v>840</v>
      </c>
      <c r="N216" s="10" t="s">
        <v>841</v>
      </c>
      <c r="O216" s="10"/>
      <c r="P216" s="10" t="s">
        <v>835</v>
      </c>
      <c r="Q216" s="11" t="s">
        <v>40</v>
      </c>
      <c r="R216" s="10" t="b">
        <v>1</v>
      </c>
      <c r="S216" s="10">
        <v>1</v>
      </c>
      <c r="T216" s="10" t="s">
        <v>76</v>
      </c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>
        <v>5</v>
      </c>
    </row>
    <row r="217" spans="2:32" x14ac:dyDescent="0.25">
      <c r="B217" s="4">
        <f>(ROW(tDICT[[#This Row],[Table Name]])-ROW(tDICT[[#Headers],[Table Name]]))*8</f>
        <v>1704</v>
      </c>
      <c r="C217" s="5" t="str">
        <f>pTABLE</f>
        <v>dbo.tbl_D_COMPONENT</v>
      </c>
      <c r="D217" s="6"/>
      <c r="E217" s="7" t="str">
        <f ca="1">IFERROR(REPT("  ", tDICT[[#This Row],[LVL]]-1) &amp; tDICT[[#This Row],[Name]], tDICT[[#This Row],[Name]])</f>
        <v xml:space="preserve">    Total Payment Bonus</v>
      </c>
      <c r="F217" s="8">
        <f ca="1">IF(tDICT[Level Number]="",OFFSET(tDICT[[#This Row],[Level Number]],-1,0),tDICT[Level Number])</f>
        <v>3</v>
      </c>
      <c r="G21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17" s="8" t="str">
        <f ca="1">_xlfn.IFNA(VLOOKUP(tDICT[[#This Row],[Label]],tDICT[Parent Label],1,0)&gt;0,"Leaf")</f>
        <v>Leaf</v>
      </c>
      <c r="I217" s="9">
        <v>145</v>
      </c>
      <c r="J217" s="10">
        <v>143</v>
      </c>
      <c r="K217" s="10" t="s">
        <v>842</v>
      </c>
      <c r="L217" s="10"/>
      <c r="M217" s="10" t="s">
        <v>843</v>
      </c>
      <c r="N217" s="10" t="s">
        <v>844</v>
      </c>
      <c r="O217" s="10"/>
      <c r="P217" s="10" t="s">
        <v>812</v>
      </c>
      <c r="Q217" s="11" t="s">
        <v>35</v>
      </c>
      <c r="R217" s="10" t="b">
        <v>1</v>
      </c>
      <c r="S217" s="10">
        <v>1</v>
      </c>
      <c r="T217" s="10" t="s">
        <v>36</v>
      </c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>
        <v>3</v>
      </c>
    </row>
    <row r="218" spans="2:32" x14ac:dyDescent="0.25">
      <c r="B218" s="4">
        <f>(ROW(tDICT[[#This Row],[Table Name]])-ROW(tDICT[[#Headers],[Table Name]]))*8</f>
        <v>1712</v>
      </c>
      <c r="C218" s="5" t="str">
        <f>pTABLE</f>
        <v>dbo.tbl_D_COMPONENT</v>
      </c>
      <c r="D218" s="6"/>
      <c r="E218" s="7" t="str">
        <f ca="1">IFERROR(REPT("  ", tDICT[[#This Row],[LVL]]-1) &amp; tDICT[[#This Row],[Name]], tDICT[[#This Row],[Name]])</f>
        <v xml:space="preserve">    Total Payment Deferral</v>
      </c>
      <c r="F218" s="8">
        <f ca="1">IF(tDICT[Level Number]="",OFFSET(tDICT[[#This Row],[Level Number]],-1,0),tDICT[Level Number])</f>
        <v>3</v>
      </c>
      <c r="G21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18" s="8" t="str">
        <f ca="1">_xlfn.IFNA(VLOOKUP(tDICT[[#This Row],[Label]],tDICT[Parent Label],1,0)&gt;0,"Leaf")</f>
        <v>Leaf</v>
      </c>
      <c r="I218" s="9">
        <v>146</v>
      </c>
      <c r="J218" s="10">
        <v>143</v>
      </c>
      <c r="K218" s="10" t="s">
        <v>845</v>
      </c>
      <c r="L218" s="10"/>
      <c r="M218" s="10" t="s">
        <v>846</v>
      </c>
      <c r="N218" s="10" t="s">
        <v>847</v>
      </c>
      <c r="O218" s="10"/>
      <c r="P218" s="10" t="s">
        <v>812</v>
      </c>
      <c r="Q218" s="11" t="s">
        <v>35</v>
      </c>
      <c r="R218" s="10" t="b">
        <v>1</v>
      </c>
      <c r="S218" s="10">
        <v>1</v>
      </c>
      <c r="T218" s="10" t="s">
        <v>36</v>
      </c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>
        <v>3</v>
      </c>
    </row>
    <row r="219" spans="2:32" x14ac:dyDescent="0.25">
      <c r="B219" s="4">
        <f>(ROW(tDICT[[#This Row],[Table Name]])-ROW(tDICT[[#Headers],[Table Name]]))*8</f>
        <v>1720</v>
      </c>
      <c r="C219" s="5" t="str">
        <f>pTABLE</f>
        <v>dbo.tbl_D_COMPONENT</v>
      </c>
      <c r="D219" s="6"/>
      <c r="E219" s="7" t="str">
        <f ca="1">IFERROR(REPT("  ", tDICT[[#This Row],[LVL]]-1) &amp; tDICT[[#This Row],[Name]], tDICT[[#This Row],[Name]])</f>
        <v xml:space="preserve">    Vacation Pay Bonus</v>
      </c>
      <c r="F219" s="8">
        <f ca="1">IF(tDICT[Level Number]="",OFFSET(tDICT[[#This Row],[Level Number]],-1,0),tDICT[Level Number])</f>
        <v>3</v>
      </c>
      <c r="G21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19" s="8" t="str">
        <f ca="1">_xlfn.IFNA(VLOOKUP(tDICT[[#This Row],[Label]],tDICT[Parent Label],1,0)&gt;0,"Leaf")</f>
        <v>Leaf</v>
      </c>
      <c r="I219" s="9">
        <v>133</v>
      </c>
      <c r="J219" s="10">
        <v>143</v>
      </c>
      <c r="K219" s="10" t="s">
        <v>848</v>
      </c>
      <c r="L219" s="10"/>
      <c r="M219" s="10" t="s">
        <v>849</v>
      </c>
      <c r="N219" s="10" t="s">
        <v>850</v>
      </c>
      <c r="O219" s="10"/>
      <c r="P219" s="10" t="s">
        <v>812</v>
      </c>
      <c r="Q219" s="11" t="s">
        <v>40</v>
      </c>
      <c r="R219" s="10" t="b">
        <v>1</v>
      </c>
      <c r="S219" s="10"/>
      <c r="T219" s="10" t="s">
        <v>36</v>
      </c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>
        <v>3</v>
      </c>
    </row>
    <row r="220" spans="2:32" x14ac:dyDescent="0.25">
      <c r="B220" s="4">
        <f>(ROW(tDICT[[#This Row],[Table Name]])-ROW(tDICT[[#Headers],[Table Name]]))*8</f>
        <v>1728</v>
      </c>
      <c r="C220" s="5" t="str">
        <f>pTABLE</f>
        <v>dbo.tbl_D_COMPONENT</v>
      </c>
      <c r="D220" s="6"/>
      <c r="E220" s="7" t="str">
        <f ca="1">IFERROR(REPT("  ", tDICT[[#This Row],[LVL]]-1) &amp; tDICT[[#This Row],[Name]], tDICT[[#This Row],[Name]])</f>
        <v xml:space="preserve">    Vacation Pay Deferral</v>
      </c>
      <c r="F220" s="8">
        <f ca="1">IF(tDICT[Level Number]="",OFFSET(tDICT[[#This Row],[Level Number]],-1,0),tDICT[Level Number])</f>
        <v>3</v>
      </c>
      <c r="G22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20" s="8" t="str">
        <f ca="1">_xlfn.IFNA(VLOOKUP(tDICT[[#This Row],[Label]],tDICT[Parent Label],1,0)&gt;0,"Leaf")</f>
        <v>Leaf</v>
      </c>
      <c r="I220" s="9">
        <v>134</v>
      </c>
      <c r="J220" s="10">
        <v>143</v>
      </c>
      <c r="K220" s="10" t="s">
        <v>851</v>
      </c>
      <c r="L220" s="10"/>
      <c r="M220" s="10" t="s">
        <v>852</v>
      </c>
      <c r="N220" s="10" t="s">
        <v>853</v>
      </c>
      <c r="O220" s="10"/>
      <c r="P220" s="10" t="s">
        <v>812</v>
      </c>
      <c r="Q220" s="11" t="s">
        <v>40</v>
      </c>
      <c r="R220" s="10" t="b">
        <v>1</v>
      </c>
      <c r="S220" s="10"/>
      <c r="T220" s="10" t="s">
        <v>36</v>
      </c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>
        <v>3</v>
      </c>
    </row>
    <row r="221" spans="2:32" x14ac:dyDescent="0.25">
      <c r="B221" s="4">
        <f>(ROW(tDICT[[#This Row],[Table Name]])-ROW(tDICT[[#Headers],[Table Name]]))*8</f>
        <v>1736</v>
      </c>
      <c r="C221" s="5" t="str">
        <f>pTABLE</f>
        <v>dbo.tbl_D_COMPONENT</v>
      </c>
      <c r="D221" s="6"/>
      <c r="E221" s="7" t="str">
        <f ca="1">IFERROR(REPT("  ", tDICT[[#This Row],[LVL]]-1) &amp; tDICT[[#This Row],[Name]], tDICT[[#This Row],[Name]])</f>
        <v xml:space="preserve">    Annual Bonus Indicator</v>
      </c>
      <c r="F221" s="8">
        <f ca="1">IF(tDICT[Level Number]="",OFFSET(tDICT[[#This Row],[Level Number]],-1,0),tDICT[Level Number])</f>
        <v>3</v>
      </c>
      <c r="G22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21" s="8" t="str">
        <f ca="1">_xlfn.IFNA(VLOOKUP(tDICT[[#This Row],[Label]],tDICT[Parent Label],1,0)&gt;0,"Leaf")</f>
        <v>Leaf</v>
      </c>
      <c r="I221" s="9">
        <v>147</v>
      </c>
      <c r="J221" s="10">
        <v>143</v>
      </c>
      <c r="K221" s="10" t="s">
        <v>854</v>
      </c>
      <c r="L221" s="10"/>
      <c r="M221" s="10" t="s">
        <v>855</v>
      </c>
      <c r="N221" s="10" t="s">
        <v>856</v>
      </c>
      <c r="O221" s="10" t="s">
        <v>857</v>
      </c>
      <c r="P221" s="10" t="s">
        <v>812</v>
      </c>
      <c r="Q221" s="11" t="s">
        <v>35</v>
      </c>
      <c r="R221" s="10" t="b">
        <v>1</v>
      </c>
      <c r="S221" s="10">
        <v>1</v>
      </c>
      <c r="T221" s="10" t="s">
        <v>36</v>
      </c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>
        <v>3</v>
      </c>
    </row>
    <row r="222" spans="2:32" x14ac:dyDescent="0.25">
      <c r="B222" s="4">
        <f>(ROW(tDICT[[#This Row],[Table Name]])-ROW(tDICT[[#Headers],[Table Name]]))*8</f>
        <v>1744</v>
      </c>
      <c r="C222" s="5" t="str">
        <f>pTABLE</f>
        <v>dbo.tbl_D_COMPONENT</v>
      </c>
      <c r="D222" s="6"/>
      <c r="E222" s="7" t="str">
        <f ca="1">IFERROR(REPT("  ", tDICT[[#This Row],[LVL]]-1) &amp; tDICT[[#This Row],[Name]], tDICT[[#This Row],[Name]])</f>
        <v xml:space="preserve">    Annual Bonus Percent</v>
      </c>
      <c r="F222" s="8">
        <f ca="1">IF(tDICT[Level Number]="",OFFSET(tDICT[[#This Row],[Level Number]],-1,0),tDICT[Level Number])</f>
        <v>3</v>
      </c>
      <c r="G22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22" s="8" t="str">
        <f ca="1">_xlfn.IFNA(VLOOKUP(tDICT[[#This Row],[Label]],tDICT[Parent Label],1,0)&gt;0,"Leaf")</f>
        <v>Leaf</v>
      </c>
      <c r="I222" s="9">
        <v>236</v>
      </c>
      <c r="J222" s="10">
        <v>143</v>
      </c>
      <c r="K222" s="10" t="s">
        <v>858</v>
      </c>
      <c r="L222" s="10"/>
      <c r="M222" s="10" t="s">
        <v>859</v>
      </c>
      <c r="N222" s="10" t="s">
        <v>860</v>
      </c>
      <c r="O222" s="10" t="s">
        <v>861</v>
      </c>
      <c r="P222" s="10" t="s">
        <v>812</v>
      </c>
      <c r="Q222" s="11" t="s">
        <v>35</v>
      </c>
      <c r="R222" s="10" t="b">
        <v>1</v>
      </c>
      <c r="S222" s="10">
        <v>1</v>
      </c>
      <c r="T222" s="10" t="s">
        <v>36</v>
      </c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>
        <v>3</v>
      </c>
    </row>
    <row r="223" spans="2:32" x14ac:dyDescent="0.25">
      <c r="B223" s="4">
        <f>(ROW(tDICT[[#This Row],[Table Name]])-ROW(tDICT[[#Headers],[Table Name]]))*8</f>
        <v>1752</v>
      </c>
      <c r="C223" s="5" t="str">
        <f>pTABLE</f>
        <v>dbo.tbl_D_COMPONENT</v>
      </c>
      <c r="D223" s="6"/>
      <c r="E223" s="7" t="str">
        <f ca="1">IFERROR(REPT("  ", tDICT[[#This Row],[LVL]]-1) &amp; tDICT[[#This Row],[Name]], tDICT[[#This Row],[Name]])</f>
        <v xml:space="preserve">    Quarterly Bonus Percent</v>
      </c>
      <c r="F223" s="8">
        <f ca="1">IF(tDICT[Level Number]="",OFFSET(tDICT[[#This Row],[Level Number]],-1,0),tDICT[Level Number])</f>
        <v>3</v>
      </c>
      <c r="G22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23" s="8" t="str">
        <f ca="1">_xlfn.IFNA(VLOOKUP(tDICT[[#This Row],[Label]],tDICT[Parent Label],1,0)&gt;0,"Leaf")</f>
        <v>Leaf</v>
      </c>
      <c r="I223" s="9">
        <v>237</v>
      </c>
      <c r="J223" s="10">
        <v>143</v>
      </c>
      <c r="K223" s="10" t="s">
        <v>862</v>
      </c>
      <c r="L223" s="10"/>
      <c r="M223" s="10" t="s">
        <v>863</v>
      </c>
      <c r="N223" s="10" t="s">
        <v>864</v>
      </c>
      <c r="O223" s="10" t="s">
        <v>865</v>
      </c>
      <c r="P223" s="10" t="s">
        <v>812</v>
      </c>
      <c r="Q223" s="11" t="s">
        <v>35</v>
      </c>
      <c r="R223" s="10" t="b">
        <v>1</v>
      </c>
      <c r="S223" s="10">
        <v>1</v>
      </c>
      <c r="T223" s="10" t="s">
        <v>36</v>
      </c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>
        <v>3</v>
      </c>
    </row>
    <row r="224" spans="2:32" x14ac:dyDescent="0.25">
      <c r="B224" s="4">
        <f>(ROW(tDICT[[#This Row],[Table Name]])-ROW(tDICT[[#Headers],[Table Name]]))*8</f>
        <v>1760</v>
      </c>
      <c r="C224" s="5" t="str">
        <f>pTABLE</f>
        <v>dbo.tbl_D_COMPONENT</v>
      </c>
      <c r="D224" s="6"/>
      <c r="E224" s="7" t="str">
        <f ca="1">IFERROR(REPT("  ", tDICT[[#This Row],[LVL]]-1) &amp; tDICT[[#This Row],[Name]], tDICT[[#This Row],[Name]])</f>
        <v xml:space="preserve">    Monthly Bonus Percent</v>
      </c>
      <c r="F224" s="8">
        <f ca="1">IF(tDICT[Level Number]="",OFFSET(tDICT[[#This Row],[Level Number]],-1,0),tDICT[Level Number])</f>
        <v>3</v>
      </c>
      <c r="G22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24" s="8" t="str">
        <f ca="1">_xlfn.IFNA(VLOOKUP(tDICT[[#This Row],[Label]],tDICT[Parent Label],1,0)&gt;0,"Leaf")</f>
        <v>Leaf</v>
      </c>
      <c r="I224" s="9">
        <v>238</v>
      </c>
      <c r="J224" s="10">
        <v>143</v>
      </c>
      <c r="K224" s="10" t="s">
        <v>866</v>
      </c>
      <c r="L224" s="10"/>
      <c r="M224" s="10" t="s">
        <v>867</v>
      </c>
      <c r="N224" s="10" t="s">
        <v>868</v>
      </c>
      <c r="O224" s="10" t="s">
        <v>869</v>
      </c>
      <c r="P224" s="10" t="s">
        <v>812</v>
      </c>
      <c r="Q224" s="11" t="s">
        <v>35</v>
      </c>
      <c r="R224" s="10" t="b">
        <v>1</v>
      </c>
      <c r="S224" s="10">
        <v>1</v>
      </c>
      <c r="T224" s="10" t="s">
        <v>36</v>
      </c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>
        <v>3</v>
      </c>
    </row>
    <row r="225" spans="2:32" x14ac:dyDescent="0.25">
      <c r="B225" s="4">
        <f>(ROW(tDICT[[#This Row],[Table Name]])-ROW(tDICT[[#Headers],[Table Name]]))*8</f>
        <v>1768</v>
      </c>
      <c r="C225" s="5" t="str">
        <f>pTABLE</f>
        <v>dbo.tbl_D_COMPONENT</v>
      </c>
      <c r="D225" s="6"/>
      <c r="E225" s="7" t="str">
        <f ca="1">IFERROR(REPT("  ", tDICT[[#This Row],[LVL]]-1) &amp; tDICT[[#This Row],[Name]], tDICT[[#This Row],[Name]])</f>
        <v xml:space="preserve">    Expenses under civil contracts</v>
      </c>
      <c r="F225" s="8">
        <f ca="1">IF(tDICT[Level Number]="",OFFSET(tDICT[[#This Row],[Level Number]],-1,0),tDICT[Level Number])</f>
        <v>3</v>
      </c>
      <c r="G22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25" s="8" t="str">
        <f ca="1">_xlfn.IFNA(VLOOKUP(tDICT[[#This Row],[Label]],tDICT[Parent Label],1,0)&gt;0,"Leaf")</f>
        <v>Leaf</v>
      </c>
      <c r="I225" s="9">
        <v>263</v>
      </c>
      <c r="J225" s="10">
        <v>143</v>
      </c>
      <c r="K225" s="10" t="s">
        <v>870</v>
      </c>
      <c r="L225" s="10"/>
      <c r="M225" s="10" t="s">
        <v>871</v>
      </c>
      <c r="N225" s="10" t="s">
        <v>872</v>
      </c>
      <c r="O225" s="10" t="s">
        <v>873</v>
      </c>
      <c r="P225" s="10" t="s">
        <v>812</v>
      </c>
      <c r="Q225" s="11" t="s">
        <v>35</v>
      </c>
      <c r="R225" s="10" t="b">
        <v>1</v>
      </c>
      <c r="S225" s="10">
        <v>1</v>
      </c>
      <c r="T225" s="10" t="s">
        <v>36</v>
      </c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>
        <v>3</v>
      </c>
    </row>
    <row r="226" spans="2:32" x14ac:dyDescent="0.25">
      <c r="B226" s="4">
        <f>(ROW(tDICT[[#This Row],[Table Name]])-ROW(tDICT[[#Headers],[Table Name]]))*8</f>
        <v>1776</v>
      </c>
      <c r="C226" s="5" t="str">
        <f>pTABLE</f>
        <v>dbo.tbl_D_COMPONENT</v>
      </c>
      <c r="D226" s="6"/>
      <c r="E226" s="7" t="str">
        <f ca="1">IFERROR(REPT("  ", tDICT[[#This Row],[LVL]]-1) &amp; tDICT[[#This Row],[Name]], tDICT[[#This Row],[Name]])</f>
        <v xml:space="preserve">    Expenses for sports, cultural and festive events</v>
      </c>
      <c r="F226" s="8">
        <f ca="1">IF(tDICT[Level Number]="",OFFSET(tDICT[[#This Row],[Level Number]],-1,0),tDICT[Level Number])</f>
        <v>3</v>
      </c>
      <c r="G226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26" s="8" t="str">
        <f ca="1">_xlfn.IFNA(VLOOKUP(tDICT[[#This Row],[Label]],tDICT[Parent Label],1,0)&gt;0,"Leaf")</f>
        <v>Leaf</v>
      </c>
      <c r="I226" s="9">
        <v>264</v>
      </c>
      <c r="J226" s="10">
        <v>143</v>
      </c>
      <c r="K226" s="10" t="s">
        <v>874</v>
      </c>
      <c r="L226" s="10"/>
      <c r="M226" s="10" t="s">
        <v>875</v>
      </c>
      <c r="N226" s="10" t="s">
        <v>876</v>
      </c>
      <c r="O226" s="10" t="s">
        <v>877</v>
      </c>
      <c r="P226" s="10" t="s">
        <v>812</v>
      </c>
      <c r="Q226" s="11" t="s">
        <v>35</v>
      </c>
      <c r="R226" s="10" t="b">
        <v>1</v>
      </c>
      <c r="S226" s="10">
        <v>1</v>
      </c>
      <c r="T226" s="10" t="s">
        <v>36</v>
      </c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>
        <v>3</v>
      </c>
    </row>
    <row r="227" spans="2:32" x14ac:dyDescent="0.25">
      <c r="B227" s="4">
        <f>(ROW(tDICT[[#This Row],[Table Name]])-ROW(tDICT[[#Headers],[Table Name]]))*8</f>
        <v>1784</v>
      </c>
      <c r="C227" s="5" t="str">
        <f>pTABLE</f>
        <v>dbo.tbl_D_COMPONENT</v>
      </c>
      <c r="D227" s="6"/>
      <c r="E227" s="7" t="str">
        <f ca="1">IFERROR(REPT("  ", tDICT[[#This Row],[LVL]]-1) &amp; tDICT[[#This Row],[Name]], tDICT[[#This Row],[Name]])</f>
        <v xml:space="preserve">    Information and consulting services</v>
      </c>
      <c r="F227" s="8">
        <f ca="1">IF(tDICT[Level Number]="",OFFSET(tDICT[[#This Row],[Level Number]],-1,0),tDICT[Level Number])</f>
        <v>3</v>
      </c>
      <c r="G227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27" s="8" t="str">
        <f ca="1">_xlfn.IFNA(VLOOKUP(tDICT[[#This Row],[Label]],tDICT[Parent Label],1,0)&gt;0,"Leaf")</f>
        <v>Leaf</v>
      </c>
      <c r="I227" s="9">
        <v>265</v>
      </c>
      <c r="J227" s="10">
        <v>143</v>
      </c>
      <c r="K227" s="10" t="s">
        <v>878</v>
      </c>
      <c r="L227" s="10"/>
      <c r="M227" s="10" t="s">
        <v>879</v>
      </c>
      <c r="N227" s="10" t="s">
        <v>880</v>
      </c>
      <c r="O227" s="10" t="s">
        <v>881</v>
      </c>
      <c r="P227" s="10" t="s">
        <v>812</v>
      </c>
      <c r="Q227" s="11" t="s">
        <v>35</v>
      </c>
      <c r="R227" s="10" t="b">
        <v>1</v>
      </c>
      <c r="S227" s="10">
        <v>1</v>
      </c>
      <c r="T227" s="10" t="s">
        <v>36</v>
      </c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>
        <v>3</v>
      </c>
    </row>
    <row r="228" spans="2:32" x14ac:dyDescent="0.25">
      <c r="B228" s="4">
        <f>(ROW(tDICT[[#This Row],[Table Name]])-ROW(tDICT[[#Headers],[Table Name]]))*8</f>
        <v>1792</v>
      </c>
      <c r="C228" s="5" t="str">
        <f>pTABLE</f>
        <v>dbo.tbl_D_COMPONENT</v>
      </c>
      <c r="D228" s="6"/>
      <c r="E228" s="7" t="str">
        <f ca="1">IFERROR(REPT("  ", tDICT[[#This Row],[LVL]]-1) &amp; tDICT[[#This Row],[Name]], tDICT[[#This Row],[Name]])</f>
        <v xml:space="preserve">    Other professional services</v>
      </c>
      <c r="F228" s="8">
        <f ca="1">IF(tDICT[Level Number]="",OFFSET(tDICT[[#This Row],[Level Number]],-1,0),tDICT[Level Number])</f>
        <v>3</v>
      </c>
      <c r="G228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28" s="8" t="str">
        <f ca="1">_xlfn.IFNA(VLOOKUP(tDICT[[#This Row],[Label]],tDICT[Parent Label],1,0)&gt;0,"Leaf")</f>
        <v>Leaf</v>
      </c>
      <c r="I228" s="9">
        <v>266</v>
      </c>
      <c r="J228" s="10">
        <v>143</v>
      </c>
      <c r="K228" s="10" t="s">
        <v>882</v>
      </c>
      <c r="L228" s="10"/>
      <c r="M228" s="10" t="s">
        <v>883</v>
      </c>
      <c r="N228" s="10" t="s">
        <v>884</v>
      </c>
      <c r="O228" s="10" t="s">
        <v>885</v>
      </c>
      <c r="P228" s="10" t="s">
        <v>812</v>
      </c>
      <c r="Q228" s="11" t="s">
        <v>35</v>
      </c>
      <c r="R228" s="10" t="b">
        <v>1</v>
      </c>
      <c r="S228" s="10">
        <v>1</v>
      </c>
      <c r="T228" s="10" t="s">
        <v>36</v>
      </c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>
        <v>3</v>
      </c>
    </row>
    <row r="229" spans="2:32" x14ac:dyDescent="0.25">
      <c r="B229" s="4">
        <f>(ROW(tDICT[[#This Row],[Table Name]])-ROW(tDICT[[#Headers],[Table Name]]))*8</f>
        <v>1800</v>
      </c>
      <c r="C229" s="5" t="str">
        <f>pTABLE</f>
        <v>dbo.tbl_D_COMPONENT</v>
      </c>
      <c r="D229" s="6"/>
      <c r="E229" s="7" t="str">
        <f ca="1">IFERROR(REPT("  ", tDICT[[#This Row],[LVL]]-1) &amp; tDICT[[#This Row],[Name]], tDICT[[#This Row],[Name]])</f>
        <v xml:space="preserve">    Software acquisition</v>
      </c>
      <c r="F229" s="8">
        <f ca="1">IF(tDICT[Level Number]="",OFFSET(tDICT[[#This Row],[Level Number]],-1,0),tDICT[Level Number])</f>
        <v>3</v>
      </c>
      <c r="G229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29" s="8" t="str">
        <f ca="1">_xlfn.IFNA(VLOOKUP(tDICT[[#This Row],[Label]],tDICT[Parent Label],1,0)&gt;0,"Leaf")</f>
        <v>Leaf</v>
      </c>
      <c r="I229" s="9">
        <v>267</v>
      </c>
      <c r="J229" s="10">
        <v>143</v>
      </c>
      <c r="K229" s="10" t="s">
        <v>886</v>
      </c>
      <c r="L229" s="10"/>
      <c r="M229" s="10" t="s">
        <v>887</v>
      </c>
      <c r="N229" s="10" t="s">
        <v>888</v>
      </c>
      <c r="O229" s="10" t="s">
        <v>889</v>
      </c>
      <c r="P229" s="10" t="s">
        <v>812</v>
      </c>
      <c r="Q229" s="11" t="s">
        <v>35</v>
      </c>
      <c r="R229" s="10" t="b">
        <v>1</v>
      </c>
      <c r="S229" s="10">
        <v>1</v>
      </c>
      <c r="T229" s="10" t="s">
        <v>36</v>
      </c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>
        <v>3</v>
      </c>
    </row>
    <row r="230" spans="2:32" x14ac:dyDescent="0.25">
      <c r="B230" s="4">
        <f>(ROW(tDICT[[#This Row],[Table Name]])-ROW(tDICT[[#Headers],[Table Name]]))*8</f>
        <v>1808</v>
      </c>
      <c r="C230" s="5" t="str">
        <f>pTABLE</f>
        <v>dbo.tbl_D_COMPONENT</v>
      </c>
      <c r="D230" s="6"/>
      <c r="E230" s="7" t="str">
        <f ca="1">IFERROR(REPT("  ", tDICT[[#This Row],[LVL]]-1) &amp; tDICT[[#This Row],[Name]], tDICT[[#This Row],[Name]])</f>
        <v xml:space="preserve">    Total Project Bonus</v>
      </c>
      <c r="F230" s="8">
        <f ca="1">IF(tDICT[Level Number]="",OFFSET(tDICT[[#This Row],[Level Number]],-1,0),tDICT[Level Number])</f>
        <v>3</v>
      </c>
      <c r="G230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30" s="8" t="str">
        <f ca="1">_xlfn.IFNA(VLOOKUP(tDICT[[#This Row],[Label]],tDICT[Parent Label],1,0)&gt;0,"Leaf")</f>
        <v>Leaf</v>
      </c>
      <c r="I230" s="9">
        <v>250</v>
      </c>
      <c r="J230" s="10">
        <v>143</v>
      </c>
      <c r="K230" s="10" t="s">
        <v>890</v>
      </c>
      <c r="L230" s="10"/>
      <c r="M230" s="10" t="s">
        <v>891</v>
      </c>
      <c r="N230" s="10" t="s">
        <v>892</v>
      </c>
      <c r="O230" s="10"/>
      <c r="P230" s="10"/>
      <c r="Q230" s="11" t="s">
        <v>35</v>
      </c>
      <c r="R230" s="10" t="b">
        <v>1</v>
      </c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>
        <v>3</v>
      </c>
    </row>
    <row r="231" spans="2:32" x14ac:dyDescent="0.25">
      <c r="B231" s="4">
        <f>(ROW(tDICT[[#This Row],[Table Name]])-ROW(tDICT[[#Headers],[Table Name]]))*8</f>
        <v>1816</v>
      </c>
      <c r="C231" s="5" t="str">
        <f>pTABLE</f>
        <v>dbo.tbl_D_COMPONENT</v>
      </c>
      <c r="D231" s="6"/>
      <c r="E231" s="7" t="str">
        <f ca="1">IFERROR(REPT("  ", tDICT[[#This Row],[LVL]]-1) &amp; tDICT[[#This Row],[Name]], tDICT[[#This Row],[Name]])</f>
        <v xml:space="preserve">    Acquisition of intangible assets</v>
      </c>
      <c r="F231" s="8">
        <f ca="1">IF(tDICT[Level Number]="",OFFSET(tDICT[[#This Row],[Level Number]],-1,0),tDICT[Level Number])</f>
        <v>3</v>
      </c>
      <c r="G231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31" s="8" t="str">
        <f ca="1">_xlfn.IFNA(VLOOKUP(tDICT[[#This Row],[Label]],tDICT[Parent Label],1,0)&gt;0,"Leaf")</f>
        <v>Leaf</v>
      </c>
      <c r="I231" s="9">
        <v>268</v>
      </c>
      <c r="J231" s="10">
        <v>143</v>
      </c>
      <c r="K231" s="10" t="s">
        <v>893</v>
      </c>
      <c r="L231" s="10"/>
      <c r="M231" s="10" t="s">
        <v>894</v>
      </c>
      <c r="N231" s="10" t="s">
        <v>895</v>
      </c>
      <c r="O231" s="10" t="s">
        <v>896</v>
      </c>
      <c r="P231" s="10" t="s">
        <v>812</v>
      </c>
      <c r="Q231" s="11" t="s">
        <v>35</v>
      </c>
      <c r="R231" s="10" t="b">
        <v>1</v>
      </c>
      <c r="S231" s="10">
        <v>1</v>
      </c>
      <c r="T231" s="10" t="s">
        <v>36</v>
      </c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>
        <v>3</v>
      </c>
    </row>
    <row r="232" spans="2:32" x14ac:dyDescent="0.25">
      <c r="B232" s="4">
        <f>(ROW(tDICT[[#This Row],[Table Name]])-ROW(tDICT[[#Headers],[Table Name]]))*8</f>
        <v>1824</v>
      </c>
      <c r="C232" s="5" t="str">
        <f>pTABLE</f>
        <v>dbo.tbl_D_COMPONENT</v>
      </c>
      <c r="D232" s="6"/>
      <c r="E232" s="7" t="str">
        <f ca="1">IFERROR(REPT("  ", tDICT[[#This Row],[LVL]]-1) &amp; tDICT[[#This Row],[Name]], tDICT[[#This Row],[Name]])</f>
        <v xml:space="preserve">    Deferred Compensation</v>
      </c>
      <c r="F232" s="8">
        <f ca="1">IF(tDICT[Level Number]="",OFFSET(tDICT[[#This Row],[Level Number]],-1,0),tDICT[Level Number])</f>
        <v>3</v>
      </c>
      <c r="G232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32" s="8" t="str">
        <f ca="1">_xlfn.IFNA(VLOOKUP(tDICT[[#This Row],[Label]],tDICT[Parent Label],1,0)&gt;0,"Leaf")</f>
        <v>Leaf</v>
      </c>
      <c r="I232" s="9">
        <v>42150</v>
      </c>
      <c r="J232" s="10">
        <v>143</v>
      </c>
      <c r="K232" s="10"/>
      <c r="L232" s="10"/>
      <c r="M232" s="10" t="s">
        <v>897</v>
      </c>
      <c r="N232" s="10" t="s">
        <v>898</v>
      </c>
      <c r="O232" s="10" t="s">
        <v>898</v>
      </c>
      <c r="P232" s="10"/>
      <c r="Q232" s="11" t="s">
        <v>35</v>
      </c>
      <c r="R232" s="10" t="b">
        <v>1</v>
      </c>
      <c r="S232" s="10"/>
      <c r="T232" s="10" t="s">
        <v>36</v>
      </c>
      <c r="U232" s="10"/>
      <c r="V232" s="10"/>
      <c r="W232" s="10"/>
      <c r="X232" s="10"/>
      <c r="Y232" s="10"/>
      <c r="Z232" s="10" t="s">
        <v>897</v>
      </c>
      <c r="AA232" s="10" t="s">
        <v>898</v>
      </c>
      <c r="AB232" s="10" t="s">
        <v>899</v>
      </c>
      <c r="AC232" s="10">
        <v>1</v>
      </c>
      <c r="AD232" s="10"/>
      <c r="AE232" s="10"/>
      <c r="AF232" s="10">
        <v>3</v>
      </c>
    </row>
    <row r="233" spans="2:32" x14ac:dyDescent="0.25">
      <c r="B233" s="4">
        <f>(ROW(tDICT[[#This Row],[Table Name]])-ROW(tDICT[[#Headers],[Table Name]]))*8</f>
        <v>1832</v>
      </c>
      <c r="C233" s="5" t="str">
        <f>pTABLE</f>
        <v>dbo.tbl_D_COMPONENT</v>
      </c>
      <c r="D233" s="6"/>
      <c r="E233" s="7" t="str">
        <f ca="1">IFERROR(REPT("  ", tDICT[[#This Row],[LVL]]-1) &amp; tDICT[[#This Row],[Name]], tDICT[[#This Row],[Name]])</f>
        <v xml:space="preserve">    Under-/overaccruals - cash</v>
      </c>
      <c r="F233" s="8">
        <f ca="1">IF(tDICT[Level Number]="",OFFSET(tDICT[[#This Row],[Level Number]],-1,0),tDICT[Level Number])</f>
        <v>3</v>
      </c>
      <c r="G233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33" s="8" t="str">
        <f ca="1">_xlfn.IFNA(VLOOKUP(tDICT[[#This Row],[Label]],tDICT[Parent Label],1,0)&gt;0,"Leaf")</f>
        <v>Leaf</v>
      </c>
      <c r="I233" s="9">
        <v>42151</v>
      </c>
      <c r="J233" s="10">
        <v>143</v>
      </c>
      <c r="K233" s="10"/>
      <c r="L233" s="10"/>
      <c r="M233" s="10" t="s">
        <v>900</v>
      </c>
      <c r="N233" s="10" t="s">
        <v>901</v>
      </c>
      <c r="O233" s="10" t="s">
        <v>901</v>
      </c>
      <c r="P233" s="10"/>
      <c r="Q233" s="11" t="s">
        <v>35</v>
      </c>
      <c r="R233" s="10" t="b">
        <v>1</v>
      </c>
      <c r="S233" s="10"/>
      <c r="T233" s="10" t="s">
        <v>36</v>
      </c>
      <c r="U233" s="10"/>
      <c r="V233" s="10"/>
      <c r="W233" s="10"/>
      <c r="X233" s="10"/>
      <c r="Y233" s="10"/>
      <c r="Z233" s="10" t="s">
        <v>900</v>
      </c>
      <c r="AA233" s="10" t="s">
        <v>901</v>
      </c>
      <c r="AB233" s="10" t="s">
        <v>902</v>
      </c>
      <c r="AC233" s="10">
        <v>1</v>
      </c>
      <c r="AD233" s="10" t="s">
        <v>903</v>
      </c>
      <c r="AE233" s="10" t="s">
        <v>904</v>
      </c>
      <c r="AF233" s="10">
        <v>3</v>
      </c>
    </row>
    <row r="234" spans="2:32" x14ac:dyDescent="0.25">
      <c r="B234" s="4">
        <f>(ROW(tDICT[[#This Row],[Table Name]])-ROW(tDICT[[#Headers],[Table Name]]))*8</f>
        <v>1840</v>
      </c>
      <c r="C234" s="5" t="str">
        <f>pTABLE</f>
        <v>dbo.tbl_D_COMPONENT</v>
      </c>
      <c r="D234" s="6"/>
      <c r="E234" s="7" t="str">
        <f ca="1">IFERROR(REPT("  ", tDICT[[#This Row],[LVL]]-1) &amp; tDICT[[#This Row],[Name]], tDICT[[#This Row],[Name]])</f>
        <v xml:space="preserve">    Under-/overaccruals - contribution to social secur</v>
      </c>
      <c r="F234" s="8">
        <f ca="1">IF(tDICT[Level Number]="",OFFSET(tDICT[[#This Row],[Level Number]],-1,0),tDICT[Level Number])</f>
        <v>3</v>
      </c>
      <c r="G234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34" s="8" t="str">
        <f ca="1">_xlfn.IFNA(VLOOKUP(tDICT[[#This Row],[Label]],tDICT[Parent Label],1,0)&gt;0,"Leaf")</f>
        <v>Leaf</v>
      </c>
      <c r="I234" s="9">
        <v>42152</v>
      </c>
      <c r="J234" s="10">
        <v>143</v>
      </c>
      <c r="K234" s="10"/>
      <c r="L234" s="10"/>
      <c r="M234" s="10" t="s">
        <v>905</v>
      </c>
      <c r="N234" s="10" t="s">
        <v>906</v>
      </c>
      <c r="O234" s="10" t="s">
        <v>906</v>
      </c>
      <c r="P234" s="10"/>
      <c r="Q234" s="11" t="s">
        <v>35</v>
      </c>
      <c r="R234" s="10" t="b">
        <v>1</v>
      </c>
      <c r="S234" s="10"/>
      <c r="T234" s="10" t="s">
        <v>36</v>
      </c>
      <c r="U234" s="10"/>
      <c r="V234" s="10"/>
      <c r="W234" s="10"/>
      <c r="X234" s="10"/>
      <c r="Y234" s="10"/>
      <c r="Z234" s="10" t="s">
        <v>905</v>
      </c>
      <c r="AA234" s="10" t="s">
        <v>906</v>
      </c>
      <c r="AB234" s="10" t="s">
        <v>907</v>
      </c>
      <c r="AC234" s="10">
        <v>1</v>
      </c>
      <c r="AD234" s="10" t="s">
        <v>908</v>
      </c>
      <c r="AE234" s="10" t="s">
        <v>909</v>
      </c>
      <c r="AF234" s="10">
        <v>3</v>
      </c>
    </row>
    <row r="235" spans="2:32" x14ac:dyDescent="0.25">
      <c r="B235" s="4">
        <f>(ROW(tDICT[[#This Row],[Table Name]])-ROW(tDICT[[#Headers],[Table Name]]))*8</f>
        <v>1848</v>
      </c>
      <c r="C235" s="5" t="str">
        <f>pTABLE</f>
        <v>dbo.tbl_D_COMPONENT</v>
      </c>
      <c r="D235" s="6"/>
      <c r="E235" s="7" t="str">
        <f ca="1">IFERROR(REPT("  ", tDICT[[#This Row],[LVL]]-1) &amp; tDICT[[#This Row],[Name]], tDICT[[#This Row],[Name]])</f>
        <v xml:space="preserve">    Social Security on Deferrals</v>
      </c>
      <c r="F235" s="8">
        <f ca="1">IF(tDICT[Level Number]="",OFFSET(tDICT[[#This Row],[Level Number]],-1,0),tDICT[Level Number])</f>
        <v>3</v>
      </c>
      <c r="G235" s="8" t="str">
        <f ca="1">IFERROR(IF(tDICT[[#This Row],[LVL]]=OFFSET(tDICT[[#This Row],[LVL]],-1,0)+1,OFFSET(tDICT[[#This Row],[Label]],-1,0),IF(tDICT[[#This Row],[LVL]]&lt;OFFSET(tDICT[[#This Row],[LVL]],-1,0),"",OFFSET(tDICT[[#This Row],[Parent Label]],-1,0))),"")</f>
        <v/>
      </c>
      <c r="H235" s="8" t="str">
        <f ca="1">_xlfn.IFNA(VLOOKUP(tDICT[[#This Row],[Label]],tDICT[Parent Label],1,0)&gt;0,"Leaf")</f>
        <v>Leaf</v>
      </c>
      <c r="I235" s="9">
        <v>42153</v>
      </c>
      <c r="J235" s="10">
        <v>143</v>
      </c>
      <c r="K235" s="10"/>
      <c r="L235" s="10"/>
      <c r="M235" s="10" t="s">
        <v>910</v>
      </c>
      <c r="N235" s="10" t="s">
        <v>911</v>
      </c>
      <c r="O235" s="10" t="s">
        <v>911</v>
      </c>
      <c r="P235" s="10"/>
      <c r="Q235" s="11" t="s">
        <v>35</v>
      </c>
      <c r="R235" s="10" t="b">
        <v>1</v>
      </c>
      <c r="S235" s="10"/>
      <c r="T235" s="10" t="s">
        <v>36</v>
      </c>
      <c r="U235" s="10"/>
      <c r="V235" s="10"/>
      <c r="W235" s="10"/>
      <c r="X235" s="10"/>
      <c r="Y235" s="10"/>
      <c r="Z235" s="10" t="s">
        <v>910</v>
      </c>
      <c r="AA235" s="10" t="s">
        <v>911</v>
      </c>
      <c r="AB235" s="10" t="s">
        <v>912</v>
      </c>
      <c r="AC235" s="10">
        <v>1</v>
      </c>
      <c r="AD235" s="10"/>
      <c r="AE235" s="10"/>
      <c r="AF235" s="10">
        <v>3</v>
      </c>
    </row>
  </sheetData>
  <protectedRanges>
    <protectedRange sqref="J5:AC235" name="Range1"/>
  </protectedRanges>
  <conditionalFormatting sqref="E5:E235">
    <cfRule type="expression" dxfId="36" priority="1">
      <formula>$H5="Leaf"</formula>
    </cfRule>
  </conditionalFormatting>
  <conditionalFormatting sqref="B5:I235">
    <cfRule type="expression" dxfId="35" priority="2">
      <formula>$D5="update"</formula>
    </cfRule>
    <cfRule type="expression" dxfId="34" priority="3">
      <formula>$D5="insert"</formula>
    </cfRule>
    <cfRule type="expression" dxfId="33" priority="4">
      <formula>$D5="delete"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Obycheva, Anna</dc:creator>
  <cp:lastModifiedBy>Obycheva, Anna</cp:lastModifiedBy>
  <cp:lastPrinted>2026-09-17T14:34:53Z</cp:lastPrinted>
  <dcterms:created xsi:type="dcterms:W3CDTF">2026-09-17T14:34:07Z</dcterms:created>
  <dcterms:modified xsi:type="dcterms:W3CDTF">2026-09-17T14:36:54Z</dcterms:modified>
</cp:coreProperties>
</file>