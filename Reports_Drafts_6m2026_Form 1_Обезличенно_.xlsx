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6" i="1" l="1"/>
  <c r="B186" i="1"/>
  <c r="C185" i="1"/>
  <c r="B185" i="1"/>
  <c r="C184" i="1"/>
  <c r="B184" i="1"/>
  <c r="L183" i="1"/>
  <c r="N183" i="1" s="1"/>
  <c r="I183" i="1"/>
  <c r="H183" i="1"/>
  <c r="E183" i="1"/>
  <c r="C183" i="1"/>
  <c r="B183" i="1"/>
  <c r="L182" i="1"/>
  <c r="N182" i="1" s="1"/>
  <c r="H182" i="1"/>
  <c r="E182" i="1"/>
  <c r="D182" i="1"/>
  <c r="C182" i="1"/>
  <c r="B182" i="1"/>
  <c r="C181" i="1"/>
  <c r="B181" i="1"/>
  <c r="L180" i="1"/>
  <c r="N180" i="1" s="1"/>
  <c r="I180" i="1"/>
  <c r="H180" i="1"/>
  <c r="E180" i="1"/>
  <c r="D180" i="1"/>
  <c r="C180" i="1"/>
  <c r="B180" i="1"/>
  <c r="L179" i="1"/>
  <c r="I179" i="1"/>
  <c r="H179" i="1"/>
  <c r="E179" i="1"/>
  <c r="E181" i="1" s="1"/>
  <c r="D179" i="1"/>
  <c r="C179" i="1"/>
  <c r="B179" i="1"/>
  <c r="C178" i="1"/>
  <c r="B178" i="1"/>
  <c r="L177" i="1"/>
  <c r="N177" i="1" s="1"/>
  <c r="I177" i="1"/>
  <c r="H177" i="1"/>
  <c r="E177" i="1"/>
  <c r="D177" i="1"/>
  <c r="C177" i="1"/>
  <c r="B177" i="1"/>
  <c r="L176" i="1"/>
  <c r="N176" i="1" s="1"/>
  <c r="I176" i="1"/>
  <c r="E176" i="1"/>
  <c r="E178" i="1" s="1"/>
  <c r="D176" i="1"/>
  <c r="D178" i="1" s="1"/>
  <c r="C176" i="1"/>
  <c r="B176" i="1"/>
  <c r="C175" i="1"/>
  <c r="B175" i="1"/>
  <c r="C174" i="1"/>
  <c r="B174" i="1"/>
  <c r="L173" i="1"/>
  <c r="N173" i="1" s="1"/>
  <c r="I173" i="1"/>
  <c r="H173" i="1"/>
  <c r="E173" i="1"/>
  <c r="D173" i="1"/>
  <c r="C173" i="1"/>
  <c r="B173" i="1"/>
  <c r="L172" i="1"/>
  <c r="N172" i="1" s="1"/>
  <c r="I172" i="1"/>
  <c r="H172" i="1"/>
  <c r="E172" i="1"/>
  <c r="D172" i="1"/>
  <c r="C172" i="1"/>
  <c r="B172" i="1"/>
  <c r="C171" i="1"/>
  <c r="B171" i="1"/>
  <c r="C170" i="1"/>
  <c r="B170" i="1"/>
  <c r="C169" i="1"/>
  <c r="B169" i="1"/>
  <c r="L168" i="1"/>
  <c r="N168" i="1" s="1"/>
  <c r="I168" i="1"/>
  <c r="H168" i="1"/>
  <c r="D168" i="1"/>
  <c r="C168" i="1"/>
  <c r="B168" i="1"/>
  <c r="L167" i="1"/>
  <c r="N167" i="1" s="1"/>
  <c r="I167" i="1"/>
  <c r="I169" i="1" s="1"/>
  <c r="H167" i="1"/>
  <c r="D167" i="1"/>
  <c r="C167" i="1"/>
  <c r="B167" i="1"/>
  <c r="C166" i="1"/>
  <c r="B166" i="1"/>
  <c r="L165" i="1"/>
  <c r="N165" i="1" s="1"/>
  <c r="I165" i="1"/>
  <c r="E165" i="1"/>
  <c r="D165" i="1"/>
  <c r="C165" i="1"/>
  <c r="B165" i="1"/>
  <c r="L164" i="1"/>
  <c r="I164" i="1"/>
  <c r="E164" i="1"/>
  <c r="E166" i="1" s="1"/>
  <c r="D164" i="1"/>
  <c r="D166" i="1" s="1"/>
  <c r="C164" i="1"/>
  <c r="B164" i="1"/>
  <c r="C163" i="1"/>
  <c r="B163" i="1"/>
  <c r="L162" i="1"/>
  <c r="N162" i="1" s="1"/>
  <c r="I162" i="1"/>
  <c r="E162" i="1"/>
  <c r="C162" i="1"/>
  <c r="B162" i="1"/>
  <c r="L161" i="1"/>
  <c r="N161" i="1" s="1"/>
  <c r="I161" i="1"/>
  <c r="I163" i="1" s="1"/>
  <c r="E161" i="1"/>
  <c r="E163" i="1" s="1"/>
  <c r="C161" i="1"/>
  <c r="B161" i="1"/>
  <c r="C160" i="1"/>
  <c r="B160" i="1"/>
  <c r="C159" i="1"/>
  <c r="B159" i="1"/>
  <c r="L158" i="1"/>
  <c r="N158" i="1" s="1"/>
  <c r="I158" i="1"/>
  <c r="H158" i="1"/>
  <c r="E158" i="1"/>
  <c r="D158" i="1"/>
  <c r="C158" i="1"/>
  <c r="B158" i="1"/>
  <c r="L157" i="1"/>
  <c r="N157" i="1" s="1"/>
  <c r="I157" i="1"/>
  <c r="H157" i="1"/>
  <c r="E157" i="1"/>
  <c r="D157" i="1"/>
  <c r="C157" i="1"/>
  <c r="B157" i="1"/>
  <c r="C156" i="1"/>
  <c r="B156" i="1"/>
  <c r="L155" i="1"/>
  <c r="N155" i="1" s="1"/>
  <c r="I155" i="1"/>
  <c r="H155" i="1"/>
  <c r="E155" i="1"/>
  <c r="D155" i="1"/>
  <c r="C155" i="1"/>
  <c r="B155" i="1"/>
  <c r="L154" i="1"/>
  <c r="I154" i="1"/>
  <c r="H154" i="1"/>
  <c r="E154" i="1"/>
  <c r="E156" i="1" s="1"/>
  <c r="D154" i="1"/>
  <c r="C154" i="1"/>
  <c r="B154" i="1"/>
  <c r="C153" i="1"/>
  <c r="B153" i="1"/>
  <c r="L152" i="1"/>
  <c r="N152" i="1" s="1"/>
  <c r="I152" i="1"/>
  <c r="H152" i="1"/>
  <c r="E152" i="1"/>
  <c r="D152" i="1"/>
  <c r="C152" i="1"/>
  <c r="B152" i="1"/>
  <c r="L151" i="1"/>
  <c r="I151" i="1"/>
  <c r="H151" i="1"/>
  <c r="H153" i="1" s="1"/>
  <c r="E151" i="1"/>
  <c r="E153" i="1" s="1"/>
  <c r="D151" i="1"/>
  <c r="C151" i="1"/>
  <c r="B151" i="1"/>
  <c r="C150" i="1"/>
  <c r="B150" i="1"/>
  <c r="L149" i="1"/>
  <c r="N149" i="1" s="1"/>
  <c r="I149" i="1"/>
  <c r="H149" i="1"/>
  <c r="E149" i="1"/>
  <c r="D149" i="1"/>
  <c r="C149" i="1"/>
  <c r="B149" i="1"/>
  <c r="L148" i="1"/>
  <c r="N148" i="1" s="1"/>
  <c r="I148" i="1"/>
  <c r="H148" i="1"/>
  <c r="E148" i="1"/>
  <c r="D148" i="1"/>
  <c r="C148" i="1"/>
  <c r="B148" i="1"/>
  <c r="I147" i="1"/>
  <c r="D147" i="1"/>
  <c r="C147" i="1"/>
  <c r="B147" i="1"/>
  <c r="L146" i="1"/>
  <c r="N146" i="1" s="1"/>
  <c r="I146" i="1"/>
  <c r="H146" i="1"/>
  <c r="E146" i="1"/>
  <c r="D146" i="1"/>
  <c r="C146" i="1"/>
  <c r="B146" i="1"/>
  <c r="L145" i="1"/>
  <c r="L147" i="1" s="1"/>
  <c r="N147" i="1" s="1"/>
  <c r="I145" i="1"/>
  <c r="D145" i="1"/>
  <c r="C145" i="1"/>
  <c r="B145" i="1"/>
  <c r="C144" i="1"/>
  <c r="B144" i="1"/>
  <c r="C143" i="1"/>
  <c r="B143" i="1"/>
  <c r="L142" i="1"/>
  <c r="N142" i="1" s="1"/>
  <c r="I142" i="1"/>
  <c r="H142" i="1"/>
  <c r="E142" i="1"/>
  <c r="D142" i="1"/>
  <c r="C142" i="1"/>
  <c r="B142" i="1"/>
  <c r="L141" i="1"/>
  <c r="N141" i="1" s="1"/>
  <c r="I141" i="1"/>
  <c r="I143" i="1" s="1"/>
  <c r="H141" i="1"/>
  <c r="H143" i="1" s="1"/>
  <c r="E141" i="1"/>
  <c r="E143" i="1" s="1"/>
  <c r="D141" i="1"/>
  <c r="D143" i="1" s="1"/>
  <c r="C141" i="1"/>
  <c r="B141" i="1"/>
  <c r="C140" i="1"/>
  <c r="B140" i="1"/>
  <c r="L139" i="1"/>
  <c r="N139" i="1" s="1"/>
  <c r="I139" i="1"/>
  <c r="H139" i="1"/>
  <c r="E139" i="1"/>
  <c r="D139" i="1"/>
  <c r="C139" i="1"/>
  <c r="B139" i="1"/>
  <c r="L138" i="1"/>
  <c r="N138" i="1" s="1"/>
  <c r="I138" i="1"/>
  <c r="H138" i="1"/>
  <c r="E138" i="1"/>
  <c r="D138" i="1"/>
  <c r="C138" i="1"/>
  <c r="B138" i="1"/>
  <c r="H137" i="1"/>
  <c r="C137" i="1"/>
  <c r="B137" i="1"/>
  <c r="L136" i="1"/>
  <c r="N136" i="1" s="1"/>
  <c r="I136" i="1"/>
  <c r="H136" i="1"/>
  <c r="D136" i="1"/>
  <c r="D137" i="1" s="1"/>
  <c r="C136" i="1"/>
  <c r="B136" i="1"/>
  <c r="L135" i="1"/>
  <c r="L137" i="1" s="1"/>
  <c r="N137" i="1" s="1"/>
  <c r="I135" i="1"/>
  <c r="H135" i="1"/>
  <c r="D135" i="1"/>
  <c r="C135" i="1"/>
  <c r="B135" i="1"/>
  <c r="H134" i="1"/>
  <c r="C134" i="1"/>
  <c r="B134" i="1"/>
  <c r="L133" i="1"/>
  <c r="N133" i="1" s="1"/>
  <c r="I133" i="1"/>
  <c r="H133" i="1"/>
  <c r="D133" i="1"/>
  <c r="C133" i="1"/>
  <c r="B133" i="1"/>
  <c r="L132" i="1"/>
  <c r="L134" i="1" s="1"/>
  <c r="N134" i="1" s="1"/>
  <c r="I132" i="1"/>
  <c r="I134" i="1" s="1"/>
  <c r="H132" i="1"/>
  <c r="D132" i="1"/>
  <c r="C132" i="1"/>
  <c r="B132" i="1"/>
  <c r="C129" i="1"/>
  <c r="B129" i="1"/>
  <c r="C128" i="1"/>
  <c r="B128" i="1"/>
  <c r="L127" i="1"/>
  <c r="I127" i="1"/>
  <c r="H127" i="1"/>
  <c r="C127" i="1"/>
  <c r="B127" i="1"/>
  <c r="M126" i="1"/>
  <c r="N126" i="1" s="1"/>
  <c r="K126" i="1"/>
  <c r="J126" i="1"/>
  <c r="E126" i="1"/>
  <c r="G126" i="1" s="1"/>
  <c r="C126" i="1"/>
  <c r="B126" i="1"/>
  <c r="M125" i="1"/>
  <c r="N125" i="1" s="1"/>
  <c r="K125" i="1"/>
  <c r="J125" i="1"/>
  <c r="G125" i="1"/>
  <c r="E125" i="1"/>
  <c r="F125" i="1" s="1"/>
  <c r="C125" i="1"/>
  <c r="B125" i="1"/>
  <c r="L124" i="1"/>
  <c r="I124" i="1"/>
  <c r="I128" i="1" s="1"/>
  <c r="H124" i="1"/>
  <c r="K124" i="1" s="1"/>
  <c r="E124" i="1"/>
  <c r="D124" i="1"/>
  <c r="C124" i="1"/>
  <c r="B124" i="1"/>
  <c r="M123" i="1"/>
  <c r="N123" i="1" s="1"/>
  <c r="K123" i="1"/>
  <c r="J123" i="1"/>
  <c r="G123" i="1"/>
  <c r="F123" i="1"/>
  <c r="C123" i="1"/>
  <c r="B123" i="1"/>
  <c r="M122" i="1"/>
  <c r="N122" i="1" s="1"/>
  <c r="K122" i="1"/>
  <c r="J122" i="1"/>
  <c r="G122" i="1"/>
  <c r="F122" i="1"/>
  <c r="C122" i="1"/>
  <c r="B122" i="1"/>
  <c r="L121" i="1"/>
  <c r="M121" i="1" s="1"/>
  <c r="N121" i="1" s="1"/>
  <c r="K121" i="1"/>
  <c r="J121" i="1"/>
  <c r="I121" i="1"/>
  <c r="H121" i="1"/>
  <c r="E121" i="1"/>
  <c r="D121" i="1"/>
  <c r="G121" i="1" s="1"/>
  <c r="C121" i="1"/>
  <c r="B121" i="1"/>
  <c r="M120" i="1"/>
  <c r="N120" i="1" s="1"/>
  <c r="K120" i="1"/>
  <c r="J120" i="1"/>
  <c r="G120" i="1"/>
  <c r="F120" i="1"/>
  <c r="C120" i="1"/>
  <c r="B120" i="1"/>
  <c r="M119" i="1"/>
  <c r="N119" i="1" s="1"/>
  <c r="K119" i="1"/>
  <c r="J119" i="1"/>
  <c r="G119" i="1"/>
  <c r="F119" i="1"/>
  <c r="C119" i="1"/>
  <c r="B119" i="1"/>
  <c r="C118" i="1"/>
  <c r="B118" i="1"/>
  <c r="L117" i="1"/>
  <c r="L118" i="1" s="1"/>
  <c r="I117" i="1"/>
  <c r="I118" i="1" s="1"/>
  <c r="J118" i="1" s="1"/>
  <c r="H117" i="1"/>
  <c r="H118" i="1" s="1"/>
  <c r="M118" i="1" s="1"/>
  <c r="N118" i="1" s="1"/>
  <c r="E117" i="1"/>
  <c r="E118" i="1" s="1"/>
  <c r="D117" i="1"/>
  <c r="C117" i="1"/>
  <c r="B117" i="1"/>
  <c r="M116" i="1"/>
  <c r="N116" i="1" s="1"/>
  <c r="K116" i="1"/>
  <c r="J116" i="1"/>
  <c r="G116" i="1"/>
  <c r="F116" i="1"/>
  <c r="C116" i="1"/>
  <c r="B116" i="1"/>
  <c r="M115" i="1"/>
  <c r="N115" i="1" s="1"/>
  <c r="K115" i="1"/>
  <c r="J115" i="1"/>
  <c r="G115" i="1"/>
  <c r="F115" i="1"/>
  <c r="C115" i="1"/>
  <c r="B115" i="1"/>
  <c r="C114" i="1"/>
  <c r="B114" i="1"/>
  <c r="C113" i="1"/>
  <c r="B113" i="1"/>
  <c r="L112" i="1"/>
  <c r="I112" i="1"/>
  <c r="H112" i="1"/>
  <c r="D112" i="1"/>
  <c r="C112" i="1"/>
  <c r="B112" i="1"/>
  <c r="M111" i="1"/>
  <c r="N111" i="1" s="1"/>
  <c r="K111" i="1"/>
  <c r="J111" i="1"/>
  <c r="E111" i="1"/>
  <c r="F111" i="1" s="1"/>
  <c r="C111" i="1"/>
  <c r="B111" i="1"/>
  <c r="M110" i="1"/>
  <c r="N110" i="1" s="1"/>
  <c r="K110" i="1"/>
  <c r="J110" i="1"/>
  <c r="E110" i="1"/>
  <c r="E167" i="1" s="1"/>
  <c r="C110" i="1"/>
  <c r="B110" i="1"/>
  <c r="L109" i="1"/>
  <c r="I109" i="1"/>
  <c r="H109" i="1"/>
  <c r="J109" i="1" s="1"/>
  <c r="E109" i="1"/>
  <c r="D109" i="1"/>
  <c r="C109" i="1"/>
  <c r="B109" i="1"/>
  <c r="M108" i="1"/>
  <c r="N108" i="1" s="1"/>
  <c r="K108" i="1"/>
  <c r="J108" i="1"/>
  <c r="G108" i="1"/>
  <c r="F108" i="1"/>
  <c r="C108" i="1"/>
  <c r="B108" i="1"/>
  <c r="M107" i="1"/>
  <c r="N107" i="1" s="1"/>
  <c r="K107" i="1"/>
  <c r="J107" i="1"/>
  <c r="G107" i="1"/>
  <c r="F107" i="1"/>
  <c r="C107" i="1"/>
  <c r="B107" i="1"/>
  <c r="L106" i="1"/>
  <c r="I106" i="1"/>
  <c r="H106" i="1"/>
  <c r="E106" i="1"/>
  <c r="G106" i="1" s="1"/>
  <c r="D106" i="1"/>
  <c r="C106" i="1"/>
  <c r="B106" i="1"/>
  <c r="M105" i="1"/>
  <c r="N105" i="1" s="1"/>
  <c r="K105" i="1"/>
  <c r="J105" i="1"/>
  <c r="G105" i="1"/>
  <c r="F105" i="1"/>
  <c r="C105" i="1"/>
  <c r="B105" i="1"/>
  <c r="M104" i="1"/>
  <c r="N104" i="1" s="1"/>
  <c r="K104" i="1"/>
  <c r="J104" i="1"/>
  <c r="G104" i="1"/>
  <c r="F104" i="1"/>
  <c r="C104" i="1"/>
  <c r="B104" i="1"/>
  <c r="C103" i="1"/>
  <c r="B103" i="1"/>
  <c r="L102" i="1"/>
  <c r="M102" i="1" s="1"/>
  <c r="N102" i="1" s="1"/>
  <c r="I102" i="1"/>
  <c r="H102" i="1"/>
  <c r="E102" i="1"/>
  <c r="D102" i="1"/>
  <c r="G102" i="1" s="1"/>
  <c r="C102" i="1"/>
  <c r="B102" i="1"/>
  <c r="M101" i="1"/>
  <c r="N101" i="1" s="1"/>
  <c r="K101" i="1"/>
  <c r="J101" i="1"/>
  <c r="G101" i="1"/>
  <c r="F101" i="1"/>
  <c r="C101" i="1"/>
  <c r="B101" i="1"/>
  <c r="M100" i="1"/>
  <c r="N100" i="1" s="1"/>
  <c r="K100" i="1"/>
  <c r="J100" i="1"/>
  <c r="G100" i="1"/>
  <c r="F100" i="1"/>
  <c r="C100" i="1"/>
  <c r="B100" i="1"/>
  <c r="L99" i="1"/>
  <c r="I99" i="1"/>
  <c r="H99" i="1"/>
  <c r="J99" i="1" s="1"/>
  <c r="E99" i="1"/>
  <c r="D99" i="1"/>
  <c r="C99" i="1"/>
  <c r="B99" i="1"/>
  <c r="N98" i="1"/>
  <c r="M98" i="1"/>
  <c r="K98" i="1"/>
  <c r="J98" i="1"/>
  <c r="G98" i="1"/>
  <c r="F98" i="1"/>
  <c r="C98" i="1"/>
  <c r="B98" i="1"/>
  <c r="M97" i="1"/>
  <c r="N97" i="1" s="1"/>
  <c r="K97" i="1"/>
  <c r="J97" i="1"/>
  <c r="G97" i="1"/>
  <c r="F97" i="1"/>
  <c r="C97" i="1"/>
  <c r="B97" i="1"/>
  <c r="L96" i="1"/>
  <c r="I96" i="1"/>
  <c r="H96" i="1"/>
  <c r="E96" i="1"/>
  <c r="D96" i="1"/>
  <c r="C96" i="1"/>
  <c r="B96" i="1"/>
  <c r="M95" i="1"/>
  <c r="N95" i="1" s="1"/>
  <c r="K95" i="1"/>
  <c r="J95" i="1"/>
  <c r="G95" i="1"/>
  <c r="F95" i="1"/>
  <c r="C95" i="1"/>
  <c r="B95" i="1"/>
  <c r="M94" i="1"/>
  <c r="N94" i="1" s="1"/>
  <c r="K94" i="1"/>
  <c r="J94" i="1"/>
  <c r="G94" i="1"/>
  <c r="F94" i="1"/>
  <c r="C94" i="1"/>
  <c r="B94" i="1"/>
  <c r="L93" i="1"/>
  <c r="L103" i="1" s="1"/>
  <c r="I93" i="1"/>
  <c r="I103" i="1" s="1"/>
  <c r="H93" i="1"/>
  <c r="G93" i="1"/>
  <c r="F93" i="1"/>
  <c r="E93" i="1"/>
  <c r="D93" i="1"/>
  <c r="C93" i="1"/>
  <c r="B93" i="1"/>
  <c r="M92" i="1"/>
  <c r="N92" i="1" s="1"/>
  <c r="K92" i="1"/>
  <c r="J92" i="1"/>
  <c r="G92" i="1"/>
  <c r="F92" i="1"/>
  <c r="C92" i="1"/>
  <c r="B92" i="1"/>
  <c r="N91" i="1"/>
  <c r="M91" i="1"/>
  <c r="K91" i="1"/>
  <c r="J91" i="1"/>
  <c r="G91" i="1"/>
  <c r="F91" i="1"/>
  <c r="C91" i="1"/>
  <c r="B91" i="1"/>
  <c r="L90" i="1"/>
  <c r="I90" i="1"/>
  <c r="H90" i="1"/>
  <c r="D90" i="1"/>
  <c r="C90" i="1"/>
  <c r="B90" i="1"/>
  <c r="M89" i="1"/>
  <c r="N89" i="1" s="1"/>
  <c r="K89" i="1"/>
  <c r="J89" i="1"/>
  <c r="G89" i="1"/>
  <c r="F89" i="1"/>
  <c r="C89" i="1"/>
  <c r="B89" i="1"/>
  <c r="M88" i="1"/>
  <c r="N88" i="1" s="1"/>
  <c r="K88" i="1"/>
  <c r="J88" i="1"/>
  <c r="E88" i="1"/>
  <c r="E90" i="1" s="1"/>
  <c r="F90" i="1" s="1"/>
  <c r="C88" i="1"/>
  <c r="B88" i="1"/>
  <c r="C87" i="1"/>
  <c r="B87" i="1"/>
  <c r="L86" i="1"/>
  <c r="I86" i="1"/>
  <c r="H86" i="1"/>
  <c r="E86" i="1"/>
  <c r="D86" i="1"/>
  <c r="F86" i="1" s="1"/>
  <c r="C86" i="1"/>
  <c r="B86" i="1"/>
  <c r="M85" i="1"/>
  <c r="N85" i="1" s="1"/>
  <c r="K85" i="1"/>
  <c r="J85" i="1"/>
  <c r="G85" i="1"/>
  <c r="F85" i="1"/>
  <c r="C85" i="1"/>
  <c r="B85" i="1"/>
  <c r="M84" i="1"/>
  <c r="N84" i="1" s="1"/>
  <c r="K84" i="1"/>
  <c r="J84" i="1"/>
  <c r="G84" i="1"/>
  <c r="F84" i="1"/>
  <c r="C84" i="1"/>
  <c r="B84" i="1"/>
  <c r="L83" i="1"/>
  <c r="I83" i="1"/>
  <c r="H83" i="1"/>
  <c r="E83" i="1"/>
  <c r="D83" i="1"/>
  <c r="G83" i="1" s="1"/>
  <c r="C83" i="1"/>
  <c r="B83" i="1"/>
  <c r="M82" i="1"/>
  <c r="N82" i="1" s="1"/>
  <c r="K82" i="1"/>
  <c r="J82" i="1"/>
  <c r="G82" i="1"/>
  <c r="F82" i="1"/>
  <c r="C82" i="1"/>
  <c r="B82" i="1"/>
  <c r="M81" i="1"/>
  <c r="N81" i="1" s="1"/>
  <c r="K81" i="1"/>
  <c r="J81" i="1"/>
  <c r="G81" i="1"/>
  <c r="F81" i="1"/>
  <c r="C81" i="1"/>
  <c r="B81" i="1"/>
  <c r="L80" i="1"/>
  <c r="I80" i="1"/>
  <c r="H80" i="1"/>
  <c r="D80" i="1"/>
  <c r="C80" i="1"/>
  <c r="B80" i="1"/>
  <c r="M79" i="1"/>
  <c r="N79" i="1" s="1"/>
  <c r="K79" i="1"/>
  <c r="J79" i="1"/>
  <c r="E79" i="1"/>
  <c r="E136" i="1" s="1"/>
  <c r="C79" i="1"/>
  <c r="B79" i="1"/>
  <c r="M78" i="1"/>
  <c r="N78" i="1" s="1"/>
  <c r="K78" i="1"/>
  <c r="J78" i="1"/>
  <c r="E78" i="1"/>
  <c r="G78" i="1" s="1"/>
  <c r="C78" i="1"/>
  <c r="B78" i="1"/>
  <c r="L77" i="1"/>
  <c r="I77" i="1"/>
  <c r="H77" i="1"/>
  <c r="D77" i="1"/>
  <c r="C77" i="1"/>
  <c r="B77" i="1"/>
  <c r="M76" i="1"/>
  <c r="N76" i="1" s="1"/>
  <c r="K76" i="1"/>
  <c r="J76" i="1"/>
  <c r="G76" i="1"/>
  <c r="E76" i="1"/>
  <c r="F76" i="1" s="1"/>
  <c r="C76" i="1"/>
  <c r="B76" i="1"/>
  <c r="M75" i="1"/>
  <c r="N75" i="1" s="1"/>
  <c r="K75" i="1"/>
  <c r="J75" i="1"/>
  <c r="E75" i="1"/>
  <c r="E77" i="1" s="1"/>
  <c r="G77" i="1" s="1"/>
  <c r="C75" i="1"/>
  <c r="B75" i="1"/>
  <c r="M72" i="1"/>
  <c r="N72" i="1" s="1"/>
  <c r="K72" i="1"/>
  <c r="J72" i="1"/>
  <c r="G72" i="1"/>
  <c r="F72" i="1"/>
  <c r="M71" i="1"/>
  <c r="N71" i="1" s="1"/>
  <c r="K71" i="1"/>
  <c r="J71" i="1"/>
  <c r="G71" i="1"/>
  <c r="F71" i="1"/>
  <c r="M70" i="1"/>
  <c r="N70" i="1" s="1"/>
  <c r="K70" i="1"/>
  <c r="J70" i="1"/>
  <c r="G70" i="1"/>
  <c r="F70" i="1"/>
  <c r="L69" i="1"/>
  <c r="I69" i="1"/>
  <c r="H69" i="1"/>
  <c r="E69" i="1"/>
  <c r="F69" i="1" s="1"/>
  <c r="D69" i="1"/>
  <c r="M68" i="1"/>
  <c r="N68" i="1" s="1"/>
  <c r="K68" i="1"/>
  <c r="J68" i="1"/>
  <c r="G68" i="1"/>
  <c r="F68" i="1"/>
  <c r="L67" i="1"/>
  <c r="I67" i="1"/>
  <c r="H67" i="1"/>
  <c r="E67" i="1"/>
  <c r="D67" i="1"/>
  <c r="L64" i="1"/>
  <c r="H64" i="1"/>
  <c r="M63" i="1"/>
  <c r="N63" i="1" s="1"/>
  <c r="K63" i="1"/>
  <c r="J63" i="1"/>
  <c r="I63" i="1"/>
  <c r="E63" i="1"/>
  <c r="D63" i="1"/>
  <c r="F63" i="1" s="1"/>
  <c r="M62" i="1"/>
  <c r="N62" i="1" s="1"/>
  <c r="I62" i="1"/>
  <c r="E62" i="1"/>
  <c r="D62" i="1"/>
  <c r="G62" i="1" s="1"/>
  <c r="L61" i="1"/>
  <c r="I61" i="1"/>
  <c r="H61" i="1"/>
  <c r="E61" i="1"/>
  <c r="D61" i="1"/>
  <c r="G61" i="1" s="1"/>
  <c r="M60" i="1"/>
  <c r="N60" i="1" s="1"/>
  <c r="K60" i="1"/>
  <c r="J60" i="1"/>
  <c r="G60" i="1"/>
  <c r="F60" i="1"/>
  <c r="M59" i="1"/>
  <c r="N59" i="1" s="1"/>
  <c r="K59" i="1"/>
  <c r="J59" i="1"/>
  <c r="G59" i="1"/>
  <c r="F59" i="1"/>
  <c r="L58" i="1"/>
  <c r="I58" i="1"/>
  <c r="E58" i="1"/>
  <c r="D58" i="1"/>
  <c r="M57" i="1"/>
  <c r="N57" i="1" s="1"/>
  <c r="K57" i="1"/>
  <c r="J57" i="1"/>
  <c r="H57" i="1"/>
  <c r="D57" i="1"/>
  <c r="G57" i="1" s="1"/>
  <c r="M56" i="1"/>
  <c r="N56" i="1" s="1"/>
  <c r="K56" i="1"/>
  <c r="J56" i="1"/>
  <c r="H56" i="1"/>
  <c r="H176" i="1" s="1"/>
  <c r="G56" i="1"/>
  <c r="F56" i="1"/>
  <c r="D56" i="1"/>
  <c r="I55" i="1"/>
  <c r="L54" i="1"/>
  <c r="L55" i="1" s="1"/>
  <c r="K54" i="1"/>
  <c r="J54" i="1"/>
  <c r="I54" i="1"/>
  <c r="H54" i="1"/>
  <c r="H55" i="1" s="1"/>
  <c r="E54" i="1"/>
  <c r="E55" i="1" s="1"/>
  <c r="D54" i="1"/>
  <c r="M53" i="1"/>
  <c r="N53" i="1" s="1"/>
  <c r="K53" i="1"/>
  <c r="J53" i="1"/>
  <c r="G53" i="1"/>
  <c r="F53" i="1"/>
  <c r="N52" i="1"/>
  <c r="M52" i="1"/>
  <c r="K52" i="1"/>
  <c r="J52" i="1"/>
  <c r="G52" i="1"/>
  <c r="F52" i="1"/>
  <c r="L49" i="1"/>
  <c r="I49" i="1"/>
  <c r="H49" i="1"/>
  <c r="D49" i="1"/>
  <c r="M48" i="1"/>
  <c r="N48" i="1" s="1"/>
  <c r="K48" i="1"/>
  <c r="J48" i="1"/>
  <c r="E48" i="1"/>
  <c r="G48" i="1" s="1"/>
  <c r="M47" i="1"/>
  <c r="N47" i="1" s="1"/>
  <c r="K47" i="1"/>
  <c r="J47" i="1"/>
  <c r="E47" i="1"/>
  <c r="G47" i="1" s="1"/>
  <c r="L46" i="1"/>
  <c r="L50" i="1" s="1"/>
  <c r="I46" i="1"/>
  <c r="E46" i="1"/>
  <c r="D46" i="1"/>
  <c r="G45" i="1"/>
  <c r="F45" i="1"/>
  <c r="H44" i="1"/>
  <c r="H164" i="1" s="1"/>
  <c r="G44" i="1"/>
  <c r="F44" i="1"/>
  <c r="L43" i="1"/>
  <c r="I43" i="1"/>
  <c r="E43" i="1"/>
  <c r="D42" i="1"/>
  <c r="D162" i="1" s="1"/>
  <c r="D41" i="1"/>
  <c r="L39" i="1"/>
  <c r="I39" i="1"/>
  <c r="H39" i="1"/>
  <c r="M39" i="1" s="1"/>
  <c r="N39" i="1" s="1"/>
  <c r="E39" i="1"/>
  <c r="D39" i="1"/>
  <c r="G39" i="1" s="1"/>
  <c r="M38" i="1"/>
  <c r="N38" i="1" s="1"/>
  <c r="K38" i="1"/>
  <c r="J38" i="1"/>
  <c r="G38" i="1"/>
  <c r="F38" i="1"/>
  <c r="M37" i="1"/>
  <c r="N37" i="1" s="1"/>
  <c r="K37" i="1"/>
  <c r="J37" i="1"/>
  <c r="G37" i="1"/>
  <c r="F37" i="1"/>
  <c r="L36" i="1"/>
  <c r="I36" i="1"/>
  <c r="H36" i="1"/>
  <c r="E36" i="1"/>
  <c r="D36" i="1"/>
  <c r="M35" i="1"/>
  <c r="N35" i="1" s="1"/>
  <c r="K35" i="1"/>
  <c r="J35" i="1"/>
  <c r="G35" i="1"/>
  <c r="F35" i="1"/>
  <c r="M34" i="1"/>
  <c r="N34" i="1" s="1"/>
  <c r="K34" i="1"/>
  <c r="J34" i="1"/>
  <c r="G34" i="1"/>
  <c r="F34" i="1"/>
  <c r="L33" i="1"/>
  <c r="I33" i="1"/>
  <c r="H33" i="1"/>
  <c r="E33" i="1"/>
  <c r="D33" i="1"/>
  <c r="M32" i="1"/>
  <c r="N32" i="1" s="1"/>
  <c r="K32" i="1"/>
  <c r="J32" i="1"/>
  <c r="G32" i="1"/>
  <c r="F32" i="1"/>
  <c r="M31" i="1"/>
  <c r="N31" i="1" s="1"/>
  <c r="K31" i="1"/>
  <c r="J31" i="1"/>
  <c r="G31" i="1"/>
  <c r="F31" i="1"/>
  <c r="L30" i="1"/>
  <c r="I30" i="1"/>
  <c r="H30" i="1"/>
  <c r="K30" i="1" s="1"/>
  <c r="E30" i="1"/>
  <c r="D30" i="1"/>
  <c r="N29" i="1"/>
  <c r="M29" i="1"/>
  <c r="K29" i="1"/>
  <c r="J29" i="1"/>
  <c r="G29" i="1"/>
  <c r="F29" i="1"/>
  <c r="M28" i="1"/>
  <c r="N28" i="1" s="1"/>
  <c r="K28" i="1"/>
  <c r="J28" i="1"/>
  <c r="G28" i="1"/>
  <c r="F28" i="1"/>
  <c r="L27" i="1"/>
  <c r="I27" i="1"/>
  <c r="E27" i="1"/>
  <c r="D27" i="1"/>
  <c r="G27" i="1" s="1"/>
  <c r="M26" i="1"/>
  <c r="N26" i="1" s="1"/>
  <c r="K26" i="1"/>
  <c r="J26" i="1"/>
  <c r="G26" i="1"/>
  <c r="F26" i="1"/>
  <c r="H25" i="1"/>
  <c r="J25" i="1" s="1"/>
  <c r="G25" i="1"/>
  <c r="F25" i="1"/>
  <c r="L23" i="1"/>
  <c r="I23" i="1"/>
  <c r="H23" i="1"/>
  <c r="J23" i="1" s="1"/>
  <c r="E23" i="1"/>
  <c r="D23" i="1"/>
  <c r="G23" i="1" s="1"/>
  <c r="M22" i="1"/>
  <c r="N22" i="1" s="1"/>
  <c r="K22" i="1"/>
  <c r="J22" i="1"/>
  <c r="G22" i="1"/>
  <c r="F22" i="1"/>
  <c r="M21" i="1"/>
  <c r="N21" i="1" s="1"/>
  <c r="K21" i="1"/>
  <c r="J21" i="1"/>
  <c r="G21" i="1"/>
  <c r="F21" i="1"/>
  <c r="L20" i="1"/>
  <c r="I20" i="1"/>
  <c r="H20" i="1"/>
  <c r="E20" i="1"/>
  <c r="D20" i="1"/>
  <c r="M19" i="1"/>
  <c r="N19" i="1" s="1"/>
  <c r="K19" i="1"/>
  <c r="J19" i="1"/>
  <c r="G19" i="1"/>
  <c r="F19" i="1"/>
  <c r="M18" i="1"/>
  <c r="N18" i="1" s="1"/>
  <c r="K18" i="1"/>
  <c r="J18" i="1"/>
  <c r="G18" i="1"/>
  <c r="F18" i="1"/>
  <c r="L17" i="1"/>
  <c r="I17" i="1"/>
  <c r="H17" i="1"/>
  <c r="E17" i="1"/>
  <c r="D17" i="1"/>
  <c r="M16" i="1"/>
  <c r="N16" i="1" s="1"/>
  <c r="K16" i="1"/>
  <c r="J16" i="1"/>
  <c r="G16" i="1"/>
  <c r="F16" i="1"/>
  <c r="M15" i="1"/>
  <c r="N15" i="1" s="1"/>
  <c r="K15" i="1"/>
  <c r="J15" i="1"/>
  <c r="G15" i="1"/>
  <c r="F15" i="1"/>
  <c r="L14" i="1"/>
  <c r="K14" i="1"/>
  <c r="I14" i="1"/>
  <c r="H14" i="1"/>
  <c r="J14" i="1" s="1"/>
  <c r="E14" i="1"/>
  <c r="D14" i="1"/>
  <c r="M13" i="1"/>
  <c r="N13" i="1" s="1"/>
  <c r="K13" i="1"/>
  <c r="J13" i="1"/>
  <c r="G13" i="1"/>
  <c r="F13" i="1"/>
  <c r="M12" i="1"/>
  <c r="N12" i="1" s="1"/>
  <c r="K12" i="1"/>
  <c r="J12" i="1"/>
  <c r="G12" i="1"/>
  <c r="F12" i="1"/>
  <c r="G111" i="1" l="1"/>
  <c r="G17" i="1"/>
  <c r="F36" i="1"/>
  <c r="G69" i="1"/>
  <c r="N132" i="1"/>
  <c r="K23" i="1"/>
  <c r="L153" i="1"/>
  <c r="N153" i="1" s="1"/>
  <c r="I178" i="1"/>
  <c r="G96" i="1"/>
  <c r="G20" i="1"/>
  <c r="M23" i="1"/>
  <c r="N23" i="1" s="1"/>
  <c r="G33" i="1"/>
  <c r="I140" i="1"/>
  <c r="I159" i="1"/>
  <c r="H184" i="1"/>
  <c r="L143" i="1"/>
  <c r="N143" i="1" s="1"/>
  <c r="I153" i="1"/>
  <c r="E159" i="1"/>
  <c r="D64" i="1"/>
  <c r="D65" i="1" s="1"/>
  <c r="K102" i="1"/>
  <c r="E133" i="1"/>
  <c r="D156" i="1"/>
  <c r="D169" i="1"/>
  <c r="H174" i="1"/>
  <c r="H175" i="1" s="1"/>
  <c r="M20" i="1"/>
  <c r="N20" i="1" s="1"/>
  <c r="J33" i="1"/>
  <c r="M64" i="1"/>
  <c r="N64" i="1" s="1"/>
  <c r="M86" i="1"/>
  <c r="N86" i="1" s="1"/>
  <c r="I174" i="1"/>
  <c r="I175" i="1" s="1"/>
  <c r="D181" i="1"/>
  <c r="M33" i="1"/>
  <c r="N33" i="1" s="1"/>
  <c r="L65" i="1"/>
  <c r="G109" i="1"/>
  <c r="G124" i="1"/>
  <c r="J127" i="1"/>
  <c r="E40" i="1"/>
  <c r="F61" i="1"/>
  <c r="G79" i="1"/>
  <c r="F109" i="1"/>
  <c r="G14" i="1"/>
  <c r="M14" i="1"/>
  <c r="N14" i="1" s="1"/>
  <c r="L87" i="1"/>
  <c r="F96" i="1"/>
  <c r="F106" i="1"/>
  <c r="H128" i="1"/>
  <c r="D159" i="1"/>
  <c r="F17" i="1"/>
  <c r="H24" i="1"/>
  <c r="J24" i="1" s="1"/>
  <c r="K25" i="1"/>
  <c r="F27" i="1"/>
  <c r="L40" i="1"/>
  <c r="G36" i="1"/>
  <c r="G54" i="1"/>
  <c r="K61" i="1"/>
  <c r="G63" i="1"/>
  <c r="D87" i="1"/>
  <c r="M124" i="1"/>
  <c r="N124" i="1" s="1"/>
  <c r="K127" i="1"/>
  <c r="D134" i="1"/>
  <c r="D144" i="1" s="1"/>
  <c r="H140" i="1"/>
  <c r="H144" i="1" s="1"/>
  <c r="E150" i="1"/>
  <c r="N151" i="1"/>
  <c r="F79" i="1"/>
  <c r="F110" i="1"/>
  <c r="G110" i="1"/>
  <c r="J124" i="1"/>
  <c r="D140" i="1"/>
  <c r="H156" i="1"/>
  <c r="H181" i="1"/>
  <c r="H185" i="1" s="1"/>
  <c r="K39" i="1"/>
  <c r="L184" i="1"/>
  <c r="N184" i="1" s="1"/>
  <c r="I24" i="1"/>
  <c r="M25" i="1"/>
  <c r="N25" i="1" s="1"/>
  <c r="H178" i="1"/>
  <c r="M61" i="1"/>
  <c r="N61" i="1" s="1"/>
  <c r="D103" i="1"/>
  <c r="E132" i="1"/>
  <c r="E134" i="1" s="1"/>
  <c r="I166" i="1"/>
  <c r="D183" i="1"/>
  <c r="D184" i="1" s="1"/>
  <c r="D185" i="1" s="1"/>
  <c r="G86" i="1"/>
  <c r="D113" i="1"/>
  <c r="L163" i="1"/>
  <c r="N163" i="1" s="1"/>
  <c r="F78" i="1"/>
  <c r="G99" i="1"/>
  <c r="E140" i="1"/>
  <c r="I156" i="1"/>
  <c r="L159" i="1"/>
  <c r="N159" i="1" s="1"/>
  <c r="L169" i="1"/>
  <c r="N169" i="1" s="1"/>
  <c r="I181" i="1"/>
  <c r="H27" i="1"/>
  <c r="G46" i="1"/>
  <c r="H87" i="1"/>
  <c r="M87" i="1" s="1"/>
  <c r="N87" i="1" s="1"/>
  <c r="E103" i="1"/>
  <c r="J102" i="1"/>
  <c r="I113" i="1"/>
  <c r="L174" i="1"/>
  <c r="N174" i="1" s="1"/>
  <c r="K20" i="1"/>
  <c r="F75" i="1"/>
  <c r="I50" i="1"/>
  <c r="G75" i="1"/>
  <c r="J83" i="1"/>
  <c r="J39" i="1"/>
  <c r="J117" i="1"/>
  <c r="D150" i="1"/>
  <c r="F62" i="1"/>
  <c r="F83" i="1"/>
  <c r="L113" i="1"/>
  <c r="L114" i="1" s="1"/>
  <c r="I137" i="1"/>
  <c r="I144" i="1" s="1"/>
  <c r="L140" i="1"/>
  <c r="N140" i="1" s="1"/>
  <c r="D153" i="1"/>
  <c r="H159" i="1"/>
  <c r="H169" i="1"/>
  <c r="L178" i="1"/>
  <c r="N178" i="1" s="1"/>
  <c r="F42" i="1"/>
  <c r="I64" i="1"/>
  <c r="I182" i="1"/>
  <c r="I184" i="1" s="1"/>
  <c r="J62" i="1"/>
  <c r="D43" i="1"/>
  <c r="D161" i="1"/>
  <c r="D163" i="1" s="1"/>
  <c r="D170" i="1" s="1"/>
  <c r="H41" i="1"/>
  <c r="G41" i="1"/>
  <c r="F41" i="1"/>
  <c r="E49" i="1"/>
  <c r="M55" i="1"/>
  <c r="N55" i="1" s="1"/>
  <c r="K83" i="1"/>
  <c r="M83" i="1"/>
  <c r="N83" i="1" s="1"/>
  <c r="M93" i="1"/>
  <c r="N93" i="1" s="1"/>
  <c r="K93" i="1"/>
  <c r="J93" i="1"/>
  <c r="F30" i="1"/>
  <c r="G30" i="1"/>
  <c r="K96" i="1"/>
  <c r="M96" i="1"/>
  <c r="N96" i="1" s="1"/>
  <c r="J96" i="1"/>
  <c r="J44" i="1"/>
  <c r="G58" i="1"/>
  <c r="F58" i="1"/>
  <c r="I87" i="1"/>
  <c r="I114" i="1" s="1"/>
  <c r="I129" i="1" s="1"/>
  <c r="D24" i="1"/>
  <c r="I40" i="1"/>
  <c r="K33" i="1"/>
  <c r="D40" i="1"/>
  <c r="M54" i="1"/>
  <c r="N54" i="1" s="1"/>
  <c r="K62" i="1"/>
  <c r="J69" i="1"/>
  <c r="M69" i="1"/>
  <c r="N69" i="1" s="1"/>
  <c r="K69" i="1"/>
  <c r="J77" i="1"/>
  <c r="G90" i="1"/>
  <c r="M127" i="1"/>
  <c r="N127" i="1" s="1"/>
  <c r="L128" i="1"/>
  <c r="H150" i="1"/>
  <c r="H45" i="1"/>
  <c r="H46" i="1" s="1"/>
  <c r="H42" i="1"/>
  <c r="G42" i="1"/>
  <c r="F48" i="1"/>
  <c r="N135" i="1"/>
  <c r="J86" i="1"/>
  <c r="M90" i="1"/>
  <c r="N90" i="1" s="1"/>
  <c r="K90" i="1"/>
  <c r="J90" i="1"/>
  <c r="H103" i="1"/>
  <c r="J106" i="1"/>
  <c r="M106" i="1"/>
  <c r="N106" i="1" s="1"/>
  <c r="K106" i="1"/>
  <c r="I150" i="1"/>
  <c r="I160" i="1" s="1"/>
  <c r="I170" i="1"/>
  <c r="D174" i="1"/>
  <c r="D175" i="1" s="1"/>
  <c r="F117" i="1"/>
  <c r="D118" i="1"/>
  <c r="G117" i="1"/>
  <c r="K99" i="1"/>
  <c r="M99" i="1"/>
  <c r="N99" i="1" s="1"/>
  <c r="M17" i="1"/>
  <c r="N17" i="1" s="1"/>
  <c r="K17" i="1"/>
  <c r="J17" i="1"/>
  <c r="M30" i="1"/>
  <c r="N30" i="1" s="1"/>
  <c r="J55" i="1"/>
  <c r="J61" i="1"/>
  <c r="K86" i="1"/>
  <c r="G88" i="1"/>
  <c r="E145" i="1"/>
  <c r="E147" i="1" s="1"/>
  <c r="L150" i="1"/>
  <c r="L156" i="1"/>
  <c r="N156" i="1" s="1"/>
  <c r="N154" i="1"/>
  <c r="L166" i="1"/>
  <c r="N164" i="1"/>
  <c r="E174" i="1"/>
  <c r="E175" i="1" s="1"/>
  <c r="L24" i="1"/>
  <c r="H113" i="1"/>
  <c r="J112" i="1"/>
  <c r="K112" i="1"/>
  <c r="M112" i="1"/>
  <c r="N112" i="1" s="1"/>
  <c r="F20" i="1"/>
  <c r="L181" i="1"/>
  <c r="N181" i="1" s="1"/>
  <c r="N179" i="1"/>
  <c r="K118" i="1"/>
  <c r="M27" i="1"/>
  <c r="N27" i="1" s="1"/>
  <c r="K27" i="1"/>
  <c r="J27" i="1"/>
  <c r="F39" i="1"/>
  <c r="K55" i="1"/>
  <c r="M80" i="1"/>
  <c r="N80" i="1" s="1"/>
  <c r="K80" i="1"/>
  <c r="J80" i="1"/>
  <c r="F88" i="1"/>
  <c r="K109" i="1"/>
  <c r="M109" i="1"/>
  <c r="N109" i="1" s="1"/>
  <c r="M117" i="1"/>
  <c r="N117" i="1" s="1"/>
  <c r="N145" i="1"/>
  <c r="M36" i="1"/>
  <c r="N36" i="1" s="1"/>
  <c r="J36" i="1"/>
  <c r="K36" i="1"/>
  <c r="M44" i="1"/>
  <c r="N44" i="1" s="1"/>
  <c r="K44" i="1"/>
  <c r="M49" i="1"/>
  <c r="N49" i="1" s="1"/>
  <c r="K49" i="1"/>
  <c r="J49" i="1"/>
  <c r="K77" i="1"/>
  <c r="M77" i="1"/>
  <c r="N77" i="1" s="1"/>
  <c r="E80" i="1"/>
  <c r="E135" i="1"/>
  <c r="E137" i="1" s="1"/>
  <c r="J128" i="1"/>
  <c r="K128" i="1"/>
  <c r="M128" i="1"/>
  <c r="N128" i="1" s="1"/>
  <c r="E168" i="1"/>
  <c r="E169" i="1" s="1"/>
  <c r="E170" i="1" s="1"/>
  <c r="E184" i="1"/>
  <c r="E185" i="1" s="1"/>
  <c r="D55" i="1"/>
  <c r="F57" i="1"/>
  <c r="E64" i="1"/>
  <c r="E65" i="1" s="1"/>
  <c r="F124" i="1"/>
  <c r="E127" i="1"/>
  <c r="E128" i="1" s="1"/>
  <c r="F23" i="1"/>
  <c r="E24" i="1"/>
  <c r="H40" i="1"/>
  <c r="F46" i="1"/>
  <c r="F47" i="1"/>
  <c r="F54" i="1"/>
  <c r="H58" i="1"/>
  <c r="F121" i="1"/>
  <c r="F126" i="1"/>
  <c r="D127" i="1"/>
  <c r="F14" i="1"/>
  <c r="J20" i="1"/>
  <c r="F33" i="1"/>
  <c r="F102" i="1"/>
  <c r="J30" i="1"/>
  <c r="F99" i="1"/>
  <c r="E112" i="1"/>
  <c r="F112" i="1" s="1"/>
  <c r="H145" i="1"/>
  <c r="H147" i="1" s="1"/>
  <c r="F77" i="1"/>
  <c r="K117" i="1"/>
  <c r="I185" i="1" l="1"/>
  <c r="M24" i="1"/>
  <c r="N24" i="1" s="1"/>
  <c r="D160" i="1"/>
  <c r="F64" i="1"/>
  <c r="E144" i="1"/>
  <c r="L175" i="1"/>
  <c r="N175" i="1" s="1"/>
  <c r="I51" i="1"/>
  <c r="L144" i="1"/>
  <c r="D114" i="1"/>
  <c r="E160" i="1"/>
  <c r="E171" i="1" s="1"/>
  <c r="E186" i="1" s="1"/>
  <c r="L51" i="1"/>
  <c r="L66" i="1" s="1"/>
  <c r="H160" i="1"/>
  <c r="J87" i="1"/>
  <c r="L129" i="1"/>
  <c r="K87" i="1"/>
  <c r="G103" i="1"/>
  <c r="F103" i="1"/>
  <c r="D171" i="1"/>
  <c r="D186" i="1" s="1"/>
  <c r="K24" i="1"/>
  <c r="K58" i="1"/>
  <c r="J58" i="1"/>
  <c r="M58" i="1"/>
  <c r="N58" i="1" s="1"/>
  <c r="G80" i="1"/>
  <c r="F80" i="1"/>
  <c r="E87" i="1"/>
  <c r="G118" i="1"/>
  <c r="F118" i="1"/>
  <c r="G55" i="1"/>
  <c r="F55" i="1"/>
  <c r="N166" i="1"/>
  <c r="L170" i="1"/>
  <c r="J103" i="1"/>
  <c r="M103" i="1"/>
  <c r="N103" i="1" s="1"/>
  <c r="K103" i="1"/>
  <c r="M42" i="1"/>
  <c r="N42" i="1" s="1"/>
  <c r="K42" i="1"/>
  <c r="J42" i="1"/>
  <c r="H162" i="1"/>
  <c r="G43" i="1"/>
  <c r="D50" i="1"/>
  <c r="F43" i="1"/>
  <c r="K40" i="1"/>
  <c r="J40" i="1"/>
  <c r="M40" i="1"/>
  <c r="N40" i="1" s="1"/>
  <c r="L185" i="1"/>
  <c r="N185" i="1" s="1"/>
  <c r="H165" i="1"/>
  <c r="H166" i="1" s="1"/>
  <c r="M45" i="1"/>
  <c r="N45" i="1" s="1"/>
  <c r="K45" i="1"/>
  <c r="J45" i="1"/>
  <c r="D128" i="1"/>
  <c r="G127" i="1"/>
  <c r="F127" i="1"/>
  <c r="L160" i="1"/>
  <c r="N160" i="1" s="1"/>
  <c r="N150" i="1"/>
  <c r="G24" i="1"/>
  <c r="F24" i="1"/>
  <c r="I171" i="1"/>
  <c r="I186" i="1" s="1"/>
  <c r="H65" i="1"/>
  <c r="K64" i="1"/>
  <c r="J64" i="1"/>
  <c r="I65" i="1"/>
  <c r="G65" i="1"/>
  <c r="F65" i="1"/>
  <c r="J46" i="1"/>
  <c r="M46" i="1"/>
  <c r="N46" i="1" s="1"/>
  <c r="K46" i="1"/>
  <c r="M41" i="1"/>
  <c r="N41" i="1" s="1"/>
  <c r="K41" i="1"/>
  <c r="J41" i="1"/>
  <c r="H161" i="1"/>
  <c r="H43" i="1"/>
  <c r="E113" i="1"/>
  <c r="G112" i="1"/>
  <c r="M113" i="1"/>
  <c r="N113" i="1" s="1"/>
  <c r="H114" i="1"/>
  <c r="K113" i="1"/>
  <c r="J113" i="1"/>
  <c r="G64" i="1"/>
  <c r="F40" i="1"/>
  <c r="G40" i="1"/>
  <c r="G49" i="1"/>
  <c r="E50" i="1"/>
  <c r="E51" i="1" s="1"/>
  <c r="E66" i="1" s="1"/>
  <c r="F49" i="1"/>
  <c r="I66" i="1" l="1"/>
  <c r="D129" i="1"/>
  <c r="H163" i="1"/>
  <c r="H170" i="1" s="1"/>
  <c r="H171" i="1" s="1"/>
  <c r="H186" i="1" s="1"/>
  <c r="M43" i="1"/>
  <c r="N43" i="1" s="1"/>
  <c r="K43" i="1"/>
  <c r="J43" i="1"/>
  <c r="L171" i="1"/>
  <c r="N170" i="1"/>
  <c r="E114" i="1"/>
  <c r="G113" i="1"/>
  <c r="F113" i="1"/>
  <c r="F128" i="1"/>
  <c r="G128" i="1"/>
  <c r="G50" i="1"/>
  <c r="D51" i="1"/>
  <c r="F50" i="1"/>
  <c r="G87" i="1"/>
  <c r="F87" i="1"/>
  <c r="J114" i="1"/>
  <c r="H129" i="1"/>
  <c r="K114" i="1"/>
  <c r="M114" i="1"/>
  <c r="N114" i="1" s="1"/>
  <c r="M65" i="1"/>
  <c r="N65" i="1" s="1"/>
  <c r="J65" i="1"/>
  <c r="K65" i="1"/>
  <c r="H50" i="1"/>
  <c r="E129" i="1" l="1"/>
  <c r="F114" i="1"/>
  <c r="G114" i="1"/>
  <c r="N171" i="1"/>
  <c r="L186" i="1"/>
  <c r="N186" i="1" s="1"/>
  <c r="M50" i="1"/>
  <c r="N50" i="1" s="1"/>
  <c r="K50" i="1"/>
  <c r="J50" i="1"/>
  <c r="H51" i="1"/>
  <c r="G51" i="1"/>
  <c r="D66" i="1"/>
  <c r="F51" i="1"/>
  <c r="M129" i="1"/>
  <c r="N129" i="1" s="1"/>
  <c r="K129" i="1"/>
  <c r="J129" i="1"/>
  <c r="K51" i="1" l="1"/>
  <c r="J51" i="1"/>
  <c r="H66" i="1"/>
  <c r="M51" i="1"/>
  <c r="N51" i="1" s="1"/>
  <c r="G66" i="1"/>
  <c r="F66" i="1"/>
  <c r="G129" i="1"/>
  <c r="F129" i="1"/>
  <c r="M66" i="1" l="1"/>
  <c r="N66" i="1" s="1"/>
  <c r="K66" i="1"/>
  <c r="J66" i="1"/>
</calcChain>
</file>

<file path=xl/sharedStrings.xml><?xml version="1.0" encoding="utf-8"?>
<sst xmlns="http://schemas.openxmlformats.org/spreadsheetml/2006/main" count="161" uniqueCount="148">
  <si>
    <t>Компенсационные расходы (ФОТ)</t>
  </si>
  <si>
    <t>Периметр</t>
  </si>
  <si>
    <t>Новый</t>
  </si>
  <si>
    <t>Юр.Лицо</t>
  </si>
  <si>
    <t>Currency</t>
  </si>
  <si>
    <t>Руб.</t>
  </si>
  <si>
    <t>Период</t>
  </si>
  <si>
    <t>Капитализация</t>
  </si>
  <si>
    <t>excl.</t>
  </si>
  <si>
    <t>Текущий месяц (MTD)</t>
  </si>
  <si>
    <t>Нарастающим итогом с начала года (YTD)</t>
  </si>
  <si>
    <t>Полный год (FY)</t>
  </si>
  <si>
    <t>Факт</t>
  </si>
  <si>
    <t>Бюджет</t>
  </si>
  <si>
    <t>Δ Факт / Бюджет</t>
  </si>
  <si>
    <t>Оставшийся бюджет</t>
  </si>
  <si>
    <t>ДРП</t>
  </si>
  <si>
    <t>HR</t>
  </si>
  <si>
    <t xml:space="preserve">Оклад </t>
  </si>
  <si>
    <t>Salary</t>
  </si>
  <si>
    <t>Страховые взносы оклад</t>
  </si>
  <si>
    <t>Social securities on salaries</t>
  </si>
  <si>
    <t>Итого оклад</t>
  </si>
  <si>
    <t>Total Salary</t>
  </si>
  <si>
    <t>Резерв на отпуск</t>
  </si>
  <si>
    <t>Accruals for unused vacations</t>
  </si>
  <si>
    <t>Страховые взносы резерв на отпуск</t>
  </si>
  <si>
    <t>Social Security on accruals for unused vacations</t>
  </si>
  <si>
    <t>Итого резерв на отпуск</t>
  </si>
  <si>
    <t>Total Accruals for unused vacations</t>
  </si>
  <si>
    <t>Оплата больничных листов</t>
  </si>
  <si>
    <t>Sick leave compensation</t>
  </si>
  <si>
    <t>Страховые взносы оплата больничных листов</t>
  </si>
  <si>
    <t>Social Security on Sick leave compensation</t>
  </si>
  <si>
    <t>Итого оплата больничных листов</t>
  </si>
  <si>
    <t>Total Sick leave compensation</t>
  </si>
  <si>
    <t>Декрет</t>
  </si>
  <si>
    <t>Maternity leave</t>
  </si>
  <si>
    <t>Страховые взносы декрет</t>
  </si>
  <si>
    <t>Social Security on Maternity leave</t>
  </si>
  <si>
    <t>Итого декрет</t>
  </si>
  <si>
    <t>Total Maternity leave</t>
  </si>
  <si>
    <t>Фиксированное вознаграждение</t>
  </si>
  <si>
    <t>FIX compensation</t>
  </si>
  <si>
    <t>Расходы на страхование (ДМС, НС)</t>
  </si>
  <si>
    <t>Health &amp; welfare</t>
  </si>
  <si>
    <t>Прочие бенефиты</t>
  </si>
  <si>
    <t>Other benefits - Non-state mandated</t>
  </si>
  <si>
    <t>Бенефиты</t>
  </si>
  <si>
    <t>Benefits</t>
  </si>
  <si>
    <t>Прочие выплаты</t>
  </si>
  <si>
    <t>Remaining Other Compensation</t>
  </si>
  <si>
    <t>Страховые взносы прочие выплаты</t>
  </si>
  <si>
    <t>Social Security on Remaining Other Compensation</t>
  </si>
  <si>
    <t>Итого прочие выплаты</t>
  </si>
  <si>
    <t>Total Remaining Other Compensation</t>
  </si>
  <si>
    <t>Премия разовая</t>
  </si>
  <si>
    <t>Sign-ons - cash</t>
  </si>
  <si>
    <t>Страховые взносы премия разовая</t>
  </si>
  <si>
    <t>Social Security on Sign-ons - cash</t>
  </si>
  <si>
    <t>Итого премия разовая</t>
  </si>
  <si>
    <t>Total Sign-ons - cash</t>
  </si>
  <si>
    <t>Выплаты при увольнении</t>
  </si>
  <si>
    <t>Direct severance payments - cash</t>
  </si>
  <si>
    <t>Страховые взносы выплаты при увольнении</t>
  </si>
  <si>
    <t>Social Security on Severance</t>
  </si>
  <si>
    <t>Итого выплаты при увольнении</t>
  </si>
  <si>
    <t>Total Direct severance payments - cash</t>
  </si>
  <si>
    <t>Отложенное вознаграждение</t>
  </si>
  <si>
    <t>Deferred Compensation</t>
  </si>
  <si>
    <t>Страховые взносы отложенное вознаграждение</t>
  </si>
  <si>
    <t>Social Security on Deferrals</t>
  </si>
  <si>
    <t>Итого отложенное вознаграждение</t>
  </si>
  <si>
    <t>Прочие компенсационные выплаты</t>
  </si>
  <si>
    <t>Other Compensations</t>
  </si>
  <si>
    <t>Резерв квартальной премии</t>
  </si>
  <si>
    <t>Accruals for Quarterly bonus</t>
  </si>
  <si>
    <t>Страховые взносы резерв квартальной премии</t>
  </si>
  <si>
    <t>Social Security on Accruals for Quarterly bonus</t>
  </si>
  <si>
    <t>Итого резерв квартальной премии</t>
  </si>
  <si>
    <t>Total Accruals for Quarterly bonus</t>
  </si>
  <si>
    <t>Сторно резерва квартальной премии</t>
  </si>
  <si>
    <t>Reverse Accruals for Quarterly bonus</t>
  </si>
  <si>
    <t>Страховые взносы, сторно резерва квартальной премии</t>
  </si>
  <si>
    <t>Social Security on Reverse Accruals for Quarterly bonus</t>
  </si>
  <si>
    <t>Итого сторно резерва квартальной премии</t>
  </si>
  <si>
    <t>Total Reverse Accruals for Quarterly bonus</t>
  </si>
  <si>
    <t>Квартальная премия, выплата</t>
  </si>
  <si>
    <t>Quarterly bonus cash</t>
  </si>
  <si>
    <t>Страховые взносы, квартальная премия выплата</t>
  </si>
  <si>
    <t>Social Security on quarterly cash</t>
  </si>
  <si>
    <t>Итого квртальная премия, выплата</t>
  </si>
  <si>
    <t>Total Quarterly bonus cash</t>
  </si>
  <si>
    <t>Квартальная премия</t>
  </si>
  <si>
    <t>Quarterly bonus</t>
  </si>
  <si>
    <t>ФОТ до бонуса</t>
  </si>
  <si>
    <t>FIX compensation before Bonus</t>
  </si>
  <si>
    <t>Резерв бонуса прошлых лет</t>
  </si>
  <si>
    <t>Under-/overaccruals - cash</t>
  </si>
  <si>
    <t>Страховые взносы, резерв бонуса прошлых лет</t>
  </si>
  <si>
    <t>Under-/overaccruals - contribution to social secur</t>
  </si>
  <si>
    <t>Итого Резерв бонуса прошлых лет</t>
  </si>
  <si>
    <t>Total Under-/overaccruals - cash</t>
  </si>
  <si>
    <t>Резерв годового бонуса</t>
  </si>
  <si>
    <t>Bonus discretionary Accrual</t>
  </si>
  <si>
    <t>Страховые взносы, резерв годового бонуса</t>
  </si>
  <si>
    <t>Social Security on discretionary Bonus Accrual</t>
  </si>
  <si>
    <t>Итого резерв годового бонуса</t>
  </si>
  <si>
    <t>Total Bonus discretionary Accrual</t>
  </si>
  <si>
    <t>Сторно резерва годового бонуса бонуса</t>
  </si>
  <si>
    <t>Reverse Bonus discretionary Accrual</t>
  </si>
  <si>
    <t>Страховые взносы, сторно резерва годового бонуса</t>
  </si>
  <si>
    <t>Social Security on Bonus discretionary Accrual</t>
  </si>
  <si>
    <t>Итого сторно резерва годового бонуса</t>
  </si>
  <si>
    <t>Total  Reverse Bonus discretionary Accrual</t>
  </si>
  <si>
    <t>Годовой бонус</t>
  </si>
  <si>
    <t>Bonus discretionary cash</t>
  </si>
  <si>
    <t>Страховые взносы, годовой бонус</t>
  </si>
  <si>
    <t>Social Security on discretionary Bonus cash</t>
  </si>
  <si>
    <t>Итого годовой бонус</t>
  </si>
  <si>
    <t>Total Bonus discretionary cash</t>
  </si>
  <si>
    <t>Bonus discretionary</t>
  </si>
  <si>
    <t>Итого компенсации и льготы</t>
  </si>
  <si>
    <t>Total Compencation &amp; Benefits</t>
  </si>
  <si>
    <t>% страховых взносов</t>
  </si>
  <si>
    <t>% Social Security</t>
  </si>
  <si>
    <t>-</t>
  </si>
  <si>
    <t>Численность сотрудников на основном месте работы</t>
  </si>
  <si>
    <t>HC Closing</t>
  </si>
  <si>
    <t>Численность сотрудников - совместителей</t>
  </si>
  <si>
    <t>Part-time contracts employees</t>
  </si>
  <si>
    <t>Итого сотрудников</t>
  </si>
  <si>
    <t>Total Eployees</t>
  </si>
  <si>
    <t>MSU на коннец периода</t>
  </si>
  <si>
    <t>MSU Closing</t>
  </si>
  <si>
    <t>ССЧ</t>
  </si>
  <si>
    <t>ФД</t>
  </si>
  <si>
    <t>FINANCE</t>
  </si>
  <si>
    <t xml:space="preserve">Δ  ДРП / ФД </t>
  </si>
  <si>
    <t>Δ HR / FINANCE</t>
  </si>
  <si>
    <t xml:space="preserve">убрать из бюджета HR Under-/overaccruals </t>
  </si>
  <si>
    <t>Under-/overaccruals вынесен в отдельный блок</t>
  </si>
  <si>
    <t>% соц.взносов считать только на факт выплат</t>
  </si>
  <si>
    <t>добавлен MSU</t>
  </si>
  <si>
    <t>добавлен ССЧ</t>
  </si>
  <si>
    <t>Поменял местами Факт и Бюджет</t>
  </si>
  <si>
    <t>Дельта сделана Факт к Бюджету</t>
  </si>
  <si>
    <t>[Наименование юр лица]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</si>
</sst>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19]mmmm\ yyyy;@"/>
    <numFmt numFmtId="165" formatCode="#,##0;\(#,##0\);\-"/>
    <numFmt numFmtId="166" formatCode="0.0%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24"/>
      <color theme="5" tint="-0.499984740745262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rgb="FF875B5B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9"/>
      <color rgb="FF875B5B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9"/>
      <color rgb="FF875B5B"/>
      <name val="Calibri"/>
      <family val="2"/>
      <charset val="204"/>
      <scheme val="minor"/>
    </font>
    <font>
      <b/>
      <i/>
      <sz val="9"/>
      <name val="Calibri"/>
      <family val="2"/>
      <charset val="204"/>
      <scheme val="minor"/>
    </font>
    <font>
      <b/>
      <i/>
      <sz val="9"/>
      <color rgb="FF875B5B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9"/>
      <name val="Calibri"/>
      <family val="2"/>
      <charset val="204"/>
      <scheme val="minor"/>
    </font>
    <font>
      <i/>
      <sz val="9"/>
      <color rgb="FF875B5B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0"/>
      <color rgb="FFFF4F4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75B5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/>
      <top style="double">
        <color rgb="FFCAB2B2"/>
      </top>
      <bottom style="thin">
        <color theme="0" tint="-0.34998626667073579"/>
      </bottom>
      <diagonal/>
    </border>
    <border>
      <left/>
      <right/>
      <top style="double">
        <color rgb="FFCAB2B2"/>
      </top>
      <bottom style="thin">
        <color theme="0" tint="-0.34998626667073579"/>
      </bottom>
      <diagonal/>
    </border>
    <border>
      <left/>
      <right style="thick">
        <color theme="5" tint="-0.499984740745262"/>
      </right>
      <top style="double">
        <color rgb="FFCAB2B2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CAB2B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CAB2B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5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rgb="FFCAB2B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rgb="FFCAB2B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CAB2B2"/>
      </right>
      <top style="thin">
        <color theme="0" tint="-0.34998626667073579"/>
      </top>
      <bottom style="thin">
        <color rgb="FFCAB2B2"/>
      </bottom>
      <diagonal/>
    </border>
    <border>
      <left style="double">
        <color rgb="FFB08A8A"/>
      </left>
      <right/>
      <top/>
      <bottom style="double">
        <color rgb="FFB08A8A"/>
      </bottom>
      <diagonal/>
    </border>
    <border>
      <left/>
      <right style="thin">
        <color theme="0" tint="-0.249977111117893"/>
      </right>
      <top/>
      <bottom style="double">
        <color rgb="FFB08A8A"/>
      </bottom>
      <diagonal/>
    </border>
    <border>
      <left/>
      <right/>
      <top style="thin">
        <color rgb="FFCAB2B2"/>
      </top>
      <bottom style="double">
        <color rgb="FFB08A8A"/>
      </bottom>
      <diagonal/>
    </border>
    <border>
      <left/>
      <right/>
      <top style="thin">
        <color theme="0" tint="-0.34998626667073579"/>
      </top>
      <bottom style="double">
        <color rgb="FFB08A8A"/>
      </bottom>
      <diagonal/>
    </border>
    <border>
      <left/>
      <right/>
      <top style="thin">
        <color theme="0" tint="-0.249977111117893"/>
      </top>
      <bottom style="double">
        <color rgb="FFB08A8A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double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rgb="FFB08A8A"/>
      </bottom>
      <diagonal/>
    </border>
    <border>
      <left/>
      <right style="thick">
        <color theme="5" tint="-0.499984740745262"/>
      </right>
      <top style="thin">
        <color theme="0" tint="-0.34998626667073579"/>
      </top>
      <bottom style="double">
        <color rgb="FFB08A8A"/>
      </bottom>
      <diagonal/>
    </border>
    <border>
      <left style="double">
        <color rgb="FFCAB2B2"/>
      </left>
      <right/>
      <top/>
      <bottom/>
      <diagonal/>
    </border>
    <border>
      <left style="thin">
        <color indexed="64"/>
      </left>
      <right/>
      <top style="double">
        <color rgb="FFB08A8A"/>
      </top>
      <bottom/>
      <diagonal/>
    </border>
    <border>
      <left style="thick">
        <color rgb="FF875B5B"/>
      </left>
      <right style="thin">
        <color theme="0" tint="-0.249977111117893"/>
      </right>
      <top style="double">
        <color rgb="FFB08A8A"/>
      </top>
      <bottom/>
      <diagonal/>
    </border>
    <border>
      <left/>
      <right style="thin">
        <color theme="0" tint="-0.249977111117893"/>
      </right>
      <top style="double">
        <color rgb="FFB08A8A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ck">
        <color rgb="FF875B5B"/>
      </right>
      <top style="double">
        <color rgb="FFB08A8A"/>
      </top>
      <bottom/>
      <diagonal/>
    </border>
    <border>
      <left style="thin">
        <color indexed="64"/>
      </left>
      <right/>
      <top/>
      <bottom/>
      <diagonal/>
    </border>
    <border>
      <left style="thick">
        <color rgb="FF875B5B"/>
      </left>
      <right style="thin">
        <color theme="0" tint="-0.249977111117893"/>
      </right>
      <top/>
      <bottom/>
      <diagonal/>
    </border>
    <border>
      <left/>
      <right style="thick">
        <color rgb="FF875B5B"/>
      </right>
      <top/>
      <bottom/>
      <diagonal/>
    </border>
    <border>
      <left style="double">
        <color rgb="FFCAB2B2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875B5B"/>
      </right>
      <top/>
      <bottom/>
      <diagonal/>
    </border>
    <border>
      <left style="thin">
        <color indexed="64"/>
      </left>
      <right style="thick">
        <color rgb="FF875B5B"/>
      </right>
      <top/>
      <bottom style="thin">
        <color theme="0" tint="-0.249977111117893"/>
      </bottom>
      <diagonal/>
    </border>
    <border>
      <left style="double">
        <color rgb="FFCAB2B2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ck">
        <color rgb="FF875B5B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rgb="FF875B5B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theme="5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rgb="FFB08A8A"/>
      </left>
      <right/>
      <top style="thin">
        <color theme="0" tint="-0.249977111117893"/>
      </top>
      <bottom style="thin">
        <color rgb="FFB08A8A"/>
      </bottom>
      <diagonal/>
    </border>
    <border>
      <left style="thin">
        <color indexed="64"/>
      </left>
      <right style="medium">
        <color rgb="FF956565"/>
      </right>
      <top style="thin">
        <color theme="0" tint="-0.249977111117893"/>
      </top>
      <bottom style="thin">
        <color rgb="FFB08A8A"/>
      </bottom>
      <diagonal/>
    </border>
    <border>
      <left style="medium">
        <color rgb="FF956565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/>
      <right/>
      <top style="thin">
        <color theme="0" tint="-0.249977111117893"/>
      </top>
      <bottom style="thin">
        <color rgb="FFB08A8A"/>
      </bottom>
      <diagonal/>
    </border>
    <border>
      <left style="thick">
        <color rgb="FF875B5B"/>
      </left>
      <right/>
      <top/>
      <bottom/>
      <diagonal/>
    </border>
    <border>
      <left style="double">
        <color rgb="FFB08A8A"/>
      </left>
      <right/>
      <top/>
      <bottom/>
      <diagonal/>
    </border>
    <border>
      <left style="thick">
        <color rgb="FF875B5B"/>
      </left>
      <right style="thin">
        <color theme="0" tint="-0.249977111117893"/>
      </right>
      <top style="thin">
        <color rgb="FFB08A8A"/>
      </top>
      <bottom/>
      <diagonal/>
    </border>
    <border>
      <left/>
      <right style="thin">
        <color theme="0" tint="-0.249977111117893"/>
      </right>
      <top style="thin">
        <color rgb="FFB08A8A"/>
      </top>
      <bottom/>
      <diagonal/>
    </border>
    <border>
      <left/>
      <right style="thick">
        <color theme="5" tint="-0.499984740745262"/>
      </right>
      <top style="thin">
        <color rgb="FFB08A8A"/>
      </top>
      <bottom/>
      <diagonal/>
    </border>
    <border>
      <left/>
      <right style="thick">
        <color theme="5" tint="-0.499984740745262"/>
      </right>
      <top/>
      <bottom/>
      <diagonal/>
    </border>
    <border>
      <left style="thin">
        <color indexed="64"/>
      </left>
      <right/>
      <top/>
      <bottom style="double">
        <color rgb="FFB08A8A"/>
      </bottom>
      <diagonal/>
    </border>
    <border>
      <left style="thick">
        <color rgb="FF875B5B"/>
      </left>
      <right style="thin">
        <color theme="0" tint="-0.249977111117893"/>
      </right>
      <top/>
      <bottom style="double">
        <color rgb="FFB08A8A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rgb="FFB69494"/>
      </bottom>
      <diagonal/>
    </border>
    <border>
      <left style="thin">
        <color theme="0" tint="-0.249977111117893"/>
      </left>
      <right/>
      <top/>
      <bottom style="double">
        <color rgb="FFB6949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rgb="FFB08A8A"/>
      </bottom>
      <diagonal/>
    </border>
    <border>
      <left style="thin">
        <color theme="0" tint="-0.249977111117893"/>
      </left>
      <right/>
      <top/>
      <bottom style="double">
        <color rgb="FFB08A8A"/>
      </bottom>
      <diagonal/>
    </border>
    <border>
      <left/>
      <right style="thick">
        <color theme="5" tint="-0.499984740745262"/>
      </right>
      <top/>
      <bottom style="double">
        <color rgb="FFB08A8A"/>
      </bottom>
      <diagonal/>
    </border>
    <border>
      <left/>
      <right style="thin">
        <color theme="0" tint="-0.249977111117893"/>
      </right>
      <top style="thin">
        <color rgb="FFCAB2B2"/>
      </top>
      <bottom style="double">
        <color rgb="FFB08A8A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2" borderId="0" xfId="0" applyFont="1" applyFill="1"/>
    <xf numFmtId="0" fontId="4" fillId="2" borderId="0" xfId="0" applyFont="1" applyFill="1" applyBorder="1" applyAlignment="1">
      <alignment horizontal="left" vertical="center"/>
    </xf>
    <xf numFmtId="3" fontId="3" fillId="2" borderId="0" xfId="0" applyNumberFormat="1" applyFont="1" applyFill="1"/>
    <xf numFmtId="0" fontId="5" fillId="3" borderId="1" xfId="0" applyFont="1" applyFill="1" applyBorder="1"/>
    <xf numFmtId="0" fontId="6" fillId="2" borderId="1" xfId="0" applyFont="1" applyFill="1" applyBorder="1"/>
    <xf numFmtId="0" fontId="7" fillId="2" borderId="0" xfId="0" applyFont="1" applyFill="1"/>
    <xf numFmtId="164" fontId="6" fillId="2" borderId="1" xfId="0" applyNumberFormat="1" applyFont="1" applyFill="1" applyBorder="1" applyAlignment="1">
      <alignment horizontal="left"/>
    </xf>
    <xf numFmtId="0" fontId="3" fillId="0" borderId="0" xfId="0" applyFont="1" applyFill="1"/>
    <xf numFmtId="17" fontId="6" fillId="2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/>
    <xf numFmtId="0" fontId="3" fillId="2" borderId="0" xfId="0" applyFont="1" applyFill="1" applyBorder="1" applyAlignment="1"/>
    <xf numFmtId="4" fontId="3" fillId="2" borderId="0" xfId="0" applyNumberFormat="1" applyFont="1" applyFill="1" applyBorder="1" applyAlignment="1"/>
    <xf numFmtId="0" fontId="3" fillId="2" borderId="0" xfId="0" applyFont="1" applyFill="1" applyBorder="1"/>
    <xf numFmtId="0" fontId="5" fillId="0" borderId="0" xfId="0" applyFont="1" applyFill="1" applyBorder="1"/>
    <xf numFmtId="17" fontId="8" fillId="2" borderId="0" xfId="0" applyNumberFormat="1" applyFont="1" applyFill="1" applyBorder="1" applyAlignment="1">
      <alignment horizontal="left"/>
    </xf>
    <xf numFmtId="0" fontId="3" fillId="3" borderId="0" xfId="0" applyFont="1" applyFill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3" borderId="6" xfId="0" applyFont="1" applyFill="1" applyBorder="1"/>
    <xf numFmtId="3" fontId="9" fillId="3" borderId="7" xfId="0" applyNumberFormat="1" applyFont="1" applyFill="1" applyBorder="1" applyAlignment="1">
      <alignment horizontal="center" vertical="center" wrapText="1"/>
    </xf>
    <xf numFmtId="3" fontId="9" fillId="3" borderId="8" xfId="0" applyNumberFormat="1" applyFont="1" applyFill="1" applyBorder="1" applyAlignment="1">
      <alignment horizontal="center" vertical="center" wrapText="1"/>
    </xf>
    <xf numFmtId="3" fontId="9" fillId="3" borderId="9" xfId="0" applyNumberFormat="1" applyFont="1" applyFill="1" applyBorder="1" applyAlignment="1">
      <alignment horizontal="center" vertical="center" wrapText="1"/>
    </xf>
    <xf numFmtId="3" fontId="9" fillId="3" borderId="10" xfId="0" applyNumberFormat="1" applyFont="1" applyFill="1" applyBorder="1" applyAlignment="1">
      <alignment horizontal="center" vertical="center" wrapText="1"/>
    </xf>
    <xf numFmtId="3" fontId="9" fillId="3" borderId="11" xfId="0" applyNumberFormat="1" applyFont="1" applyFill="1" applyBorder="1" applyAlignment="1">
      <alignment horizontal="center" vertical="center" wrapText="1"/>
    </xf>
    <xf numFmtId="3" fontId="9" fillId="3" borderId="12" xfId="0" applyNumberFormat="1" applyFont="1" applyFill="1" applyBorder="1" applyAlignment="1">
      <alignment horizontal="center" vertical="center" wrapText="1"/>
    </xf>
    <xf numFmtId="3" fontId="9" fillId="3" borderId="13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3" fontId="9" fillId="3" borderId="15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left" vertical="center" indent="1"/>
    </xf>
    <xf numFmtId="0" fontId="2" fillId="3" borderId="17" xfId="0" applyFont="1" applyFill="1" applyBorder="1" applyAlignment="1">
      <alignment horizontal="left" vertical="center" indent="1"/>
    </xf>
    <xf numFmtId="0" fontId="9" fillId="3" borderId="18" xfId="0" applyNumberFormat="1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/>
    </xf>
    <xf numFmtId="0" fontId="9" fillId="3" borderId="19" xfId="0" applyNumberFormat="1" applyFont="1" applyFill="1" applyBorder="1" applyAlignment="1">
      <alignment horizontal="center" vertical="top" wrapText="1"/>
    </xf>
    <xf numFmtId="0" fontId="9" fillId="3" borderId="20" xfId="0" applyNumberFormat="1" applyFont="1" applyFill="1" applyBorder="1" applyAlignment="1">
      <alignment horizontal="center" vertical="top" wrapText="1"/>
    </xf>
    <xf numFmtId="0" fontId="9" fillId="3" borderId="21" xfId="0" applyNumberFormat="1" applyFont="1" applyFill="1" applyBorder="1" applyAlignment="1">
      <alignment horizontal="center" vertical="top" wrapText="1"/>
    </xf>
    <xf numFmtId="0" fontId="9" fillId="3" borderId="22" xfId="0" applyNumberFormat="1" applyFont="1" applyFill="1" applyBorder="1" applyAlignment="1">
      <alignment horizontal="center" vertical="top" wrapText="1"/>
    </xf>
    <xf numFmtId="0" fontId="9" fillId="3" borderId="23" xfId="0" applyNumberFormat="1" applyFont="1" applyFill="1" applyBorder="1" applyAlignment="1">
      <alignment horizontal="center" vertical="top" wrapText="1"/>
    </xf>
    <xf numFmtId="0" fontId="11" fillId="2" borderId="24" xfId="0" applyFont="1" applyFill="1" applyBorder="1" applyAlignment="1">
      <alignment horizontal="left" indent="4"/>
    </xf>
    <xf numFmtId="0" fontId="11" fillId="2" borderId="25" xfId="0" applyFont="1" applyFill="1" applyBorder="1" applyAlignment="1">
      <alignment horizontal="left" indent="4"/>
    </xf>
    <xf numFmtId="165" fontId="12" fillId="2" borderId="26" xfId="0" applyNumberFormat="1" applyFont="1" applyFill="1" applyBorder="1"/>
    <xf numFmtId="165" fontId="12" fillId="2" borderId="27" xfId="0" applyNumberFormat="1" applyFont="1" applyFill="1" applyBorder="1"/>
    <xf numFmtId="165" fontId="11" fillId="4" borderId="28" xfId="0" applyNumberFormat="1" applyFont="1" applyFill="1" applyBorder="1"/>
    <xf numFmtId="9" fontId="11" fillId="4" borderId="6" xfId="1" applyFont="1" applyFill="1" applyBorder="1" applyAlignment="1">
      <alignment horizontal="right"/>
    </xf>
    <xf numFmtId="165" fontId="12" fillId="2" borderId="29" xfId="0" applyNumberFormat="1" applyFont="1" applyFill="1" applyBorder="1"/>
    <xf numFmtId="9" fontId="11" fillId="4" borderId="30" xfId="1" applyFont="1" applyFill="1" applyBorder="1" applyAlignment="1">
      <alignment horizontal="right"/>
    </xf>
    <xf numFmtId="0" fontId="12" fillId="2" borderId="24" xfId="0" applyFont="1" applyFill="1" applyBorder="1" applyAlignment="1">
      <alignment horizontal="left" indent="4"/>
    </xf>
    <xf numFmtId="0" fontId="12" fillId="2" borderId="31" xfId="0" applyFont="1" applyFill="1" applyBorder="1" applyAlignment="1">
      <alignment horizontal="left" indent="4"/>
    </xf>
    <xf numFmtId="165" fontId="12" fillId="2" borderId="32" xfId="0" applyNumberFormat="1" applyFont="1" applyFill="1" applyBorder="1"/>
    <xf numFmtId="165" fontId="12" fillId="2" borderId="6" xfId="0" applyNumberFormat="1" applyFont="1" applyFill="1" applyBorder="1"/>
    <xf numFmtId="9" fontId="11" fillId="4" borderId="33" xfId="1" applyFont="1" applyFill="1" applyBorder="1" applyAlignment="1">
      <alignment horizontal="right"/>
    </xf>
    <xf numFmtId="0" fontId="13" fillId="0" borderId="0" xfId="0" applyFont="1" applyFill="1"/>
    <xf numFmtId="0" fontId="14" fillId="2" borderId="24" xfId="0" applyFont="1" applyFill="1" applyBorder="1" applyAlignment="1">
      <alignment horizontal="left" indent="3"/>
    </xf>
    <xf numFmtId="0" fontId="14" fillId="2" borderId="31" xfId="0" applyFont="1" applyFill="1" applyBorder="1" applyAlignment="1">
      <alignment horizontal="left" indent="3"/>
    </xf>
    <xf numFmtId="165" fontId="14" fillId="2" borderId="32" xfId="0" applyNumberFormat="1" applyFont="1" applyFill="1" applyBorder="1"/>
    <xf numFmtId="165" fontId="14" fillId="2" borderId="6" xfId="0" applyNumberFormat="1" applyFont="1" applyFill="1" applyBorder="1"/>
    <xf numFmtId="165" fontId="15" fillId="4" borderId="28" xfId="0" applyNumberFormat="1" applyFont="1" applyFill="1" applyBorder="1"/>
    <xf numFmtId="9" fontId="15" fillId="4" borderId="6" xfId="1" applyFont="1" applyFill="1" applyBorder="1" applyAlignment="1">
      <alignment horizontal="right"/>
    </xf>
    <xf numFmtId="165" fontId="14" fillId="2" borderId="29" xfId="0" applyNumberFormat="1" applyFont="1" applyFill="1" applyBorder="1"/>
    <xf numFmtId="9" fontId="15" fillId="4" borderId="33" xfId="1" applyFont="1" applyFill="1" applyBorder="1" applyAlignment="1">
      <alignment horizontal="right"/>
    </xf>
    <xf numFmtId="0" fontId="13" fillId="2" borderId="0" xfId="0" applyFont="1" applyFill="1"/>
    <xf numFmtId="0" fontId="12" fillId="0" borderId="24" xfId="0" applyFont="1" applyFill="1" applyBorder="1" applyAlignment="1">
      <alignment horizontal="left" indent="4"/>
    </xf>
    <xf numFmtId="0" fontId="12" fillId="0" borderId="31" xfId="0" applyFont="1" applyFill="1" applyBorder="1" applyAlignment="1">
      <alignment horizontal="left" indent="4"/>
    </xf>
    <xf numFmtId="0" fontId="14" fillId="4" borderId="24" xfId="0" applyFont="1" applyFill="1" applyBorder="1" applyAlignment="1">
      <alignment horizontal="left" indent="2"/>
    </xf>
    <xf numFmtId="0" fontId="14" fillId="4" borderId="31" xfId="0" applyFont="1" applyFill="1" applyBorder="1" applyAlignment="1">
      <alignment horizontal="left" indent="2"/>
    </xf>
    <xf numFmtId="165" fontId="14" fillId="4" borderId="32" xfId="0" applyNumberFormat="1" applyFont="1" applyFill="1" applyBorder="1"/>
    <xf numFmtId="165" fontId="14" fillId="4" borderId="6" xfId="0" applyNumberFormat="1" applyFont="1" applyFill="1" applyBorder="1"/>
    <xf numFmtId="165" fontId="14" fillId="4" borderId="29" xfId="0" applyNumberFormat="1" applyFont="1" applyFill="1" applyBorder="1"/>
    <xf numFmtId="0" fontId="14" fillId="4" borderId="34" xfId="0" applyFont="1" applyFill="1" applyBorder="1" applyAlignment="1">
      <alignment horizontal="left" indent="2"/>
    </xf>
    <xf numFmtId="0" fontId="14" fillId="4" borderId="0" xfId="0" applyFont="1" applyFill="1" applyBorder="1" applyAlignment="1">
      <alignment horizontal="left" indent="2"/>
    </xf>
    <xf numFmtId="0" fontId="14" fillId="2" borderId="35" xfId="0" applyFont="1" applyFill="1" applyBorder="1" applyAlignment="1">
      <alignment horizontal="left" indent="3"/>
    </xf>
    <xf numFmtId="0" fontId="12" fillId="2" borderId="35" xfId="0" applyFont="1" applyFill="1" applyBorder="1" applyAlignment="1">
      <alignment horizontal="left" indent="4"/>
    </xf>
    <xf numFmtId="165" fontId="12" fillId="0" borderId="32" xfId="0" applyNumberFormat="1" applyFont="1" applyFill="1" applyBorder="1"/>
    <xf numFmtId="165" fontId="12" fillId="0" borderId="6" xfId="0" applyNumberFormat="1" applyFont="1" applyFill="1" applyBorder="1"/>
    <xf numFmtId="165" fontId="12" fillId="0" borderId="29" xfId="0" applyNumberFormat="1" applyFont="1" applyFill="1" applyBorder="1"/>
    <xf numFmtId="0" fontId="14" fillId="4" borderId="36" xfId="0" applyFont="1" applyFill="1" applyBorder="1" applyAlignment="1">
      <alignment horizontal="left" indent="2"/>
    </xf>
    <xf numFmtId="0" fontId="14" fillId="5" borderId="37" xfId="0" applyFont="1" applyFill="1" applyBorder="1" applyAlignment="1">
      <alignment horizontal="left" indent="1"/>
    </xf>
    <xf numFmtId="0" fontId="14" fillId="5" borderId="38" xfId="0" applyFont="1" applyFill="1" applyBorder="1" applyAlignment="1">
      <alignment horizontal="left" indent="1"/>
    </xf>
    <xf numFmtId="165" fontId="14" fillId="5" borderId="39" xfId="0" applyNumberFormat="1" applyFont="1" applyFill="1" applyBorder="1"/>
    <xf numFmtId="165" fontId="14" fillId="5" borderId="40" xfId="0" applyNumberFormat="1" applyFont="1" applyFill="1" applyBorder="1"/>
    <xf numFmtId="165" fontId="15" fillId="5" borderId="41" xfId="0" applyNumberFormat="1" applyFont="1" applyFill="1" applyBorder="1"/>
    <xf numFmtId="9" fontId="15" fillId="5" borderId="40" xfId="1" applyFont="1" applyFill="1" applyBorder="1" applyAlignment="1">
      <alignment horizontal="right"/>
    </xf>
    <xf numFmtId="165" fontId="14" fillId="5" borderId="42" xfId="0" applyNumberFormat="1" applyFont="1" applyFill="1" applyBorder="1"/>
    <xf numFmtId="9" fontId="15" fillId="5" borderId="43" xfId="1" applyFont="1" applyFill="1" applyBorder="1" applyAlignment="1">
      <alignment horizontal="right"/>
    </xf>
    <xf numFmtId="0" fontId="14" fillId="2" borderId="36" xfId="0" applyFont="1" applyFill="1" applyBorder="1" applyAlignment="1">
      <alignment horizontal="left" indent="3"/>
    </xf>
    <xf numFmtId="0" fontId="9" fillId="3" borderId="44" xfId="0" applyFont="1" applyFill="1" applyBorder="1" applyAlignment="1">
      <alignment horizontal="left" vertical="center"/>
    </xf>
    <xf numFmtId="0" fontId="9" fillId="3" borderId="45" xfId="0" applyFont="1" applyFill="1" applyBorder="1" applyAlignment="1">
      <alignment horizontal="left" vertical="center"/>
    </xf>
    <xf numFmtId="165" fontId="5" fillId="3" borderId="46" xfId="0" applyNumberFormat="1" applyFont="1" applyFill="1" applyBorder="1"/>
    <xf numFmtId="165" fontId="5" fillId="3" borderId="47" xfId="0" applyNumberFormat="1" applyFont="1" applyFill="1" applyBorder="1"/>
    <xf numFmtId="165" fontId="5" fillId="3" borderId="48" xfId="0" applyNumberFormat="1" applyFont="1" applyFill="1" applyBorder="1"/>
    <xf numFmtId="9" fontId="5" fillId="3" borderId="47" xfId="1" applyFont="1" applyFill="1" applyBorder="1" applyAlignment="1">
      <alignment horizontal="right"/>
    </xf>
    <xf numFmtId="165" fontId="5" fillId="3" borderId="49" xfId="0" applyNumberFormat="1" applyFont="1" applyFill="1" applyBorder="1"/>
    <xf numFmtId="9" fontId="5" fillId="3" borderId="50" xfId="1" applyFont="1" applyFill="1" applyBorder="1" applyAlignment="1">
      <alignment horizontal="right"/>
    </xf>
    <xf numFmtId="0" fontId="13" fillId="2" borderId="51" xfId="0" applyFont="1" applyFill="1" applyBorder="1"/>
    <xf numFmtId="0" fontId="14" fillId="0" borderId="52" xfId="0" applyFont="1" applyFill="1" applyBorder="1" applyAlignment="1">
      <alignment horizontal="left" indent="1"/>
    </xf>
    <xf numFmtId="0" fontId="14" fillId="0" borderId="31" xfId="0" applyFont="1" applyFill="1" applyBorder="1" applyAlignment="1">
      <alignment horizontal="left" indent="1"/>
    </xf>
    <xf numFmtId="166" fontId="16" fillId="0" borderId="53" xfId="1" applyNumberFormat="1" applyFont="1" applyFill="1" applyBorder="1"/>
    <xf numFmtId="166" fontId="16" fillId="0" borderId="54" xfId="1" applyNumberFormat="1" applyFont="1" applyFill="1" applyBorder="1"/>
    <xf numFmtId="9" fontId="17" fillId="4" borderId="54" xfId="1" applyFont="1" applyFill="1" applyBorder="1" applyAlignment="1">
      <alignment horizontal="right"/>
    </xf>
    <xf numFmtId="166" fontId="16" fillId="0" borderId="29" xfId="1" applyNumberFormat="1" applyFont="1" applyFill="1" applyBorder="1"/>
    <xf numFmtId="166" fontId="17" fillId="4" borderId="28" xfId="1" applyNumberFormat="1" applyFont="1" applyFill="1" applyBorder="1" applyAlignment="1">
      <alignment horizontal="right"/>
    </xf>
    <xf numFmtId="9" fontId="17" fillId="4" borderId="55" xfId="1" applyFont="1" applyFill="1" applyBorder="1" applyAlignment="1">
      <alignment horizontal="right"/>
    </xf>
    <xf numFmtId="0" fontId="18" fillId="2" borderId="0" xfId="0" applyFont="1" applyFill="1"/>
    <xf numFmtId="0" fontId="19" fillId="0" borderId="52" xfId="0" applyFont="1" applyFill="1" applyBorder="1" applyAlignment="1">
      <alignment horizontal="left" indent="2"/>
    </xf>
    <xf numFmtId="0" fontId="19" fillId="0" borderId="31" xfId="0" applyFont="1" applyFill="1" applyBorder="1" applyAlignment="1">
      <alignment horizontal="left" indent="2"/>
    </xf>
    <xf numFmtId="0" fontId="19" fillId="0" borderId="32" xfId="0" applyFont="1" applyFill="1" applyBorder="1" applyAlignment="1">
      <alignment horizontal="right" indent="1"/>
    </xf>
    <xf numFmtId="0" fontId="19" fillId="0" borderId="6" xfId="0" applyFont="1" applyFill="1" applyBorder="1" applyAlignment="1">
      <alignment horizontal="right" indent="1"/>
    </xf>
    <xf numFmtId="9" fontId="20" fillId="4" borderId="6" xfId="1" applyFont="1" applyFill="1" applyBorder="1" applyAlignment="1">
      <alignment horizontal="right" indent="1"/>
    </xf>
    <xf numFmtId="0" fontId="19" fillId="0" borderId="29" xfId="0" applyFont="1" applyFill="1" applyBorder="1" applyAlignment="1">
      <alignment horizontal="right" indent="1"/>
    </xf>
    <xf numFmtId="165" fontId="20" fillId="4" borderId="28" xfId="0" applyNumberFormat="1" applyFont="1" applyFill="1" applyBorder="1" applyAlignment="1">
      <alignment horizontal="right" indent="1"/>
    </xf>
    <xf numFmtId="9" fontId="20" fillId="4" borderId="56" xfId="1" applyFont="1" applyFill="1" applyBorder="1" applyAlignment="1">
      <alignment horizontal="right" indent="1"/>
    </xf>
    <xf numFmtId="9" fontId="20" fillId="4" borderId="0" xfId="1" applyFont="1" applyFill="1" applyBorder="1" applyAlignment="1">
      <alignment horizontal="right" indent="1"/>
    </xf>
    <xf numFmtId="0" fontId="14" fillId="0" borderId="32" xfId="0" applyFont="1" applyFill="1" applyBorder="1" applyAlignment="1">
      <alignment horizontal="right" indent="1"/>
    </xf>
    <xf numFmtId="0" fontId="14" fillId="0" borderId="6" xfId="0" applyFont="1" applyFill="1" applyBorder="1" applyAlignment="1">
      <alignment horizontal="right" indent="1"/>
    </xf>
    <xf numFmtId="9" fontId="15" fillId="4" borderId="6" xfId="1" applyFont="1" applyFill="1" applyBorder="1" applyAlignment="1">
      <alignment horizontal="right" indent="1"/>
    </xf>
    <xf numFmtId="0" fontId="14" fillId="0" borderId="29" xfId="0" applyFont="1" applyFill="1" applyBorder="1" applyAlignment="1">
      <alignment horizontal="right" indent="1"/>
    </xf>
    <xf numFmtId="165" fontId="15" fillId="4" borderId="28" xfId="0" applyNumberFormat="1" applyFont="1" applyFill="1" applyBorder="1" applyAlignment="1">
      <alignment horizontal="right" indent="1"/>
    </xf>
    <xf numFmtId="9" fontId="15" fillId="4" borderId="56" xfId="1" applyFont="1" applyFill="1" applyBorder="1" applyAlignment="1">
      <alignment horizontal="right" indent="1"/>
    </xf>
    <xf numFmtId="1" fontId="14" fillId="0" borderId="6" xfId="0" applyNumberFormat="1" applyFont="1" applyFill="1" applyBorder="1" applyAlignment="1">
      <alignment horizontal="right" indent="1"/>
    </xf>
    <xf numFmtId="1" fontId="14" fillId="0" borderId="29" xfId="0" applyNumberFormat="1" applyFont="1" applyFill="1" applyBorder="1" applyAlignment="1">
      <alignment horizontal="right" indent="1"/>
    </xf>
    <xf numFmtId="0" fontId="14" fillId="0" borderId="16" xfId="0" applyFont="1" applyFill="1" applyBorder="1" applyAlignment="1">
      <alignment horizontal="left" indent="1"/>
    </xf>
    <xf numFmtId="0" fontId="21" fillId="2" borderId="57" xfId="0" applyFont="1" applyFill="1" applyBorder="1" applyAlignment="1">
      <alignment horizontal="left" indent="1"/>
    </xf>
    <xf numFmtId="0" fontId="14" fillId="0" borderId="58" xfId="0" applyFont="1" applyFill="1" applyBorder="1" applyAlignment="1">
      <alignment horizontal="right" indent="1"/>
    </xf>
    <xf numFmtId="0" fontId="14" fillId="0" borderId="59" xfId="0" applyFont="1" applyFill="1" applyBorder="1" applyAlignment="1">
      <alignment horizontal="right" indent="1"/>
    </xf>
    <xf numFmtId="165" fontId="15" fillId="4" borderId="60" xfId="0" applyNumberFormat="1" applyFont="1" applyFill="1" applyBorder="1"/>
    <xf numFmtId="9" fontId="15" fillId="4" borderId="17" xfId="1" applyFont="1" applyFill="1" applyBorder="1" applyAlignment="1">
      <alignment horizontal="right" indent="1"/>
    </xf>
    <xf numFmtId="0" fontId="14" fillId="0" borderId="61" xfId="0" applyFont="1" applyFill="1" applyBorder="1" applyAlignment="1">
      <alignment horizontal="right" indent="1"/>
    </xf>
    <xf numFmtId="165" fontId="15" fillId="4" borderId="62" xfId="0" applyNumberFormat="1" applyFont="1" applyFill="1" applyBorder="1" applyAlignment="1">
      <alignment horizontal="right" indent="1"/>
    </xf>
    <xf numFmtId="9" fontId="15" fillId="4" borderId="63" xfId="1" applyFont="1" applyFill="1" applyBorder="1" applyAlignment="1">
      <alignment horizontal="right" indent="1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 indent="1"/>
    </xf>
    <xf numFmtId="165" fontId="9" fillId="0" borderId="0" xfId="0" applyNumberFormat="1" applyFont="1" applyFill="1" applyBorder="1"/>
    <xf numFmtId="165" fontId="9" fillId="0" borderId="0" xfId="0" applyNumberFormat="1" applyFont="1" applyFill="1" applyBorder="1" applyAlignment="1">
      <alignment horizontal="right"/>
    </xf>
    <xf numFmtId="0" fontId="9" fillId="3" borderId="64" xfId="0" applyNumberFormat="1" applyFont="1" applyFill="1" applyBorder="1" applyAlignment="1">
      <alignment horizontal="center" vertical="top" wrapText="1"/>
    </xf>
    <xf numFmtId="0" fontId="12" fillId="2" borderId="25" xfId="0" applyFont="1" applyFill="1" applyBorder="1" applyAlignment="1">
      <alignment horizontal="left" indent="4"/>
    </xf>
    <xf numFmtId="0" fontId="3" fillId="2" borderId="0" xfId="0" applyFont="1" applyFill="1" applyBorder="1" applyAlignment="1">
      <alignment horizontal="right"/>
    </xf>
    <xf numFmtId="165" fontId="11" fillId="4" borderId="27" xfId="0" applyNumberFormat="1" applyFont="1" applyFill="1" applyBorder="1"/>
    <xf numFmtId="165" fontId="11" fillId="4" borderId="30" xfId="1" applyNumberFormat="1" applyFont="1" applyFill="1" applyBorder="1" applyAlignment="1">
      <alignment horizontal="right"/>
    </xf>
    <xf numFmtId="165" fontId="11" fillId="4" borderId="6" xfId="1" applyNumberFormat="1" applyFont="1" applyFill="1" applyBorder="1" applyAlignment="1">
      <alignment horizontal="right"/>
    </xf>
    <xf numFmtId="165" fontId="11" fillId="4" borderId="33" xfId="1" applyNumberFormat="1" applyFont="1" applyFill="1" applyBorder="1" applyAlignment="1">
      <alignment horizontal="right"/>
    </xf>
    <xf numFmtId="165" fontId="15" fillId="4" borderId="6" xfId="1" applyNumberFormat="1" applyFont="1" applyFill="1" applyBorder="1" applyAlignment="1">
      <alignment horizontal="right"/>
    </xf>
    <xf numFmtId="165" fontId="15" fillId="4" borderId="33" xfId="1" applyNumberFormat="1" applyFont="1" applyFill="1" applyBorder="1" applyAlignment="1">
      <alignment horizontal="right"/>
    </xf>
    <xf numFmtId="165" fontId="15" fillId="4" borderId="56" xfId="1" applyNumberFormat="1" applyFont="1" applyFill="1" applyBorder="1" applyAlignment="1">
      <alignment horizontal="right"/>
    </xf>
    <xf numFmtId="165" fontId="11" fillId="4" borderId="56" xfId="1" applyNumberFormat="1" applyFont="1" applyFill="1" applyBorder="1" applyAlignment="1">
      <alignment horizontal="right"/>
    </xf>
    <xf numFmtId="165" fontId="15" fillId="5" borderId="40" xfId="1" applyNumberFormat="1" applyFont="1" applyFill="1" applyBorder="1" applyAlignment="1">
      <alignment horizontal="right"/>
    </xf>
    <xf numFmtId="165" fontId="15" fillId="5" borderId="43" xfId="1" applyNumberFormat="1" applyFont="1" applyFill="1" applyBorder="1" applyAlignment="1">
      <alignment horizontal="right"/>
    </xf>
    <xf numFmtId="165" fontId="5" fillId="3" borderId="47" xfId="1" applyNumberFormat="1" applyFont="1" applyFill="1" applyBorder="1" applyAlignment="1">
      <alignment horizontal="right"/>
    </xf>
    <xf numFmtId="165" fontId="5" fillId="3" borderId="50" xfId="1" applyNumberFormat="1" applyFont="1" applyFill="1" applyBorder="1" applyAlignment="1">
      <alignment horizontal="right"/>
    </xf>
    <xf numFmtId="0" fontId="22" fillId="2" borderId="0" xfId="0" applyFont="1" applyFill="1"/>
    <xf numFmtId="0" fontId="23" fillId="2" borderId="0" xfId="0" applyFont="1" applyFill="1"/>
  </cellXfs>
  <cellStyles count="2">
    <cellStyle name="Normal" xfId="0" builtinId="0"/>
    <cellStyle name="Percent" xfId="1" builtinId="5"/>
  </cellStyles>
  <dxfs count="1080"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showGridLines="0" tabSelected="1" workbookViewId="0">
      <selection activeCell="C15" sqref="C15"/>
    </sheetView>
  </sheetViews>
  <sheetFormatPr defaultColWidth="9.140625" defaultRowHeight="12.75" outlineLevelRow="3" x14ac:dyDescent="0.2"/>
  <cols>
    <col min="1" max="1" width="5" style="1" customWidth="1"/>
    <col min="2" max="3" width="38.85546875" style="1" customWidth="1"/>
    <col min="4" max="7" width="15" style="1" customWidth="1"/>
    <col min="8" max="8" width="15" style="3" customWidth="1"/>
    <col min="9" max="14" width="15" style="1" customWidth="1"/>
    <col min="15" max="15" width="9.140625" style="1"/>
    <col min="16" max="16" width="10" style="1" bestFit="1" customWidth="1"/>
    <col min="17" max="16384" width="9.140625" style="1"/>
  </cols>
  <sheetData>
    <row r="1" spans="1:15" ht="31.5" x14ac:dyDescent="0.2">
      <c r="B1" s="2" t="s">
        <v>0</v>
      </c>
    </row>
    <row r="2" spans="1:15" x14ac:dyDescent="0.2">
      <c r="B2" s="4" t="s">
        <v>1</v>
      </c>
      <c r="C2" s="5" t="s">
        <v>2</v>
      </c>
    </row>
    <row r="3" spans="1:15" x14ac:dyDescent="0.2">
      <c r="B3" s="4" t="s">
        <v>3</v>
      </c>
      <c r="C3" s="5" t="s">
        <v>147</v>
      </c>
    </row>
    <row r="4" spans="1:15" x14ac:dyDescent="0.2">
      <c r="B4" s="4" t="s">
        <v>4</v>
      </c>
      <c r="C4" s="5" t="s">
        <v>5</v>
      </c>
      <c r="M4" s="6"/>
    </row>
    <row r="5" spans="1:15" x14ac:dyDescent="0.2">
      <c r="B5" s="4" t="s">
        <v>6</v>
      </c>
      <c r="C5" s="7">
        <v>46174</v>
      </c>
      <c r="E5" s="3"/>
      <c r="F5" s="8"/>
      <c r="G5" s="8"/>
      <c r="M5" s="6"/>
    </row>
    <row r="6" spans="1:15" x14ac:dyDescent="0.2">
      <c r="B6" s="4" t="s">
        <v>7</v>
      </c>
      <c r="C6" s="9" t="s">
        <v>8</v>
      </c>
      <c r="D6" s="10"/>
      <c r="E6" s="11"/>
      <c r="F6" s="11"/>
      <c r="G6" s="12"/>
      <c r="H6" s="11"/>
      <c r="I6" s="11"/>
      <c r="J6" s="11"/>
      <c r="K6" s="11"/>
      <c r="L6" s="11"/>
      <c r="M6" s="11"/>
      <c r="N6" s="11"/>
      <c r="O6" s="13"/>
    </row>
    <row r="7" spans="1:15" ht="13.5" thickBot="1" x14ac:dyDescent="0.25">
      <c r="B7" s="14"/>
      <c r="C7" s="15"/>
      <c r="D7" s="11"/>
      <c r="E7" s="11"/>
      <c r="F7" s="11"/>
      <c r="G7" s="12"/>
      <c r="H7" s="11"/>
      <c r="I7" s="11"/>
      <c r="J7" s="11"/>
      <c r="K7" s="11"/>
      <c r="L7" s="11"/>
      <c r="M7" s="11"/>
      <c r="N7" s="11"/>
    </row>
    <row r="8" spans="1:15" ht="15.75" customHeight="1" thickTop="1" x14ac:dyDescent="0.2">
      <c r="B8" s="16"/>
      <c r="C8" s="16"/>
      <c r="D8" s="17" t="s">
        <v>147</v>
      </c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1:15" ht="15.75" customHeight="1" x14ac:dyDescent="0.2">
      <c r="B9" s="16"/>
      <c r="C9" s="20"/>
      <c r="D9" s="21" t="s">
        <v>9</v>
      </c>
      <c r="E9" s="21"/>
      <c r="F9" s="21"/>
      <c r="G9" s="21"/>
      <c r="H9" s="22" t="s">
        <v>10</v>
      </c>
      <c r="I9" s="21"/>
      <c r="J9" s="21"/>
      <c r="K9" s="23"/>
      <c r="L9" s="24" t="s">
        <v>11</v>
      </c>
      <c r="M9" s="21"/>
      <c r="N9" s="25"/>
    </row>
    <row r="10" spans="1:15" ht="34.5" customHeight="1" x14ac:dyDescent="0.2">
      <c r="B10" s="16"/>
      <c r="C10" s="20"/>
      <c r="D10" s="26" t="s">
        <v>12</v>
      </c>
      <c r="E10" s="27" t="s">
        <v>13</v>
      </c>
      <c r="F10" s="28" t="s">
        <v>14</v>
      </c>
      <c r="G10" s="29"/>
      <c r="H10" s="30" t="s">
        <v>12</v>
      </c>
      <c r="I10" s="27" t="s">
        <v>13</v>
      </c>
      <c r="J10" s="28" t="s">
        <v>14</v>
      </c>
      <c r="K10" s="29"/>
      <c r="L10" s="31" t="s">
        <v>13</v>
      </c>
      <c r="M10" s="32" t="s">
        <v>15</v>
      </c>
      <c r="N10" s="33"/>
    </row>
    <row r="11" spans="1:15" ht="16.5" customHeight="1" thickBot="1" x14ac:dyDescent="0.25">
      <c r="A11" s="8"/>
      <c r="B11" s="34" t="s">
        <v>16</v>
      </c>
      <c r="C11" s="35" t="s">
        <v>17</v>
      </c>
      <c r="D11" s="36"/>
      <c r="E11" s="37"/>
      <c r="F11" s="38"/>
      <c r="G11" s="39"/>
      <c r="H11" s="40"/>
      <c r="I11" s="36"/>
      <c r="J11" s="39"/>
      <c r="K11" s="39"/>
      <c r="L11" s="41"/>
      <c r="M11" s="38"/>
      <c r="N11" s="42"/>
    </row>
    <row r="12" spans="1:15" ht="13.5" outlineLevel="3" thickTop="1" x14ac:dyDescent="0.2">
      <c r="A12" s="8"/>
      <c r="B12" s="43" t="s">
        <v>18</v>
      </c>
      <c r="C12" s="44" t="s">
        <v>19</v>
      </c>
      <c r="D12" s="45">
        <v>135195586.78999999</v>
      </c>
      <c r="E12" s="46">
        <v>145701750</v>
      </c>
      <c r="F12" s="47">
        <f>D12-E12</f>
        <v>-10506163.210000008</v>
      </c>
      <c r="G12" s="48">
        <f t="shared" ref="G12:G66" si="0">IFERROR(D12/E12-1,"-")</f>
        <v>-7.2107323419245195E-2</v>
      </c>
      <c r="H12" s="49">
        <v>851059330</v>
      </c>
      <c r="I12" s="49">
        <v>866543899</v>
      </c>
      <c r="J12" s="47">
        <f>H12-I12</f>
        <v>-15484569</v>
      </c>
      <c r="K12" s="48">
        <f t="shared" ref="K12:K66" si="1">IFERROR(H12/I12-1,"-")</f>
        <v>-1.7869341666209126E-2</v>
      </c>
      <c r="L12" s="49">
        <v>1740754399</v>
      </c>
      <c r="M12" s="47">
        <f>H12-L12</f>
        <v>-889695069</v>
      </c>
      <c r="N12" s="50">
        <f t="shared" ref="N12:N72" si="2">IFERROR(M12/L12,"-")</f>
        <v>-0.51109741242710482</v>
      </c>
    </row>
    <row r="13" spans="1:15" outlineLevel="3" x14ac:dyDescent="0.2">
      <c r="A13" s="8"/>
      <c r="B13" s="51" t="s">
        <v>20</v>
      </c>
      <c r="C13" s="52" t="s">
        <v>21</v>
      </c>
      <c r="D13" s="53">
        <v>27369683.629999999</v>
      </c>
      <c r="E13" s="54">
        <v>26954823.75</v>
      </c>
      <c r="F13" s="47">
        <f t="shared" ref="F13:F72" si="3">D13-E13</f>
        <v>414859.87999999896</v>
      </c>
      <c r="G13" s="48">
        <f t="shared" si="0"/>
        <v>1.5390932763936105E-2</v>
      </c>
      <c r="H13" s="49">
        <v>198975930</v>
      </c>
      <c r="I13" s="49">
        <v>160310621.315</v>
      </c>
      <c r="J13" s="47">
        <f t="shared" ref="J13:J14" si="4">H13-I13</f>
        <v>38665308.685000002</v>
      </c>
      <c r="K13" s="48">
        <f t="shared" si="1"/>
        <v>0.24118993718466841</v>
      </c>
      <c r="L13" s="49">
        <v>322039563.815</v>
      </c>
      <c r="M13" s="47">
        <f t="shared" ref="M13:M72" si="5">H13-L13</f>
        <v>-123063633.815</v>
      </c>
      <c r="N13" s="55">
        <f t="shared" si="2"/>
        <v>-0.38213824524273537</v>
      </c>
    </row>
    <row r="14" spans="1:15" s="65" customFormat="1" outlineLevel="2" x14ac:dyDescent="0.2">
      <c r="A14" s="56"/>
      <c r="B14" s="57" t="s">
        <v>22</v>
      </c>
      <c r="C14" s="58" t="s">
        <v>23</v>
      </c>
      <c r="D14" s="59">
        <f>SUM(D12:D13)</f>
        <v>162565270.41999999</v>
      </c>
      <c r="E14" s="60">
        <f>SUM(E12:E13)</f>
        <v>172656573.75</v>
      </c>
      <c r="F14" s="61">
        <f t="shared" si="3"/>
        <v>-10091303.330000013</v>
      </c>
      <c r="G14" s="62">
        <f t="shared" si="0"/>
        <v>-5.844725810794682E-2</v>
      </c>
      <c r="H14" s="63">
        <f>SUM(H12:H13)</f>
        <v>1050035260</v>
      </c>
      <c r="I14" s="63">
        <f>SUM(I12:I13)</f>
        <v>1026854520.3150001</v>
      </c>
      <c r="J14" s="61">
        <f t="shared" si="4"/>
        <v>23180739.684999943</v>
      </c>
      <c r="K14" s="62">
        <f t="shared" si="1"/>
        <v>2.2574511994054358E-2</v>
      </c>
      <c r="L14" s="63">
        <f>SUM(L12:L13)</f>
        <v>2062793962.8150001</v>
      </c>
      <c r="M14" s="61">
        <f t="shared" si="5"/>
        <v>-1012758702.8150001</v>
      </c>
      <c r="N14" s="64">
        <f t="shared" si="2"/>
        <v>-0.49096454666414419</v>
      </c>
    </row>
    <row r="15" spans="1:15" outlineLevel="3" x14ac:dyDescent="0.2">
      <c r="A15" s="8"/>
      <c r="B15" s="66" t="s">
        <v>24</v>
      </c>
      <c r="C15" s="67" t="s">
        <v>25</v>
      </c>
      <c r="D15" s="53">
        <v>44268446.450000003</v>
      </c>
      <c r="E15" s="54">
        <v>41309276.698853597</v>
      </c>
      <c r="F15" s="47">
        <f>D15-E15</f>
        <v>2959169.7511464059</v>
      </c>
      <c r="G15" s="48">
        <f t="shared" si="0"/>
        <v>7.1634508943811293E-2</v>
      </c>
      <c r="H15" s="49">
        <v>416503908.48000002</v>
      </c>
      <c r="I15" s="49">
        <v>247877363.72588509</v>
      </c>
      <c r="J15" s="47">
        <f>H15-I15</f>
        <v>168626544.75411493</v>
      </c>
      <c r="K15" s="48">
        <f t="shared" si="1"/>
        <v>0.68028214524901265</v>
      </c>
      <c r="L15" s="49">
        <v>495733023.91900676</v>
      </c>
      <c r="M15" s="47">
        <f>H15-L15</f>
        <v>-79229115.439006746</v>
      </c>
      <c r="N15" s="55">
        <f t="shared" si="2"/>
        <v>-0.15982214542146633</v>
      </c>
    </row>
    <row r="16" spans="1:15" outlineLevel="3" x14ac:dyDescent="0.2">
      <c r="A16" s="8"/>
      <c r="B16" s="51" t="s">
        <v>26</v>
      </c>
      <c r="C16" s="67" t="s">
        <v>27</v>
      </c>
      <c r="D16" s="53">
        <v>6226136.4199999999</v>
      </c>
      <c r="E16" s="54">
        <v>7642216.1892879102</v>
      </c>
      <c r="F16" s="47">
        <f t="shared" si="3"/>
        <v>-1416079.7692879103</v>
      </c>
      <c r="G16" s="48">
        <f t="shared" si="0"/>
        <v>-0.18529700471871347</v>
      </c>
      <c r="H16" s="49">
        <v>69999585.459999993</v>
      </c>
      <c r="I16" s="49">
        <v>45857312.289288707</v>
      </c>
      <c r="J16" s="47">
        <f t="shared" ref="J16:J17" si="6">H16-I16</f>
        <v>24142273.170711286</v>
      </c>
      <c r="K16" s="48">
        <f t="shared" si="1"/>
        <v>0.5264650710100689</v>
      </c>
      <c r="L16" s="49">
        <v>91710609.42501618</v>
      </c>
      <c r="M16" s="47">
        <f t="shared" si="5"/>
        <v>-21711023.965016186</v>
      </c>
      <c r="N16" s="55">
        <f t="shared" si="2"/>
        <v>-0.23673404964959271</v>
      </c>
    </row>
    <row r="17" spans="1:14" s="65" customFormat="1" outlineLevel="2" x14ac:dyDescent="0.2">
      <c r="A17" s="56"/>
      <c r="B17" s="57" t="s">
        <v>28</v>
      </c>
      <c r="C17" s="58" t="s">
        <v>29</v>
      </c>
      <c r="D17" s="59">
        <f>SUM(D15:D16)</f>
        <v>50494582.870000005</v>
      </c>
      <c r="E17" s="60">
        <f>SUM(E15:E16)</f>
        <v>48951492.888141505</v>
      </c>
      <c r="F17" s="61">
        <f t="shared" si="3"/>
        <v>1543089.9818584993</v>
      </c>
      <c r="G17" s="62">
        <f t="shared" si="0"/>
        <v>3.1522838034472089E-2</v>
      </c>
      <c r="H17" s="63">
        <f>SUM(H15:H16)</f>
        <v>486503493.94</v>
      </c>
      <c r="I17" s="63">
        <f>SUM(I15:I16)</f>
        <v>293734676.01517379</v>
      </c>
      <c r="J17" s="61">
        <f t="shared" si="6"/>
        <v>192768817.9248262</v>
      </c>
      <c r="K17" s="62">
        <f t="shared" si="1"/>
        <v>0.6562685091863929</v>
      </c>
      <c r="L17" s="63">
        <f>SUM(L15:L16)</f>
        <v>587443633.34402299</v>
      </c>
      <c r="M17" s="61">
        <f t="shared" si="5"/>
        <v>-100940139.40402299</v>
      </c>
      <c r="N17" s="64">
        <f t="shared" si="2"/>
        <v>-0.17182948911952833</v>
      </c>
    </row>
    <row r="18" spans="1:14" outlineLevel="3" x14ac:dyDescent="0.2">
      <c r="A18" s="8"/>
      <c r="B18" s="51" t="s">
        <v>30</v>
      </c>
      <c r="C18" s="52" t="s">
        <v>31</v>
      </c>
      <c r="D18" s="53">
        <v>502299.88</v>
      </c>
      <c r="E18" s="54">
        <v>0</v>
      </c>
      <c r="F18" s="47">
        <f>D18-E18</f>
        <v>502299.88</v>
      </c>
      <c r="G18" s="48" t="str">
        <f t="shared" si="0"/>
        <v>-</v>
      </c>
      <c r="H18" s="49">
        <v>2428673.09</v>
      </c>
      <c r="I18" s="49">
        <v>0</v>
      </c>
      <c r="J18" s="47">
        <f>H18-I18</f>
        <v>2428673.09</v>
      </c>
      <c r="K18" s="48" t="str">
        <f t="shared" si="1"/>
        <v>-</v>
      </c>
      <c r="L18" s="49">
        <v>0</v>
      </c>
      <c r="M18" s="47">
        <f>H18-L18</f>
        <v>2428673.09</v>
      </c>
      <c r="N18" s="55" t="str">
        <f t="shared" si="2"/>
        <v>-</v>
      </c>
    </row>
    <row r="19" spans="1:14" outlineLevel="3" x14ac:dyDescent="0.2">
      <c r="A19" s="8"/>
      <c r="B19" s="51" t="s">
        <v>32</v>
      </c>
      <c r="C19" s="52" t="s">
        <v>33</v>
      </c>
      <c r="D19" s="53">
        <v>81339.45</v>
      </c>
      <c r="E19" s="54">
        <v>0</v>
      </c>
      <c r="F19" s="47">
        <f t="shared" si="3"/>
        <v>81339.45</v>
      </c>
      <c r="G19" s="48" t="str">
        <f t="shared" si="0"/>
        <v>-</v>
      </c>
      <c r="H19" s="49">
        <v>429173.05</v>
      </c>
      <c r="I19" s="49">
        <v>0</v>
      </c>
      <c r="J19" s="47">
        <f t="shared" ref="J19:J20" si="7">H19-I19</f>
        <v>429173.05</v>
      </c>
      <c r="K19" s="48" t="str">
        <f t="shared" si="1"/>
        <v>-</v>
      </c>
      <c r="L19" s="49">
        <v>0</v>
      </c>
      <c r="M19" s="47">
        <f t="shared" si="5"/>
        <v>429173.05</v>
      </c>
      <c r="N19" s="55" t="str">
        <f t="shared" si="2"/>
        <v>-</v>
      </c>
    </row>
    <row r="20" spans="1:14" s="65" customFormat="1" outlineLevel="2" x14ac:dyDescent="0.2">
      <c r="A20" s="56"/>
      <c r="B20" s="57" t="s">
        <v>34</v>
      </c>
      <c r="C20" s="58" t="s">
        <v>35</v>
      </c>
      <c r="D20" s="59">
        <f>SUM(D18:D19)</f>
        <v>583639.32999999996</v>
      </c>
      <c r="E20" s="60">
        <f>SUM(E18:E19)</f>
        <v>0</v>
      </c>
      <c r="F20" s="61">
        <f t="shared" si="3"/>
        <v>583639.32999999996</v>
      </c>
      <c r="G20" s="62" t="str">
        <f t="shared" si="0"/>
        <v>-</v>
      </c>
      <c r="H20" s="63">
        <f>SUM(H18:H19)</f>
        <v>2857846.1399999997</v>
      </c>
      <c r="I20" s="63">
        <f>SUM(I18:I19)</f>
        <v>0</v>
      </c>
      <c r="J20" s="61">
        <f t="shared" si="7"/>
        <v>2857846.1399999997</v>
      </c>
      <c r="K20" s="62" t="str">
        <f t="shared" si="1"/>
        <v>-</v>
      </c>
      <c r="L20" s="63">
        <f>SUM(L18:L19)</f>
        <v>0</v>
      </c>
      <c r="M20" s="61">
        <f t="shared" si="5"/>
        <v>2857846.1399999997</v>
      </c>
      <c r="N20" s="64" t="str">
        <f t="shared" si="2"/>
        <v>-</v>
      </c>
    </row>
    <row r="21" spans="1:14" outlineLevel="3" x14ac:dyDescent="0.2">
      <c r="A21" s="8"/>
      <c r="B21" s="51" t="s">
        <v>36</v>
      </c>
      <c r="C21" s="52" t="s">
        <v>37</v>
      </c>
      <c r="D21" s="53">
        <v>0</v>
      </c>
      <c r="E21" s="54">
        <v>0</v>
      </c>
      <c r="F21" s="47">
        <f>D21-E21</f>
        <v>0</v>
      </c>
      <c r="G21" s="48" t="str">
        <f t="shared" si="0"/>
        <v>-</v>
      </c>
      <c r="H21" s="49">
        <v>0</v>
      </c>
      <c r="I21" s="49">
        <v>0</v>
      </c>
      <c r="J21" s="47">
        <f>H21-I21</f>
        <v>0</v>
      </c>
      <c r="K21" s="48" t="str">
        <f t="shared" si="1"/>
        <v>-</v>
      </c>
      <c r="L21" s="49">
        <v>0</v>
      </c>
      <c r="M21" s="47">
        <f>H21-L21</f>
        <v>0</v>
      </c>
      <c r="N21" s="55" t="str">
        <f t="shared" si="2"/>
        <v>-</v>
      </c>
    </row>
    <row r="22" spans="1:14" outlineLevel="3" x14ac:dyDescent="0.2">
      <c r="A22" s="8"/>
      <c r="B22" s="51" t="s">
        <v>38</v>
      </c>
      <c r="C22" s="52" t="s">
        <v>39</v>
      </c>
      <c r="D22" s="53">
        <v>0</v>
      </c>
      <c r="E22" s="54">
        <v>0</v>
      </c>
      <c r="F22" s="47">
        <f t="shared" si="3"/>
        <v>0</v>
      </c>
      <c r="G22" s="48" t="str">
        <f t="shared" si="0"/>
        <v>-</v>
      </c>
      <c r="H22" s="49">
        <v>0</v>
      </c>
      <c r="I22" s="49">
        <v>0</v>
      </c>
      <c r="J22" s="47">
        <f t="shared" ref="J22:J27" si="8">H22-I22</f>
        <v>0</v>
      </c>
      <c r="K22" s="48" t="str">
        <f t="shared" si="1"/>
        <v>-</v>
      </c>
      <c r="L22" s="49">
        <v>0</v>
      </c>
      <c r="M22" s="47">
        <f t="shared" si="5"/>
        <v>0</v>
      </c>
      <c r="N22" s="55" t="str">
        <f t="shared" si="2"/>
        <v>-</v>
      </c>
    </row>
    <row r="23" spans="1:14" s="65" customFormat="1" outlineLevel="2" x14ac:dyDescent="0.2">
      <c r="A23" s="56"/>
      <c r="B23" s="57" t="s">
        <v>40</v>
      </c>
      <c r="C23" s="58" t="s">
        <v>41</v>
      </c>
      <c r="D23" s="59">
        <f>SUM(D21:D22)</f>
        <v>0</v>
      </c>
      <c r="E23" s="60">
        <f>SUM(E21:E22)</f>
        <v>0</v>
      </c>
      <c r="F23" s="61">
        <f t="shared" si="3"/>
        <v>0</v>
      </c>
      <c r="G23" s="62" t="str">
        <f t="shared" si="0"/>
        <v>-</v>
      </c>
      <c r="H23" s="63">
        <f>SUM(H21:H22)</f>
        <v>0</v>
      </c>
      <c r="I23" s="63">
        <f>SUM(I21:I22)</f>
        <v>0</v>
      </c>
      <c r="J23" s="61">
        <f t="shared" si="8"/>
        <v>0</v>
      </c>
      <c r="K23" s="62" t="str">
        <f t="shared" si="1"/>
        <v>-</v>
      </c>
      <c r="L23" s="63">
        <f>SUM(L21:L22)</f>
        <v>0</v>
      </c>
      <c r="M23" s="61">
        <f t="shared" si="5"/>
        <v>0</v>
      </c>
      <c r="N23" s="64" t="str">
        <f>IFERROR(M23/L23,"-")</f>
        <v>-</v>
      </c>
    </row>
    <row r="24" spans="1:14" s="65" customFormat="1" outlineLevel="1" x14ac:dyDescent="0.2">
      <c r="A24" s="56"/>
      <c r="B24" s="68" t="s">
        <v>42</v>
      </c>
      <c r="C24" s="69" t="s">
        <v>43</v>
      </c>
      <c r="D24" s="70">
        <f>D14+D17+D20+D23</f>
        <v>213643492.62</v>
      </c>
      <c r="E24" s="71">
        <f>E14+E17+E20+E23</f>
        <v>221608066.63814151</v>
      </c>
      <c r="F24" s="61">
        <f t="shared" si="3"/>
        <v>-7964574.0181415081</v>
      </c>
      <c r="G24" s="62">
        <f t="shared" si="0"/>
        <v>-3.5939910216114423E-2</v>
      </c>
      <c r="H24" s="72">
        <f t="shared" ref="H24" si="9">H14+H17+H20+H23</f>
        <v>1539396600.0800002</v>
      </c>
      <c r="I24" s="72">
        <f>I14+I17+I20+I23</f>
        <v>1320589196.330174</v>
      </c>
      <c r="J24" s="61">
        <f t="shared" si="8"/>
        <v>218807403.74982619</v>
      </c>
      <c r="K24" s="62">
        <f t="shared" si="1"/>
        <v>0.16568922747352222</v>
      </c>
      <c r="L24" s="72">
        <f>L14+L17+L20+L23</f>
        <v>2650237596.1590233</v>
      </c>
      <c r="M24" s="61">
        <f t="shared" si="5"/>
        <v>-1110840996.0790231</v>
      </c>
      <c r="N24" s="64">
        <f t="shared" si="2"/>
        <v>-0.4191477012057182</v>
      </c>
    </row>
    <row r="25" spans="1:14" s="65" customFormat="1" outlineLevel="2" x14ac:dyDescent="0.2">
      <c r="B25" s="57" t="s">
        <v>44</v>
      </c>
      <c r="C25" s="58" t="s">
        <v>45</v>
      </c>
      <c r="D25" s="59">
        <v>5000000</v>
      </c>
      <c r="E25" s="60">
        <v>5753441.4887820091</v>
      </c>
      <c r="F25" s="61">
        <f t="shared" si="3"/>
        <v>-753441.48878200911</v>
      </c>
      <c r="G25" s="62">
        <f t="shared" si="0"/>
        <v>-0.13095492328392666</v>
      </c>
      <c r="H25" s="63">
        <f>D25*6</f>
        <v>30000000</v>
      </c>
      <c r="I25" s="63">
        <v>33785316.582061373</v>
      </c>
      <c r="J25" s="61">
        <f t="shared" si="8"/>
        <v>-3785316.5820613727</v>
      </c>
      <c r="K25" s="62">
        <f t="shared" si="1"/>
        <v>-0.11204028746829098</v>
      </c>
      <c r="L25" s="63">
        <v>68305965.514753431</v>
      </c>
      <c r="M25" s="61">
        <f t="shared" si="5"/>
        <v>-38305965.514753431</v>
      </c>
      <c r="N25" s="64">
        <f t="shared" si="2"/>
        <v>-0.56079970799153278</v>
      </c>
    </row>
    <row r="26" spans="1:14" s="65" customFormat="1" outlineLevel="2" x14ac:dyDescent="0.2">
      <c r="B26" s="57" t="s">
        <v>46</v>
      </c>
      <c r="C26" s="58" t="s">
        <v>47</v>
      </c>
      <c r="D26" s="59">
        <v>0</v>
      </c>
      <c r="E26" s="60">
        <v>0</v>
      </c>
      <c r="F26" s="61">
        <f t="shared" si="3"/>
        <v>0</v>
      </c>
      <c r="G26" s="62" t="str">
        <f t="shared" si="0"/>
        <v>-</v>
      </c>
      <c r="H26" s="63">
        <v>0</v>
      </c>
      <c r="I26" s="63">
        <v>0</v>
      </c>
      <c r="J26" s="61">
        <f t="shared" si="8"/>
        <v>0</v>
      </c>
      <c r="K26" s="62" t="str">
        <f t="shared" si="1"/>
        <v>-</v>
      </c>
      <c r="L26" s="63">
        <v>0</v>
      </c>
      <c r="M26" s="61">
        <f t="shared" si="5"/>
        <v>0</v>
      </c>
      <c r="N26" s="64" t="str">
        <f t="shared" si="2"/>
        <v>-</v>
      </c>
    </row>
    <row r="27" spans="1:14" s="65" customFormat="1" outlineLevel="1" x14ac:dyDescent="0.2">
      <c r="A27" s="56"/>
      <c r="B27" s="68" t="s">
        <v>48</v>
      </c>
      <c r="C27" s="69" t="s">
        <v>49</v>
      </c>
      <c r="D27" s="70">
        <f>SUM(D25:D26)</f>
        <v>5000000</v>
      </c>
      <c r="E27" s="71">
        <f>SUM(E25:E26)</f>
        <v>5753441.4887820091</v>
      </c>
      <c r="F27" s="61">
        <f t="shared" si="3"/>
        <v>-753441.48878200911</v>
      </c>
      <c r="G27" s="62">
        <f t="shared" si="0"/>
        <v>-0.13095492328392666</v>
      </c>
      <c r="H27" s="72">
        <f t="shared" ref="H27:I27" si="10">SUM(H25:H26)</f>
        <v>30000000</v>
      </c>
      <c r="I27" s="72">
        <f t="shared" si="10"/>
        <v>33785316.582061373</v>
      </c>
      <c r="J27" s="61">
        <f t="shared" si="8"/>
        <v>-3785316.5820613727</v>
      </c>
      <c r="K27" s="62">
        <f t="shared" si="1"/>
        <v>-0.11204028746829098</v>
      </c>
      <c r="L27" s="72">
        <f>SUM(L25:L26)</f>
        <v>68305965.514753431</v>
      </c>
      <c r="M27" s="61">
        <f t="shared" si="5"/>
        <v>-38305965.514753431</v>
      </c>
      <c r="N27" s="64">
        <f t="shared" si="2"/>
        <v>-0.56079970799153278</v>
      </c>
    </row>
    <row r="28" spans="1:14" outlineLevel="3" x14ac:dyDescent="0.2">
      <c r="A28" s="8"/>
      <c r="B28" s="51" t="s">
        <v>50</v>
      </c>
      <c r="C28" s="52" t="s">
        <v>51</v>
      </c>
      <c r="D28" s="53">
        <v>120000</v>
      </c>
      <c r="E28" s="54">
        <v>0</v>
      </c>
      <c r="F28" s="47">
        <f>D28-E28</f>
        <v>120000</v>
      </c>
      <c r="G28" s="48" t="str">
        <f t="shared" si="0"/>
        <v>-</v>
      </c>
      <c r="H28" s="49">
        <v>498360</v>
      </c>
      <c r="I28" s="49">
        <v>0</v>
      </c>
      <c r="J28" s="47">
        <f>H28-I28</f>
        <v>498360</v>
      </c>
      <c r="K28" s="48" t="str">
        <f t="shared" si="1"/>
        <v>-</v>
      </c>
      <c r="L28" s="49">
        <v>0</v>
      </c>
      <c r="M28" s="47">
        <f>H28-L28</f>
        <v>498360</v>
      </c>
      <c r="N28" s="55" t="str">
        <f t="shared" si="2"/>
        <v>-</v>
      </c>
    </row>
    <row r="29" spans="1:14" outlineLevel="3" x14ac:dyDescent="0.2">
      <c r="A29" s="8"/>
      <c r="B29" s="51" t="s">
        <v>52</v>
      </c>
      <c r="C29" s="52" t="s">
        <v>53</v>
      </c>
      <c r="D29" s="53">
        <v>0</v>
      </c>
      <c r="E29" s="54">
        <v>0</v>
      </c>
      <c r="F29" s="47">
        <f t="shared" si="3"/>
        <v>0</v>
      </c>
      <c r="G29" s="48" t="str">
        <f t="shared" si="0"/>
        <v>-</v>
      </c>
      <c r="H29" s="49">
        <v>0</v>
      </c>
      <c r="I29" s="49">
        <v>0</v>
      </c>
      <c r="J29" s="47">
        <f t="shared" ref="J29:J30" si="11">H29-I29</f>
        <v>0</v>
      </c>
      <c r="K29" s="48" t="str">
        <f t="shared" si="1"/>
        <v>-</v>
      </c>
      <c r="L29" s="49">
        <v>0</v>
      </c>
      <c r="M29" s="47">
        <f t="shared" si="5"/>
        <v>0</v>
      </c>
      <c r="N29" s="55" t="str">
        <f t="shared" si="2"/>
        <v>-</v>
      </c>
    </row>
    <row r="30" spans="1:14" s="65" customFormat="1" outlineLevel="2" x14ac:dyDescent="0.2">
      <c r="A30" s="56"/>
      <c r="B30" s="57" t="s">
        <v>54</v>
      </c>
      <c r="C30" s="58" t="s">
        <v>55</v>
      </c>
      <c r="D30" s="59">
        <f>SUM(D28:D29)</f>
        <v>120000</v>
      </c>
      <c r="E30" s="60">
        <f>SUM(E28:E29)</f>
        <v>0</v>
      </c>
      <c r="F30" s="61">
        <f t="shared" si="3"/>
        <v>120000</v>
      </c>
      <c r="G30" s="62" t="str">
        <f t="shared" si="0"/>
        <v>-</v>
      </c>
      <c r="H30" s="63">
        <f>SUM(H28:H29)</f>
        <v>498360</v>
      </c>
      <c r="I30" s="63">
        <f>SUM(I28:I29)</f>
        <v>0</v>
      </c>
      <c r="J30" s="61">
        <f t="shared" si="11"/>
        <v>498360</v>
      </c>
      <c r="K30" s="62" t="str">
        <f t="shared" si="1"/>
        <v>-</v>
      </c>
      <c r="L30" s="63">
        <f>SUM(L28:L29)</f>
        <v>0</v>
      </c>
      <c r="M30" s="61">
        <f t="shared" si="5"/>
        <v>498360</v>
      </c>
      <c r="N30" s="64" t="str">
        <f t="shared" si="2"/>
        <v>-</v>
      </c>
    </row>
    <row r="31" spans="1:14" ht="12.75" customHeight="1" outlineLevel="3" x14ac:dyDescent="0.2">
      <c r="A31" s="8"/>
      <c r="B31" s="51" t="s">
        <v>56</v>
      </c>
      <c r="C31" s="52" t="s">
        <v>57</v>
      </c>
      <c r="D31" s="53">
        <v>19000000</v>
      </c>
      <c r="E31" s="54">
        <v>0</v>
      </c>
      <c r="F31" s="47">
        <f>D31-E31</f>
        <v>19000000</v>
      </c>
      <c r="G31" s="48" t="str">
        <f t="shared" si="0"/>
        <v>-</v>
      </c>
      <c r="H31" s="49">
        <v>19000000</v>
      </c>
      <c r="I31" s="49">
        <v>0</v>
      </c>
      <c r="J31" s="47">
        <f>H31-I31</f>
        <v>19000000</v>
      </c>
      <c r="K31" s="48" t="str">
        <f t="shared" si="1"/>
        <v>-</v>
      </c>
      <c r="L31" s="49">
        <v>0</v>
      </c>
      <c r="M31" s="47">
        <f>H31-L31</f>
        <v>19000000</v>
      </c>
      <c r="N31" s="55" t="str">
        <f t="shared" si="2"/>
        <v>-</v>
      </c>
    </row>
    <row r="32" spans="1:14" ht="12.75" customHeight="1" outlineLevel="3" x14ac:dyDescent="0.2">
      <c r="A32" s="8"/>
      <c r="B32" s="51" t="s">
        <v>58</v>
      </c>
      <c r="C32" s="52" t="s">
        <v>59</v>
      </c>
      <c r="D32" s="53">
        <v>3328677</v>
      </c>
      <c r="E32" s="54">
        <v>0</v>
      </c>
      <c r="F32" s="47">
        <f t="shared" si="3"/>
        <v>3328677</v>
      </c>
      <c r="G32" s="48" t="str">
        <f t="shared" si="0"/>
        <v>-</v>
      </c>
      <c r="H32" s="49">
        <v>3328677</v>
      </c>
      <c r="I32" s="49">
        <v>0</v>
      </c>
      <c r="J32" s="47">
        <f t="shared" ref="J32:J33" si="12">H32-I32</f>
        <v>3328677</v>
      </c>
      <c r="K32" s="48" t="str">
        <f t="shared" si="1"/>
        <v>-</v>
      </c>
      <c r="L32" s="49">
        <v>0</v>
      </c>
      <c r="M32" s="47">
        <f t="shared" si="5"/>
        <v>3328677</v>
      </c>
      <c r="N32" s="55" t="str">
        <f t="shared" si="2"/>
        <v>-</v>
      </c>
    </row>
    <row r="33" spans="1:21" s="65" customFormat="1" outlineLevel="2" x14ac:dyDescent="0.2">
      <c r="A33" s="56"/>
      <c r="B33" s="57" t="s">
        <v>60</v>
      </c>
      <c r="C33" s="58" t="s">
        <v>61</v>
      </c>
      <c r="D33" s="59">
        <f>SUM(D31:D32)</f>
        <v>22328677</v>
      </c>
      <c r="E33" s="60">
        <f>SUM(E31:E32)</f>
        <v>0</v>
      </c>
      <c r="F33" s="61">
        <f t="shared" si="3"/>
        <v>22328677</v>
      </c>
      <c r="G33" s="62" t="str">
        <f t="shared" si="0"/>
        <v>-</v>
      </c>
      <c r="H33" s="63">
        <f>SUM(H31:H32)</f>
        <v>22328677</v>
      </c>
      <c r="I33" s="63">
        <f>SUM(I31:I32)</f>
        <v>0</v>
      </c>
      <c r="J33" s="61">
        <f t="shared" si="12"/>
        <v>22328677</v>
      </c>
      <c r="K33" s="62" t="str">
        <f t="shared" si="1"/>
        <v>-</v>
      </c>
      <c r="L33" s="63">
        <f>SUM(L31:L32)</f>
        <v>0</v>
      </c>
      <c r="M33" s="61">
        <f t="shared" si="5"/>
        <v>22328677</v>
      </c>
      <c r="N33" s="64" t="str">
        <f t="shared" si="2"/>
        <v>-</v>
      </c>
    </row>
    <row r="34" spans="1:21" ht="12.75" customHeight="1" outlineLevel="3" x14ac:dyDescent="0.2">
      <c r="A34" s="8"/>
      <c r="B34" s="51" t="s">
        <v>62</v>
      </c>
      <c r="C34" s="52" t="s">
        <v>63</v>
      </c>
      <c r="D34" s="53">
        <v>0</v>
      </c>
      <c r="E34" s="54">
        <v>0</v>
      </c>
      <c r="F34" s="47">
        <f>D34-E34</f>
        <v>0</v>
      </c>
      <c r="G34" s="48" t="str">
        <f t="shared" si="0"/>
        <v>-</v>
      </c>
      <c r="H34" s="49">
        <v>4743000</v>
      </c>
      <c r="I34" s="49">
        <v>0</v>
      </c>
      <c r="J34" s="47">
        <f>H34-I34</f>
        <v>4743000</v>
      </c>
      <c r="K34" s="48" t="str">
        <f t="shared" si="1"/>
        <v>-</v>
      </c>
      <c r="L34" s="49">
        <v>0</v>
      </c>
      <c r="M34" s="47">
        <f>H34-L34</f>
        <v>4743000</v>
      </c>
      <c r="N34" s="55" t="str">
        <f t="shared" si="2"/>
        <v>-</v>
      </c>
    </row>
    <row r="35" spans="1:21" ht="12.75" customHeight="1" outlineLevel="3" x14ac:dyDescent="0.2">
      <c r="A35" s="8"/>
      <c r="B35" s="51" t="s">
        <v>64</v>
      </c>
      <c r="C35" s="52" t="s">
        <v>65</v>
      </c>
      <c r="D35" s="53">
        <v>0</v>
      </c>
      <c r="E35" s="54">
        <v>0</v>
      </c>
      <c r="F35" s="47">
        <f t="shared" si="3"/>
        <v>0</v>
      </c>
      <c r="G35" s="48" t="str">
        <f t="shared" si="0"/>
        <v>-</v>
      </c>
      <c r="H35" s="49">
        <v>32028.32</v>
      </c>
      <c r="I35" s="49">
        <v>0</v>
      </c>
      <c r="J35" s="47">
        <f t="shared" ref="J35:J36" si="13">H35-I35</f>
        <v>32028.32</v>
      </c>
      <c r="K35" s="48" t="str">
        <f t="shared" si="1"/>
        <v>-</v>
      </c>
      <c r="L35" s="49">
        <v>0</v>
      </c>
      <c r="M35" s="47">
        <f t="shared" si="5"/>
        <v>32028.32</v>
      </c>
      <c r="N35" s="55" t="str">
        <f t="shared" si="2"/>
        <v>-</v>
      </c>
    </row>
    <row r="36" spans="1:21" s="65" customFormat="1" outlineLevel="2" x14ac:dyDescent="0.2">
      <c r="A36" s="56"/>
      <c r="B36" s="57" t="s">
        <v>66</v>
      </c>
      <c r="C36" s="58" t="s">
        <v>67</v>
      </c>
      <c r="D36" s="59">
        <f>SUM(D34:D35)</f>
        <v>0</v>
      </c>
      <c r="E36" s="60">
        <f>SUM(E34:E35)</f>
        <v>0</v>
      </c>
      <c r="F36" s="61">
        <f t="shared" si="3"/>
        <v>0</v>
      </c>
      <c r="G36" s="62" t="str">
        <f t="shared" si="0"/>
        <v>-</v>
      </c>
      <c r="H36" s="63">
        <f>SUM(H34:H35)</f>
        <v>4775028.32</v>
      </c>
      <c r="I36" s="63">
        <f>SUM(I34:I35)</f>
        <v>0</v>
      </c>
      <c r="J36" s="61">
        <f t="shared" si="13"/>
        <v>4775028.32</v>
      </c>
      <c r="K36" s="62" t="str">
        <f t="shared" si="1"/>
        <v>-</v>
      </c>
      <c r="L36" s="63">
        <f>SUM(L34:L35)</f>
        <v>0</v>
      </c>
      <c r="M36" s="61">
        <f t="shared" si="5"/>
        <v>4775028.32</v>
      </c>
      <c r="N36" s="64" t="str">
        <f t="shared" si="2"/>
        <v>-</v>
      </c>
    </row>
    <row r="37" spans="1:21" ht="12.75" customHeight="1" outlineLevel="3" x14ac:dyDescent="0.2">
      <c r="B37" s="51" t="s">
        <v>68</v>
      </c>
      <c r="C37" s="52" t="s">
        <v>69</v>
      </c>
      <c r="D37" s="53">
        <v>0</v>
      </c>
      <c r="E37" s="54">
        <v>0</v>
      </c>
      <c r="F37" s="47">
        <f>D37-E37</f>
        <v>0</v>
      </c>
      <c r="G37" s="48" t="str">
        <f t="shared" si="0"/>
        <v>-</v>
      </c>
      <c r="H37" s="49">
        <v>0</v>
      </c>
      <c r="I37" s="49">
        <v>0</v>
      </c>
      <c r="J37" s="47">
        <f>H37-I37</f>
        <v>0</v>
      </c>
      <c r="K37" s="48" t="str">
        <f t="shared" si="1"/>
        <v>-</v>
      </c>
      <c r="L37" s="49">
        <v>0</v>
      </c>
      <c r="M37" s="47">
        <f>H37-L37</f>
        <v>0</v>
      </c>
      <c r="N37" s="55" t="str">
        <f t="shared" si="2"/>
        <v>-</v>
      </c>
    </row>
    <row r="38" spans="1:21" ht="12.75" customHeight="1" outlineLevel="3" x14ac:dyDescent="0.2">
      <c r="B38" s="51" t="s">
        <v>70</v>
      </c>
      <c r="C38" s="52" t="s">
        <v>71</v>
      </c>
      <c r="D38" s="53">
        <v>0</v>
      </c>
      <c r="E38" s="54">
        <v>0</v>
      </c>
      <c r="F38" s="47">
        <f t="shared" si="3"/>
        <v>0</v>
      </c>
      <c r="G38" s="48" t="str">
        <f t="shared" si="0"/>
        <v>-</v>
      </c>
      <c r="H38" s="49">
        <v>0</v>
      </c>
      <c r="I38" s="49">
        <v>0</v>
      </c>
      <c r="J38" s="47">
        <f t="shared" ref="J38:J40" si="14">H38-I38</f>
        <v>0</v>
      </c>
      <c r="K38" s="48" t="str">
        <f t="shared" si="1"/>
        <v>-</v>
      </c>
      <c r="L38" s="49">
        <v>0</v>
      </c>
      <c r="M38" s="47">
        <f t="shared" si="5"/>
        <v>0</v>
      </c>
      <c r="N38" s="55" t="str">
        <f t="shared" si="2"/>
        <v>-</v>
      </c>
    </row>
    <row r="39" spans="1:21" s="65" customFormat="1" outlineLevel="2" x14ac:dyDescent="0.2">
      <c r="B39" s="57" t="s">
        <v>72</v>
      </c>
      <c r="C39" s="58" t="s">
        <v>69</v>
      </c>
      <c r="D39" s="59">
        <f>SUM(D37:D38)</f>
        <v>0</v>
      </c>
      <c r="E39" s="60">
        <f>SUM(E37:E38)</f>
        <v>0</v>
      </c>
      <c r="F39" s="61">
        <f t="shared" si="3"/>
        <v>0</v>
      </c>
      <c r="G39" s="62" t="str">
        <f t="shared" si="0"/>
        <v>-</v>
      </c>
      <c r="H39" s="63">
        <f>SUM(H37:H38)</f>
        <v>0</v>
      </c>
      <c r="I39" s="63">
        <f>SUM(I37:I38)</f>
        <v>0</v>
      </c>
      <c r="J39" s="61">
        <f t="shared" si="14"/>
        <v>0</v>
      </c>
      <c r="K39" s="62" t="str">
        <f t="shared" si="1"/>
        <v>-</v>
      </c>
      <c r="L39" s="63">
        <f>SUM(L37:L38)</f>
        <v>0</v>
      </c>
      <c r="M39" s="61">
        <f t="shared" si="5"/>
        <v>0</v>
      </c>
      <c r="N39" s="64" t="str">
        <f t="shared" si="2"/>
        <v>-</v>
      </c>
    </row>
    <row r="40" spans="1:21" s="65" customFormat="1" outlineLevel="1" x14ac:dyDescent="0.2">
      <c r="A40" s="56"/>
      <c r="B40" s="73" t="s">
        <v>73</v>
      </c>
      <c r="C40" s="74" t="s">
        <v>74</v>
      </c>
      <c r="D40" s="70">
        <f>D30+D33+D36+D39</f>
        <v>22448677</v>
      </c>
      <c r="E40" s="71">
        <f>E30+E33+E36+E39</f>
        <v>0</v>
      </c>
      <c r="F40" s="61">
        <f t="shared" si="3"/>
        <v>22448677</v>
      </c>
      <c r="G40" s="62" t="str">
        <f t="shared" si="0"/>
        <v>-</v>
      </c>
      <c r="H40" s="72">
        <f>H30+H33+H36+H39</f>
        <v>27602065.32</v>
      </c>
      <c r="I40" s="72">
        <f>I30+I33+I36+I39</f>
        <v>0</v>
      </c>
      <c r="J40" s="61">
        <f t="shared" si="14"/>
        <v>27602065.32</v>
      </c>
      <c r="K40" s="62" t="str">
        <f t="shared" si="1"/>
        <v>-</v>
      </c>
      <c r="L40" s="72">
        <f>L30+L33+L36+L39</f>
        <v>0</v>
      </c>
      <c r="M40" s="61">
        <f t="shared" si="5"/>
        <v>27602065.32</v>
      </c>
      <c r="N40" s="64" t="str">
        <f t="shared" si="2"/>
        <v>-</v>
      </c>
    </row>
    <row r="41" spans="1:21" ht="12.75" customHeight="1" outlineLevel="3" x14ac:dyDescent="0.2">
      <c r="B41" s="51" t="s">
        <v>75</v>
      </c>
      <c r="C41" s="52" t="s">
        <v>76</v>
      </c>
      <c r="D41" s="59">
        <f>33645750/3</f>
        <v>11215250</v>
      </c>
      <c r="E41" s="54">
        <v>0</v>
      </c>
      <c r="F41" s="47">
        <f>D41-E41</f>
        <v>11215250</v>
      </c>
      <c r="G41" s="48" t="str">
        <f t="shared" si="0"/>
        <v>-</v>
      </c>
      <c r="H41" s="49">
        <f>D41*6</f>
        <v>67291500</v>
      </c>
      <c r="I41" s="49">
        <v>0</v>
      </c>
      <c r="J41" s="47">
        <f>H41-I41</f>
        <v>67291500</v>
      </c>
      <c r="K41" s="48" t="str">
        <f t="shared" si="1"/>
        <v>-</v>
      </c>
      <c r="L41" s="49">
        <v>0</v>
      </c>
      <c r="M41" s="47">
        <f>H41-L41</f>
        <v>67291500</v>
      </c>
      <c r="N41" s="55" t="str">
        <f t="shared" si="2"/>
        <v>-</v>
      </c>
    </row>
    <row r="42" spans="1:21" ht="12.75" customHeight="1" outlineLevel="3" x14ac:dyDescent="0.2">
      <c r="B42" s="51" t="s">
        <v>77</v>
      </c>
      <c r="C42" s="52" t="s">
        <v>78</v>
      </c>
      <c r="D42" s="59">
        <f>6224463.75/3</f>
        <v>2074821.25</v>
      </c>
      <c r="E42" s="54">
        <v>0</v>
      </c>
      <c r="F42" s="47">
        <f t="shared" si="3"/>
        <v>2074821.25</v>
      </c>
      <c r="G42" s="48" t="str">
        <f t="shared" si="0"/>
        <v>-</v>
      </c>
      <c r="H42" s="49">
        <f>D42*6</f>
        <v>12448927.5</v>
      </c>
      <c r="I42" s="49">
        <v>0</v>
      </c>
      <c r="J42" s="47">
        <f t="shared" ref="J42:J43" si="15">H42-I42</f>
        <v>12448927.5</v>
      </c>
      <c r="K42" s="48" t="str">
        <f t="shared" si="1"/>
        <v>-</v>
      </c>
      <c r="L42" s="49">
        <v>0</v>
      </c>
      <c r="M42" s="47">
        <f t="shared" si="5"/>
        <v>12448927.5</v>
      </c>
      <c r="N42" s="55" t="str">
        <f t="shared" si="2"/>
        <v>-</v>
      </c>
    </row>
    <row r="43" spans="1:21" s="65" customFormat="1" outlineLevel="2" x14ac:dyDescent="0.2">
      <c r="A43" s="56"/>
      <c r="B43" s="57" t="s">
        <v>79</v>
      </c>
      <c r="C43" s="75" t="s">
        <v>80</v>
      </c>
      <c r="D43" s="59">
        <f>SUM(D41:D42)</f>
        <v>13290071.25</v>
      </c>
      <c r="E43" s="60">
        <f>SUM(E41:E42)</f>
        <v>0</v>
      </c>
      <c r="F43" s="61">
        <f t="shared" si="3"/>
        <v>13290071.25</v>
      </c>
      <c r="G43" s="62" t="str">
        <f t="shared" si="0"/>
        <v>-</v>
      </c>
      <c r="H43" s="63">
        <f>SUM(H41:H42)</f>
        <v>79740427.5</v>
      </c>
      <c r="I43" s="63">
        <f>SUM(I41:I42)</f>
        <v>0</v>
      </c>
      <c r="J43" s="61">
        <f t="shared" si="15"/>
        <v>79740427.5</v>
      </c>
      <c r="K43" s="62" t="str">
        <f t="shared" si="1"/>
        <v>-</v>
      </c>
      <c r="L43" s="63">
        <f>SUM(L41:L42)</f>
        <v>0</v>
      </c>
      <c r="M43" s="61">
        <f t="shared" si="5"/>
        <v>79740427.5</v>
      </c>
      <c r="N43" s="64" t="str">
        <f t="shared" si="2"/>
        <v>-</v>
      </c>
    </row>
    <row r="44" spans="1:21" ht="12.75" customHeight="1" outlineLevel="3" x14ac:dyDescent="0.2">
      <c r="B44" s="51" t="s">
        <v>81</v>
      </c>
      <c r="C44" s="76" t="s">
        <v>82</v>
      </c>
      <c r="D44" s="53">
        <v>0</v>
      </c>
      <c r="E44" s="54">
        <v>0</v>
      </c>
      <c r="F44" s="47">
        <f>D44-E44</f>
        <v>0</v>
      </c>
      <c r="G44" s="48" t="str">
        <f t="shared" si="0"/>
        <v>-</v>
      </c>
      <c r="H44" s="49">
        <f>-D41*3</f>
        <v>-33645750</v>
      </c>
      <c r="I44" s="49">
        <v>0</v>
      </c>
      <c r="J44" s="47">
        <f>H44-I44</f>
        <v>-33645750</v>
      </c>
      <c r="K44" s="48" t="str">
        <f t="shared" si="1"/>
        <v>-</v>
      </c>
      <c r="L44" s="49">
        <v>0</v>
      </c>
      <c r="M44" s="47">
        <f>H44-L44</f>
        <v>-33645750</v>
      </c>
      <c r="N44" s="55" t="str">
        <f t="shared" si="2"/>
        <v>-</v>
      </c>
      <c r="P44" s="65"/>
      <c r="Q44" s="65"/>
      <c r="R44" s="65"/>
      <c r="S44" s="65"/>
      <c r="T44" s="65"/>
      <c r="U44" s="65"/>
    </row>
    <row r="45" spans="1:21" ht="12.75" customHeight="1" outlineLevel="3" x14ac:dyDescent="0.2">
      <c r="B45" s="51" t="s">
        <v>83</v>
      </c>
      <c r="C45" s="76" t="s">
        <v>84</v>
      </c>
      <c r="D45" s="53">
        <v>0</v>
      </c>
      <c r="E45" s="54">
        <v>0</v>
      </c>
      <c r="F45" s="47">
        <f t="shared" si="3"/>
        <v>0</v>
      </c>
      <c r="G45" s="48" t="str">
        <f t="shared" si="0"/>
        <v>-</v>
      </c>
      <c r="H45" s="49">
        <f>-D42*3</f>
        <v>-6224463.75</v>
      </c>
      <c r="I45" s="49">
        <v>0</v>
      </c>
      <c r="J45" s="47">
        <f t="shared" ref="J45:J46" si="16">H45-I45</f>
        <v>-6224463.75</v>
      </c>
      <c r="K45" s="48" t="str">
        <f t="shared" si="1"/>
        <v>-</v>
      </c>
      <c r="L45" s="49">
        <v>0</v>
      </c>
      <c r="M45" s="47">
        <f t="shared" si="5"/>
        <v>-6224463.75</v>
      </c>
      <c r="N45" s="55" t="str">
        <f t="shared" si="2"/>
        <v>-</v>
      </c>
      <c r="P45" s="65"/>
      <c r="Q45" s="65"/>
      <c r="R45" s="65"/>
      <c r="S45" s="65"/>
      <c r="T45" s="65"/>
      <c r="U45" s="65"/>
    </row>
    <row r="46" spans="1:21" s="65" customFormat="1" outlineLevel="2" x14ac:dyDescent="0.2">
      <c r="A46" s="56"/>
      <c r="B46" s="57" t="s">
        <v>85</v>
      </c>
      <c r="C46" s="75" t="s">
        <v>86</v>
      </c>
      <c r="D46" s="59">
        <f>SUM(D44:D45)</f>
        <v>0</v>
      </c>
      <c r="E46" s="60">
        <f>SUM(E44:E45)</f>
        <v>0</v>
      </c>
      <c r="F46" s="61">
        <f t="shared" si="3"/>
        <v>0</v>
      </c>
      <c r="G46" s="62" t="str">
        <f t="shared" si="0"/>
        <v>-</v>
      </c>
      <c r="H46" s="63">
        <f>SUM(H44:H45)</f>
        <v>-39870213.75</v>
      </c>
      <c r="I46" s="63">
        <f>SUM(I44:I45)</f>
        <v>0</v>
      </c>
      <c r="J46" s="61">
        <f t="shared" si="16"/>
        <v>-39870213.75</v>
      </c>
      <c r="K46" s="62" t="str">
        <f t="shared" si="1"/>
        <v>-</v>
      </c>
      <c r="L46" s="63">
        <f>SUM(L44:L45)</f>
        <v>0</v>
      </c>
      <c r="M46" s="61">
        <f t="shared" si="5"/>
        <v>-39870213.75</v>
      </c>
      <c r="N46" s="64" t="str">
        <f t="shared" si="2"/>
        <v>-</v>
      </c>
    </row>
    <row r="47" spans="1:21" ht="12.75" customHeight="1" outlineLevel="3" x14ac:dyDescent="0.2">
      <c r="B47" s="51" t="s">
        <v>87</v>
      </c>
      <c r="C47" s="76" t="s">
        <v>88</v>
      </c>
      <c r="D47" s="53">
        <v>0</v>
      </c>
      <c r="E47" s="54">
        <f>33645750/3</f>
        <v>11215250</v>
      </c>
      <c r="F47" s="47">
        <f>D47-E47</f>
        <v>-11215250</v>
      </c>
      <c r="G47" s="48">
        <f t="shared" si="0"/>
        <v>-1</v>
      </c>
      <c r="H47" s="49">
        <v>32425066</v>
      </c>
      <c r="I47" s="49">
        <v>66701000</v>
      </c>
      <c r="J47" s="47">
        <f>H47-I47</f>
        <v>-34275934</v>
      </c>
      <c r="K47" s="48">
        <f t="shared" si="1"/>
        <v>-0.5138743647021784</v>
      </c>
      <c r="L47" s="49">
        <v>133992500</v>
      </c>
      <c r="M47" s="47">
        <f>H47-L47</f>
        <v>-101567434</v>
      </c>
      <c r="N47" s="55">
        <f t="shared" si="2"/>
        <v>-0.75800835121368737</v>
      </c>
    </row>
    <row r="48" spans="1:21" ht="12.75" customHeight="1" outlineLevel="3" x14ac:dyDescent="0.2">
      <c r="B48" s="51" t="s">
        <v>89</v>
      </c>
      <c r="C48" s="76" t="s">
        <v>90</v>
      </c>
      <c r="D48" s="77">
        <v>0</v>
      </c>
      <c r="E48" s="78">
        <f>6224463.75/3</f>
        <v>2074821.25</v>
      </c>
      <c r="F48" s="47">
        <f t="shared" si="3"/>
        <v>-2074821.25</v>
      </c>
      <c r="G48" s="48">
        <f t="shared" si="0"/>
        <v>-1</v>
      </c>
      <c r="H48" s="79">
        <v>9492847</v>
      </c>
      <c r="I48" s="79">
        <v>12339685</v>
      </c>
      <c r="J48" s="47">
        <f t="shared" ref="J48:J51" si="17">H48-I48</f>
        <v>-2846838</v>
      </c>
      <c r="K48" s="48">
        <f t="shared" si="1"/>
        <v>-0.2307058891697803</v>
      </c>
      <c r="L48" s="79">
        <v>24788612.5</v>
      </c>
      <c r="M48" s="47">
        <f t="shared" si="5"/>
        <v>-15295765.5</v>
      </c>
      <c r="N48" s="55">
        <f t="shared" si="2"/>
        <v>-0.61704806995550876</v>
      </c>
    </row>
    <row r="49" spans="1:14" s="65" customFormat="1" outlineLevel="2" x14ac:dyDescent="0.2">
      <c r="A49" s="56"/>
      <c r="B49" s="57" t="s">
        <v>91</v>
      </c>
      <c r="C49" s="75" t="s">
        <v>92</v>
      </c>
      <c r="D49" s="59">
        <f>SUM(D47:D48)</f>
        <v>0</v>
      </c>
      <c r="E49" s="60">
        <f>SUM(E47:E48)</f>
        <v>13290071.25</v>
      </c>
      <c r="F49" s="61">
        <f t="shared" si="3"/>
        <v>-13290071.25</v>
      </c>
      <c r="G49" s="62">
        <f t="shared" si="0"/>
        <v>-1</v>
      </c>
      <c r="H49" s="63">
        <f>SUM(H47:H48)</f>
        <v>41917913</v>
      </c>
      <c r="I49" s="63">
        <f>SUM(I47:I48)</f>
        <v>79040685</v>
      </c>
      <c r="J49" s="61">
        <f t="shared" si="17"/>
        <v>-37122772</v>
      </c>
      <c r="K49" s="62">
        <f t="shared" si="1"/>
        <v>-0.46966662801568582</v>
      </c>
      <c r="L49" s="63">
        <f>SUM(L47:L48)</f>
        <v>158781112.5</v>
      </c>
      <c r="M49" s="61">
        <f t="shared" si="5"/>
        <v>-116863199.5</v>
      </c>
      <c r="N49" s="64">
        <f t="shared" si="2"/>
        <v>-0.73600189380207293</v>
      </c>
    </row>
    <row r="50" spans="1:14" s="65" customFormat="1" ht="14.45" customHeight="1" outlineLevel="1" x14ac:dyDescent="0.2">
      <c r="A50" s="56"/>
      <c r="B50" s="68" t="s">
        <v>93</v>
      </c>
      <c r="C50" s="80" t="s">
        <v>94</v>
      </c>
      <c r="D50" s="70">
        <f>D49+D46+D43</f>
        <v>13290071.25</v>
      </c>
      <c r="E50" s="71">
        <f>E49+E46+E43</f>
        <v>13290071.25</v>
      </c>
      <c r="F50" s="61">
        <f t="shared" si="3"/>
        <v>0</v>
      </c>
      <c r="G50" s="62">
        <f t="shared" si="0"/>
        <v>0</v>
      </c>
      <c r="H50" s="72">
        <f t="shared" ref="H50" si="18">H49+H46+H43</f>
        <v>81788126.75</v>
      </c>
      <c r="I50" s="72">
        <f>I49+I46+I43</f>
        <v>79040685</v>
      </c>
      <c r="J50" s="61">
        <f t="shared" si="17"/>
        <v>2747441.75</v>
      </c>
      <c r="K50" s="62">
        <f t="shared" si="1"/>
        <v>3.4759842352074743E-2</v>
      </c>
      <c r="L50" s="72">
        <f>L49+L46+L43</f>
        <v>158781112.5</v>
      </c>
      <c r="M50" s="61">
        <f t="shared" si="5"/>
        <v>-76992985.75</v>
      </c>
      <c r="N50" s="64">
        <f t="shared" si="2"/>
        <v>-0.48490015303300005</v>
      </c>
    </row>
    <row r="51" spans="1:14" s="65" customFormat="1" ht="15.75" customHeight="1" x14ac:dyDescent="0.2">
      <c r="B51" s="81" t="s">
        <v>95</v>
      </c>
      <c r="C51" s="82" t="s">
        <v>96</v>
      </c>
      <c r="D51" s="83">
        <f>D50+D40+D27+D24</f>
        <v>254382240.87</v>
      </c>
      <c r="E51" s="84">
        <f>E50+E40+E27+E24</f>
        <v>240651579.37692353</v>
      </c>
      <c r="F51" s="85">
        <f t="shared" si="3"/>
        <v>13730661.493076473</v>
      </c>
      <c r="G51" s="86">
        <f t="shared" si="0"/>
        <v>5.7056186909833828E-2</v>
      </c>
      <c r="H51" s="87">
        <f>H50+H40+H27+H24</f>
        <v>1678786792.1500001</v>
      </c>
      <c r="I51" s="87">
        <f>I50+I40+I27+I24</f>
        <v>1433415197.9122353</v>
      </c>
      <c r="J51" s="85">
        <f t="shared" si="17"/>
        <v>245371594.23776484</v>
      </c>
      <c r="K51" s="86">
        <f t="shared" si="1"/>
        <v>0.17117970745332389</v>
      </c>
      <c r="L51" s="87">
        <f>L50+L40+L27+L24</f>
        <v>2877324674.1737766</v>
      </c>
      <c r="M51" s="85">
        <f t="shared" si="5"/>
        <v>-1198537882.0237765</v>
      </c>
      <c r="N51" s="88">
        <f t="shared" si="2"/>
        <v>-0.41654592989855638</v>
      </c>
    </row>
    <row r="52" spans="1:14" ht="12.75" customHeight="1" outlineLevel="3" x14ac:dyDescent="0.2">
      <c r="B52" s="51" t="s">
        <v>97</v>
      </c>
      <c r="C52" s="76" t="s">
        <v>98</v>
      </c>
      <c r="D52" s="77">
        <v>0</v>
      </c>
      <c r="E52" s="54">
        <v>0</v>
      </c>
      <c r="F52" s="47">
        <f>D52-E52</f>
        <v>0</v>
      </c>
      <c r="G52" s="48" t="str">
        <f t="shared" si="0"/>
        <v>-</v>
      </c>
      <c r="H52" s="79">
        <v>0</v>
      </c>
      <c r="I52" s="79">
        <v>0</v>
      </c>
      <c r="J52" s="47">
        <f>H52-I52</f>
        <v>0</v>
      </c>
      <c r="K52" s="48" t="str">
        <f t="shared" si="1"/>
        <v>-</v>
      </c>
      <c r="L52" s="79">
        <v>0</v>
      </c>
      <c r="M52" s="47">
        <f>H52-L52</f>
        <v>0</v>
      </c>
      <c r="N52" s="55" t="str">
        <f t="shared" si="2"/>
        <v>-</v>
      </c>
    </row>
    <row r="53" spans="1:14" ht="12.75" customHeight="1" outlineLevel="3" x14ac:dyDescent="0.2">
      <c r="B53" s="51" t="s">
        <v>99</v>
      </c>
      <c r="C53" s="76" t="s">
        <v>100</v>
      </c>
      <c r="D53" s="77">
        <v>0</v>
      </c>
      <c r="E53" s="54">
        <v>0</v>
      </c>
      <c r="F53" s="47">
        <f t="shared" si="3"/>
        <v>0</v>
      </c>
      <c r="G53" s="48" t="str">
        <f t="shared" si="0"/>
        <v>-</v>
      </c>
      <c r="H53" s="79">
        <v>0</v>
      </c>
      <c r="I53" s="79">
        <v>0</v>
      </c>
      <c r="J53" s="47">
        <f t="shared" ref="J53:J55" si="19">H53-I53</f>
        <v>0</v>
      </c>
      <c r="K53" s="48" t="str">
        <f t="shared" si="1"/>
        <v>-</v>
      </c>
      <c r="L53" s="79">
        <v>0</v>
      </c>
      <c r="M53" s="47">
        <f t="shared" si="5"/>
        <v>0</v>
      </c>
      <c r="N53" s="55" t="str">
        <f t="shared" si="2"/>
        <v>-</v>
      </c>
    </row>
    <row r="54" spans="1:14" s="65" customFormat="1" ht="14.45" customHeight="1" outlineLevel="1" x14ac:dyDescent="0.2">
      <c r="A54" s="56"/>
      <c r="B54" s="68" t="s">
        <v>101</v>
      </c>
      <c r="C54" s="80" t="s">
        <v>102</v>
      </c>
      <c r="D54" s="70">
        <f>SUM(D52:D53)</f>
        <v>0</v>
      </c>
      <c r="E54" s="71">
        <f>SUM(E52:E53)</f>
        <v>0</v>
      </c>
      <c r="F54" s="61">
        <f t="shared" si="3"/>
        <v>0</v>
      </c>
      <c r="G54" s="62" t="str">
        <f t="shared" si="0"/>
        <v>-</v>
      </c>
      <c r="H54" s="72">
        <f>SUM(H52:H53)</f>
        <v>0</v>
      </c>
      <c r="I54" s="72">
        <f>SUM(I52:I53)</f>
        <v>0</v>
      </c>
      <c r="J54" s="61">
        <f t="shared" si="19"/>
        <v>0</v>
      </c>
      <c r="K54" s="62" t="str">
        <f t="shared" si="1"/>
        <v>-</v>
      </c>
      <c r="L54" s="72">
        <f>SUM(L52:L53)</f>
        <v>0</v>
      </c>
      <c r="M54" s="61">
        <f t="shared" si="5"/>
        <v>0</v>
      </c>
      <c r="N54" s="64" t="str">
        <f t="shared" si="2"/>
        <v>-</v>
      </c>
    </row>
    <row r="55" spans="1:14" s="65" customFormat="1" ht="15.75" customHeight="1" x14ac:dyDescent="0.2">
      <c r="B55" s="81" t="s">
        <v>97</v>
      </c>
      <c r="C55" s="82" t="s">
        <v>98</v>
      </c>
      <c r="D55" s="83">
        <f>D54</f>
        <v>0</v>
      </c>
      <c r="E55" s="84">
        <f>E54</f>
        <v>0</v>
      </c>
      <c r="F55" s="85">
        <f t="shared" si="3"/>
        <v>0</v>
      </c>
      <c r="G55" s="86" t="str">
        <f t="shared" si="0"/>
        <v>-</v>
      </c>
      <c r="H55" s="87">
        <f>H54</f>
        <v>0</v>
      </c>
      <c r="I55" s="87">
        <f>I54</f>
        <v>0</v>
      </c>
      <c r="J55" s="85">
        <f t="shared" si="19"/>
        <v>0</v>
      </c>
      <c r="K55" s="86" t="str">
        <f t="shared" si="1"/>
        <v>-</v>
      </c>
      <c r="L55" s="87">
        <f>L54</f>
        <v>0</v>
      </c>
      <c r="M55" s="85">
        <f t="shared" si="5"/>
        <v>0</v>
      </c>
      <c r="N55" s="88" t="str">
        <f t="shared" si="2"/>
        <v>-</v>
      </c>
    </row>
    <row r="56" spans="1:14" ht="12.75" customHeight="1" outlineLevel="3" x14ac:dyDescent="0.2">
      <c r="B56" s="51" t="s">
        <v>103</v>
      </c>
      <c r="C56" s="76" t="s">
        <v>104</v>
      </c>
      <c r="D56" s="53">
        <f>3528170167.46521*1/12</f>
        <v>294014180.62210083</v>
      </c>
      <c r="E56" s="54">
        <v>0</v>
      </c>
      <c r="F56" s="47">
        <f>D56-E56</f>
        <v>294014180.62210083</v>
      </c>
      <c r="G56" s="48" t="str">
        <f t="shared" si="0"/>
        <v>-</v>
      </c>
      <c r="H56" s="54">
        <f>3528170167.46521/2</f>
        <v>1764085083.732605</v>
      </c>
      <c r="I56" s="49">
        <v>0</v>
      </c>
      <c r="J56" s="47">
        <f>H56-I56</f>
        <v>1764085083.732605</v>
      </c>
      <c r="K56" s="48" t="str">
        <f t="shared" si="1"/>
        <v>-</v>
      </c>
      <c r="L56" s="49">
        <v>0</v>
      </c>
      <c r="M56" s="47">
        <f>H56-L56</f>
        <v>1764085083.732605</v>
      </c>
      <c r="N56" s="55" t="str">
        <f t="shared" si="2"/>
        <v>-</v>
      </c>
    </row>
    <row r="57" spans="1:14" ht="12.75" customHeight="1" outlineLevel="3" x14ac:dyDescent="0.2">
      <c r="B57" s="51" t="s">
        <v>105</v>
      </c>
      <c r="C57" s="76" t="s">
        <v>106</v>
      </c>
      <c r="D57" s="53">
        <f>652711480.981065*1/12</f>
        <v>54392623.41508875</v>
      </c>
      <c r="E57" s="54">
        <v>0</v>
      </c>
      <c r="F57" s="47">
        <f t="shared" si="3"/>
        <v>54392623.41508875</v>
      </c>
      <c r="G57" s="48" t="str">
        <f t="shared" si="0"/>
        <v>-</v>
      </c>
      <c r="H57" s="78">
        <f>652711480.981063/2</f>
        <v>326355740.4905315</v>
      </c>
      <c r="I57" s="49">
        <v>0</v>
      </c>
      <c r="J57" s="47">
        <f t="shared" ref="J57:J58" si="20">H57-I57</f>
        <v>326355740.4905315</v>
      </c>
      <c r="K57" s="48" t="str">
        <f t="shared" si="1"/>
        <v>-</v>
      </c>
      <c r="L57" s="49">
        <v>0</v>
      </c>
      <c r="M57" s="47">
        <f t="shared" si="5"/>
        <v>326355740.4905315</v>
      </c>
      <c r="N57" s="55" t="str">
        <f t="shared" si="2"/>
        <v>-</v>
      </c>
    </row>
    <row r="58" spans="1:14" s="65" customFormat="1" outlineLevel="2" x14ac:dyDescent="0.2">
      <c r="A58" s="56"/>
      <c r="B58" s="57" t="s">
        <v>107</v>
      </c>
      <c r="C58" s="75" t="s">
        <v>108</v>
      </c>
      <c r="D58" s="59">
        <f>SUM(D56:D57)</f>
        <v>348406804.0371896</v>
      </c>
      <c r="E58" s="60">
        <f>SUM(E56:E57)</f>
        <v>0</v>
      </c>
      <c r="F58" s="61">
        <f t="shared" si="3"/>
        <v>348406804.0371896</v>
      </c>
      <c r="G58" s="62" t="str">
        <f t="shared" si="0"/>
        <v>-</v>
      </c>
      <c r="H58" s="63">
        <f>SUM(H56:H57)</f>
        <v>2090440824.2231364</v>
      </c>
      <c r="I58" s="63">
        <f>SUM(I56:I57)</f>
        <v>0</v>
      </c>
      <c r="J58" s="61">
        <f t="shared" si="20"/>
        <v>2090440824.2231364</v>
      </c>
      <c r="K58" s="62" t="str">
        <f t="shared" si="1"/>
        <v>-</v>
      </c>
      <c r="L58" s="63">
        <f>SUM(L56:L57)</f>
        <v>0</v>
      </c>
      <c r="M58" s="61">
        <f t="shared" si="5"/>
        <v>2090440824.2231364</v>
      </c>
      <c r="N58" s="64" t="str">
        <f t="shared" si="2"/>
        <v>-</v>
      </c>
    </row>
    <row r="59" spans="1:14" ht="12.75" customHeight="1" outlineLevel="3" x14ac:dyDescent="0.2">
      <c r="B59" s="51" t="s">
        <v>109</v>
      </c>
      <c r="C59" s="76" t="s">
        <v>110</v>
      </c>
      <c r="D59" s="53">
        <v>0</v>
      </c>
      <c r="E59" s="54">
        <v>0</v>
      </c>
      <c r="F59" s="47">
        <f>D59-E59</f>
        <v>0</v>
      </c>
      <c r="G59" s="48" t="str">
        <f t="shared" si="0"/>
        <v>-</v>
      </c>
      <c r="H59" s="49">
        <v>0</v>
      </c>
      <c r="I59" s="49">
        <v>0</v>
      </c>
      <c r="J59" s="47">
        <f>H59-I59</f>
        <v>0</v>
      </c>
      <c r="K59" s="48" t="str">
        <f t="shared" si="1"/>
        <v>-</v>
      </c>
      <c r="L59" s="49">
        <v>0</v>
      </c>
      <c r="M59" s="47">
        <f>H59-L59</f>
        <v>0</v>
      </c>
      <c r="N59" s="55" t="str">
        <f t="shared" si="2"/>
        <v>-</v>
      </c>
    </row>
    <row r="60" spans="1:14" ht="12.75" customHeight="1" outlineLevel="3" x14ac:dyDescent="0.2">
      <c r="B60" s="51" t="s">
        <v>111</v>
      </c>
      <c r="C60" s="76" t="s">
        <v>112</v>
      </c>
      <c r="D60" s="53">
        <v>0</v>
      </c>
      <c r="E60" s="54">
        <v>0</v>
      </c>
      <c r="F60" s="47">
        <f t="shared" si="3"/>
        <v>0</v>
      </c>
      <c r="G60" s="48" t="str">
        <f t="shared" si="0"/>
        <v>-</v>
      </c>
      <c r="H60" s="49">
        <v>0</v>
      </c>
      <c r="I60" s="49">
        <v>0</v>
      </c>
      <c r="J60" s="47">
        <f t="shared" ref="J60:J65" si="21">H60-I60</f>
        <v>0</v>
      </c>
      <c r="K60" s="48" t="str">
        <f t="shared" si="1"/>
        <v>-</v>
      </c>
      <c r="L60" s="49">
        <v>0</v>
      </c>
      <c r="M60" s="47">
        <f t="shared" si="5"/>
        <v>0</v>
      </c>
      <c r="N60" s="55" t="str">
        <f t="shared" si="2"/>
        <v>-</v>
      </c>
    </row>
    <row r="61" spans="1:14" s="65" customFormat="1" outlineLevel="2" x14ac:dyDescent="0.2">
      <c r="A61" s="56"/>
      <c r="B61" s="57" t="s">
        <v>113</v>
      </c>
      <c r="C61" s="75" t="s">
        <v>114</v>
      </c>
      <c r="D61" s="59">
        <f>SUM(D59:D60)</f>
        <v>0</v>
      </c>
      <c r="E61" s="60">
        <f>SUM(E59:E60)</f>
        <v>0</v>
      </c>
      <c r="F61" s="61">
        <f t="shared" si="3"/>
        <v>0</v>
      </c>
      <c r="G61" s="62" t="str">
        <f t="shared" si="0"/>
        <v>-</v>
      </c>
      <c r="H61" s="63">
        <f>SUM(H59:H60)</f>
        <v>0</v>
      </c>
      <c r="I61" s="63">
        <f>SUM(I59:I60)</f>
        <v>0</v>
      </c>
      <c r="J61" s="61">
        <f t="shared" si="21"/>
        <v>0</v>
      </c>
      <c r="K61" s="62" t="str">
        <f t="shared" si="1"/>
        <v>-</v>
      </c>
      <c r="L61" s="63">
        <f>SUM(L59:L60)</f>
        <v>0</v>
      </c>
      <c r="M61" s="61">
        <f t="shared" si="5"/>
        <v>0</v>
      </c>
      <c r="N61" s="64" t="str">
        <f t="shared" si="2"/>
        <v>-</v>
      </c>
    </row>
    <row r="62" spans="1:14" ht="12.75" customHeight="1" outlineLevel="3" x14ac:dyDescent="0.2">
      <c r="B62" s="51" t="s">
        <v>115</v>
      </c>
      <c r="C62" s="76" t="s">
        <v>116</v>
      </c>
      <c r="D62" s="53">
        <f>H62/3</f>
        <v>0</v>
      </c>
      <c r="E62" s="54">
        <f>3528170167.46521/12</f>
        <v>294014180.62210083</v>
      </c>
      <c r="F62" s="47">
        <f t="shared" si="3"/>
        <v>-294014180.62210083</v>
      </c>
      <c r="G62" s="48">
        <f t="shared" si="0"/>
        <v>-1</v>
      </c>
      <c r="H62" s="49">
        <v>0</v>
      </c>
      <c r="I62" s="54">
        <f>3528170167.46521/2</f>
        <v>1764085083.732605</v>
      </c>
      <c r="J62" s="47">
        <f t="shared" si="21"/>
        <v>-1764085083.732605</v>
      </c>
      <c r="K62" s="48">
        <f t="shared" si="1"/>
        <v>-1</v>
      </c>
      <c r="L62" s="49">
        <v>3528170167.4652085</v>
      </c>
      <c r="M62" s="47">
        <f>H62-L62</f>
        <v>-3528170167.4652085</v>
      </c>
      <c r="N62" s="55">
        <f t="shared" si="2"/>
        <v>-1</v>
      </c>
    </row>
    <row r="63" spans="1:14" ht="12.75" customHeight="1" outlineLevel="3" x14ac:dyDescent="0.2">
      <c r="B63" s="51" t="s">
        <v>117</v>
      </c>
      <c r="C63" s="76" t="s">
        <v>118</v>
      </c>
      <c r="D63" s="77">
        <f>H63/3</f>
        <v>0</v>
      </c>
      <c r="E63" s="78">
        <f>652711480.981063/12</f>
        <v>54392623.415088587</v>
      </c>
      <c r="F63" s="47">
        <f t="shared" si="3"/>
        <v>-54392623.415088587</v>
      </c>
      <c r="G63" s="48">
        <f t="shared" si="0"/>
        <v>-1</v>
      </c>
      <c r="H63" s="79">
        <v>0</v>
      </c>
      <c r="I63" s="78">
        <f>652711480.981063/2</f>
        <v>326355740.4905315</v>
      </c>
      <c r="J63" s="47">
        <f t="shared" si="21"/>
        <v>-326355740.4905315</v>
      </c>
      <c r="K63" s="48">
        <f t="shared" si="1"/>
        <v>-1</v>
      </c>
      <c r="L63" s="79">
        <v>652711480.98106337</v>
      </c>
      <c r="M63" s="47">
        <f t="shared" si="5"/>
        <v>-652711480.98106337</v>
      </c>
      <c r="N63" s="55">
        <f t="shared" si="2"/>
        <v>-1</v>
      </c>
    </row>
    <row r="64" spans="1:14" s="65" customFormat="1" outlineLevel="2" x14ac:dyDescent="0.2">
      <c r="A64" s="56"/>
      <c r="B64" s="57" t="s">
        <v>119</v>
      </c>
      <c r="C64" s="89" t="s">
        <v>120</v>
      </c>
      <c r="D64" s="59">
        <f>SUM(D62:D63)</f>
        <v>0</v>
      </c>
      <c r="E64" s="60">
        <f>SUM(E62:E63)</f>
        <v>348406804.03718942</v>
      </c>
      <c r="F64" s="61">
        <f t="shared" si="3"/>
        <v>-348406804.03718942</v>
      </c>
      <c r="G64" s="62">
        <f t="shared" si="0"/>
        <v>-1</v>
      </c>
      <c r="H64" s="63">
        <f>SUM(H62:H63)</f>
        <v>0</v>
      </c>
      <c r="I64" s="63">
        <f>SUM(I62:I63)</f>
        <v>2090440824.2231364</v>
      </c>
      <c r="J64" s="61">
        <f t="shared" si="21"/>
        <v>-2090440824.2231364</v>
      </c>
      <c r="K64" s="62">
        <f t="shared" si="1"/>
        <v>-1</v>
      </c>
      <c r="L64" s="63">
        <f>SUM(L62:L63)</f>
        <v>4180881648.4462719</v>
      </c>
      <c r="M64" s="61">
        <f t="shared" si="5"/>
        <v>-4180881648.4462719</v>
      </c>
      <c r="N64" s="64">
        <f t="shared" si="2"/>
        <v>-1</v>
      </c>
    </row>
    <row r="65" spans="1:15" ht="15.75" customHeight="1" x14ac:dyDescent="0.2">
      <c r="B65" s="81" t="s">
        <v>115</v>
      </c>
      <c r="C65" s="82" t="s">
        <v>121</v>
      </c>
      <c r="D65" s="83">
        <f>D64+D61+D58</f>
        <v>348406804.0371896</v>
      </c>
      <c r="E65" s="84">
        <f>E64+E61+E58</f>
        <v>348406804.03718942</v>
      </c>
      <c r="F65" s="85">
        <f t="shared" si="3"/>
        <v>0</v>
      </c>
      <c r="G65" s="86">
        <f t="shared" si="0"/>
        <v>4.4408920985006262E-16</v>
      </c>
      <c r="H65" s="87">
        <f t="shared" ref="H65" si="22">H64+H61+H58</f>
        <v>2090440824.2231364</v>
      </c>
      <c r="I65" s="87">
        <f>I64+I61+I58</f>
        <v>2090440824.2231364</v>
      </c>
      <c r="J65" s="85">
        <f t="shared" si="21"/>
        <v>0</v>
      </c>
      <c r="K65" s="86">
        <f t="shared" si="1"/>
        <v>0</v>
      </c>
      <c r="L65" s="87">
        <f>L64+L61+L58</f>
        <v>4180881648.4462719</v>
      </c>
      <c r="M65" s="85">
        <f t="shared" si="5"/>
        <v>-2090440824.2231355</v>
      </c>
      <c r="N65" s="88">
        <f t="shared" si="2"/>
        <v>-0.49999999999999989</v>
      </c>
    </row>
    <row r="66" spans="1:15" s="65" customFormat="1" ht="18.75" customHeight="1" x14ac:dyDescent="0.2">
      <c r="B66" s="90" t="s">
        <v>122</v>
      </c>
      <c r="C66" s="91" t="s">
        <v>123</v>
      </c>
      <c r="D66" s="92">
        <f>D51+D65+D55</f>
        <v>602789044.90718961</v>
      </c>
      <c r="E66" s="93">
        <f>E51+E65+E55</f>
        <v>589058383.41411293</v>
      </c>
      <c r="F66" s="94">
        <f t="shared" si="3"/>
        <v>13730661.493076682</v>
      </c>
      <c r="G66" s="95">
        <f t="shared" si="0"/>
        <v>2.330950866617898E-2</v>
      </c>
      <c r="H66" s="96">
        <f t="shared" ref="H66" si="23">H51+H65+H55</f>
        <v>3769227616.3731365</v>
      </c>
      <c r="I66" s="96">
        <f>I51+I65+I55</f>
        <v>3523856022.1353717</v>
      </c>
      <c r="J66" s="94">
        <f>H66-I66</f>
        <v>245371594.23776484</v>
      </c>
      <c r="K66" s="95">
        <f t="shared" si="1"/>
        <v>6.9631560624623834E-2</v>
      </c>
      <c r="L66" s="96">
        <f>L51+L65+L55</f>
        <v>7058206322.6200485</v>
      </c>
      <c r="M66" s="94">
        <f t="shared" si="5"/>
        <v>-3288978706.246912</v>
      </c>
      <c r="N66" s="97">
        <f t="shared" si="2"/>
        <v>-0.46597939418495538</v>
      </c>
      <c r="O66" s="98"/>
    </row>
    <row r="67" spans="1:15" ht="16.5" customHeight="1" outlineLevel="1" x14ac:dyDescent="0.2">
      <c r="A67" s="8"/>
      <c r="B67" s="99" t="s">
        <v>124</v>
      </c>
      <c r="C67" s="100" t="s">
        <v>125</v>
      </c>
      <c r="D67" s="101">
        <f>(D13+D16+D19+D22+D29+D32+D35+D38)/(D12+D15+D18+D21+D28+D31+D34+D37)</f>
        <v>0.18587833690067815</v>
      </c>
      <c r="E67" s="102">
        <f>(E13+E16+E19+E22+E29+E32+E35+E38)/(E12+E15+E18+E21+E28+E31+E34+E37)</f>
        <v>0.18499999999999994</v>
      </c>
      <c r="F67" s="47">
        <v>0</v>
      </c>
      <c r="G67" s="103" t="s">
        <v>126</v>
      </c>
      <c r="H67" s="104">
        <f t="shared" ref="H67:I67" si="24">(H13+H16+H19+H22+H29+H32+H35+H38)/(H12+H15+H18+H21+H28+H31+H34+H37)</f>
        <v>0.21075442875851549</v>
      </c>
      <c r="I67" s="104">
        <f t="shared" si="24"/>
        <v>0.18499999999999994</v>
      </c>
      <c r="J67" s="47">
        <v>0</v>
      </c>
      <c r="K67" s="103" t="s">
        <v>126</v>
      </c>
      <c r="L67" s="104">
        <f>(L13+L16+L19+L22+L29+L32+L35+L38)/(L12+L15+L18+L21+L28+L31+L34+L37)</f>
        <v>0.18499999999999994</v>
      </c>
      <c r="M67" s="105" t="s">
        <v>126</v>
      </c>
      <c r="N67" s="106" t="s">
        <v>126</v>
      </c>
    </row>
    <row r="68" spans="1:15" s="107" customFormat="1" ht="16.5" customHeight="1" outlineLevel="1" x14ac:dyDescent="0.2">
      <c r="B68" s="108" t="s">
        <v>127</v>
      </c>
      <c r="C68" s="109" t="s">
        <v>128</v>
      </c>
      <c r="D68" s="110">
        <v>311</v>
      </c>
      <c r="E68" s="111">
        <v>331</v>
      </c>
      <c r="F68" s="47">
        <f t="shared" si="3"/>
        <v>-20</v>
      </c>
      <c r="G68" s="112">
        <f>IFERROR(D68/E68-1,"-")</f>
        <v>-6.0422960725075581E-2</v>
      </c>
      <c r="H68" s="113">
        <v>311</v>
      </c>
      <c r="I68" s="113">
        <v>331</v>
      </c>
      <c r="J68" s="47">
        <f t="shared" ref="J68:J72" si="25">H68-I68</f>
        <v>-20</v>
      </c>
      <c r="K68" s="112">
        <f>IFERROR(H68/I68-1,"-")</f>
        <v>-6.0422960725075581E-2</v>
      </c>
      <c r="L68" s="113">
        <v>331</v>
      </c>
      <c r="M68" s="114">
        <f t="shared" si="5"/>
        <v>-20</v>
      </c>
      <c r="N68" s="115">
        <f t="shared" ref="N68:N69" si="26">IFERROR(M68/L68,"-")</f>
        <v>-6.0422960725075532E-2</v>
      </c>
    </row>
    <row r="69" spans="1:15" s="107" customFormat="1" ht="16.5" customHeight="1" outlineLevel="1" x14ac:dyDescent="0.2">
      <c r="B69" s="108" t="s">
        <v>129</v>
      </c>
      <c r="C69" s="109" t="s">
        <v>130</v>
      </c>
      <c r="D69" s="110">
        <f>D70-D68</f>
        <v>110</v>
      </c>
      <c r="E69" s="111">
        <f>E70-E68</f>
        <v>113</v>
      </c>
      <c r="F69" s="47">
        <f t="shared" si="3"/>
        <v>-3</v>
      </c>
      <c r="G69" s="116">
        <f>IFERROR(D69/E69-1,"-")</f>
        <v>-2.6548672566371723E-2</v>
      </c>
      <c r="H69" s="113">
        <f>H70-H68</f>
        <v>110</v>
      </c>
      <c r="I69" s="113">
        <f>I70-I68</f>
        <v>113</v>
      </c>
      <c r="J69" s="47">
        <f t="shared" si="25"/>
        <v>-3</v>
      </c>
      <c r="K69" s="116">
        <f>IFERROR(H69/I69-1,"-")</f>
        <v>-2.6548672566371723E-2</v>
      </c>
      <c r="L69" s="113">
        <f>L70-L68</f>
        <v>113</v>
      </c>
      <c r="M69" s="114">
        <f t="shared" si="5"/>
        <v>-3</v>
      </c>
      <c r="N69" s="115">
        <f t="shared" si="26"/>
        <v>-2.6548672566371681E-2</v>
      </c>
    </row>
    <row r="70" spans="1:15" ht="16.5" customHeight="1" outlineLevel="1" x14ac:dyDescent="0.2">
      <c r="B70" s="99" t="s">
        <v>131</v>
      </c>
      <c r="C70" s="100" t="s">
        <v>132</v>
      </c>
      <c r="D70" s="117">
        <v>421</v>
      </c>
      <c r="E70" s="118">
        <v>444</v>
      </c>
      <c r="F70" s="61">
        <f t="shared" si="3"/>
        <v>-23</v>
      </c>
      <c r="G70" s="119">
        <f>IFERROR(D70/E70-1,"-")</f>
        <v>-5.1801801801801828E-2</v>
      </c>
      <c r="H70" s="120">
        <v>421</v>
      </c>
      <c r="I70" s="120">
        <v>444</v>
      </c>
      <c r="J70" s="61">
        <f t="shared" si="25"/>
        <v>-23</v>
      </c>
      <c r="K70" s="119">
        <f>IFERROR(H70/I70-1,"-")</f>
        <v>-5.1801801801801828E-2</v>
      </c>
      <c r="L70" s="120">
        <v>444</v>
      </c>
      <c r="M70" s="121">
        <f t="shared" si="5"/>
        <v>-23</v>
      </c>
      <c r="N70" s="122">
        <f>IFERROR(M70/L70,"-")</f>
        <v>-5.18018018018018E-2</v>
      </c>
    </row>
    <row r="71" spans="1:15" ht="16.5" customHeight="1" outlineLevel="1" x14ac:dyDescent="0.2">
      <c r="B71" s="99" t="s">
        <v>133</v>
      </c>
      <c r="C71" s="100" t="s">
        <v>134</v>
      </c>
      <c r="D71" s="117">
        <v>246</v>
      </c>
      <c r="E71" s="123">
        <v>265.68387212842742</v>
      </c>
      <c r="F71" s="61">
        <f t="shared" si="3"/>
        <v>-19.683872128427424</v>
      </c>
      <c r="G71" s="119">
        <f>IFERROR(D71/E71-1,"-")</f>
        <v>-7.4087568698609441E-2</v>
      </c>
      <c r="H71" s="120">
        <v>246</v>
      </c>
      <c r="I71" s="124">
        <v>265.68387212842742</v>
      </c>
      <c r="J71" s="61">
        <f t="shared" si="25"/>
        <v>-19.683872128427424</v>
      </c>
      <c r="K71" s="119">
        <f>IFERROR(H71/I71-1,"-")</f>
        <v>-7.4087568698609441E-2</v>
      </c>
      <c r="L71" s="120">
        <v>266</v>
      </c>
      <c r="M71" s="121">
        <f t="shared" si="5"/>
        <v>-20</v>
      </c>
      <c r="N71" s="122">
        <f>IFERROR(M71/L71,"-")</f>
        <v>-7.5187969924812026E-2</v>
      </c>
    </row>
    <row r="72" spans="1:15" ht="13.5" outlineLevel="1" thickBot="1" x14ac:dyDescent="0.25">
      <c r="A72" s="8"/>
      <c r="B72" s="125" t="s">
        <v>135</v>
      </c>
      <c r="C72" s="126" t="s">
        <v>135</v>
      </c>
      <c r="D72" s="127">
        <v>307.7</v>
      </c>
      <c r="E72" s="128">
        <v>310</v>
      </c>
      <c r="F72" s="129">
        <f t="shared" si="3"/>
        <v>-2.3000000000000114</v>
      </c>
      <c r="G72" s="130">
        <f>IFERROR(D72/E72-1,"-")</f>
        <v>-7.4193548387097019E-3</v>
      </c>
      <c r="H72" s="131">
        <v>305.89999999999998</v>
      </c>
      <c r="I72" s="131">
        <v>310</v>
      </c>
      <c r="J72" s="129">
        <f t="shared" si="25"/>
        <v>-4.1000000000000227</v>
      </c>
      <c r="K72" s="130">
        <f>IFERROR(H72/I72-1,"-")</f>
        <v>-1.3225806451612976E-2</v>
      </c>
      <c r="L72" s="131">
        <v>310</v>
      </c>
      <c r="M72" s="132">
        <f t="shared" si="5"/>
        <v>-4.1000000000000227</v>
      </c>
      <c r="N72" s="133">
        <f t="shared" si="2"/>
        <v>-1.3225806451612976E-2</v>
      </c>
    </row>
    <row r="73" spans="1:15" s="134" customFormat="1" ht="13.5" thickTop="1" x14ac:dyDescent="0.2">
      <c r="B73" s="135"/>
      <c r="C73" s="135"/>
      <c r="D73" s="136"/>
      <c r="E73" s="135"/>
      <c r="F73" s="136"/>
      <c r="G73" s="136"/>
      <c r="H73" s="136"/>
      <c r="I73" s="136"/>
      <c r="J73" s="136"/>
      <c r="K73" s="136"/>
      <c r="L73" s="136"/>
      <c r="M73" s="136"/>
      <c r="N73" s="137"/>
    </row>
    <row r="74" spans="1:15" ht="16.5" customHeight="1" thickBot="1" x14ac:dyDescent="0.25">
      <c r="A74" s="8"/>
      <c r="B74" s="34" t="s">
        <v>136</v>
      </c>
      <c r="C74" s="35" t="s">
        <v>137</v>
      </c>
      <c r="D74" s="138"/>
      <c r="E74" s="37"/>
      <c r="F74" s="41"/>
      <c r="G74" s="39"/>
      <c r="H74" s="138"/>
      <c r="I74" s="41"/>
      <c r="J74" s="41"/>
      <c r="K74" s="39"/>
      <c r="L74" s="41"/>
      <c r="M74" s="38"/>
      <c r="N74" s="42"/>
    </row>
    <row r="75" spans="1:15" ht="13.5" outlineLevel="3" thickTop="1" x14ac:dyDescent="0.2">
      <c r="A75" s="8"/>
      <c r="B75" s="51" t="str">
        <f>B12</f>
        <v xml:space="preserve">Оклад </v>
      </c>
      <c r="C75" s="139" t="str">
        <f>C12</f>
        <v>Salary</v>
      </c>
      <c r="D75" s="45">
        <v>135263390.90000001</v>
      </c>
      <c r="E75" s="46">
        <f>I75/6</f>
        <v>144423983.16666666</v>
      </c>
      <c r="F75" s="47">
        <f>D75-E75</f>
        <v>-9160592.2666666508</v>
      </c>
      <c r="G75" s="48">
        <f t="shared" ref="G75:G129" si="27">IFERROR(D75/E75-1,"-")</f>
        <v>-6.3428469882978122E-2</v>
      </c>
      <c r="H75" s="49">
        <v>852947329.30999982</v>
      </c>
      <c r="I75" s="49">
        <v>866543899</v>
      </c>
      <c r="J75" s="47">
        <f>H75-I75</f>
        <v>-13596569.690000176</v>
      </c>
      <c r="K75" s="48">
        <f t="shared" ref="K75:K129" si="28">IFERROR(H75/I75-1,"-")</f>
        <v>-1.5690572290325666E-2</v>
      </c>
      <c r="L75" s="49">
        <v>1740754399</v>
      </c>
      <c r="M75" s="47">
        <f>H75-L75</f>
        <v>-887807069.69000018</v>
      </c>
      <c r="N75" s="50">
        <f t="shared" ref="N75:N85" si="29">IFERROR(M75/L75,"-")</f>
        <v>-0.51001282558872918</v>
      </c>
    </row>
    <row r="76" spans="1:15" outlineLevel="3" x14ac:dyDescent="0.2">
      <c r="A76" s="8"/>
      <c r="B76" s="51" t="str">
        <f t="shared" ref="B76:C91" si="30">B13</f>
        <v>Страховые взносы оклад</v>
      </c>
      <c r="C76" s="52" t="str">
        <f t="shared" si="30"/>
        <v>Social securities on salaries</v>
      </c>
      <c r="D76" s="53">
        <v>27298223.000000004</v>
      </c>
      <c r="E76" s="54">
        <f>I76/6</f>
        <v>26718436.885833334</v>
      </c>
      <c r="F76" s="47">
        <f t="shared" ref="F76:F77" si="31">D76-E76</f>
        <v>579786.11416666955</v>
      </c>
      <c r="G76" s="48">
        <f t="shared" si="27"/>
        <v>2.1699851553594662E-2</v>
      </c>
      <c r="H76" s="49">
        <v>195613161.08999997</v>
      </c>
      <c r="I76" s="49">
        <v>160310621.315</v>
      </c>
      <c r="J76" s="47">
        <f t="shared" ref="J76:J77" si="32">H76-I76</f>
        <v>35302539.774999976</v>
      </c>
      <c r="K76" s="48">
        <f t="shared" si="28"/>
        <v>0.22021335508164963</v>
      </c>
      <c r="L76" s="49">
        <v>322039563.815</v>
      </c>
      <c r="M76" s="47">
        <f t="shared" ref="M76:M77" si="33">H76-L76</f>
        <v>-126426402.72500002</v>
      </c>
      <c r="N76" s="55">
        <f t="shared" si="29"/>
        <v>-0.39258034394068236</v>
      </c>
    </row>
    <row r="77" spans="1:15" s="65" customFormat="1" outlineLevel="2" x14ac:dyDescent="0.2">
      <c r="A77" s="56"/>
      <c r="B77" s="57" t="str">
        <f t="shared" si="30"/>
        <v>Итого оклад</v>
      </c>
      <c r="C77" s="58" t="str">
        <f t="shared" si="30"/>
        <v>Total Salary</v>
      </c>
      <c r="D77" s="59">
        <f>SUM(D75:D76)</f>
        <v>162561613.90000001</v>
      </c>
      <c r="E77" s="60">
        <f>SUM(E75:E76)</f>
        <v>171142420.05249998</v>
      </c>
      <c r="F77" s="61">
        <f t="shared" si="31"/>
        <v>-8580806.1524999738</v>
      </c>
      <c r="G77" s="62">
        <f t="shared" si="27"/>
        <v>-5.0138394384441343E-2</v>
      </c>
      <c r="H77" s="63">
        <f>SUM(H75:H76)</f>
        <v>1048560490.3999999</v>
      </c>
      <c r="I77" s="63">
        <f>SUM(I75:I76)</f>
        <v>1026854520.3150001</v>
      </c>
      <c r="J77" s="61">
        <f t="shared" si="32"/>
        <v>21705970.0849998</v>
      </c>
      <c r="K77" s="62">
        <f t="shared" si="28"/>
        <v>2.1138310885889799E-2</v>
      </c>
      <c r="L77" s="63">
        <f>SUM(L75:L76)</f>
        <v>2062793962.8150001</v>
      </c>
      <c r="M77" s="61">
        <f t="shared" si="33"/>
        <v>-1014233472.4150002</v>
      </c>
      <c r="N77" s="64">
        <f t="shared" si="29"/>
        <v>-0.49167948457194555</v>
      </c>
    </row>
    <row r="78" spans="1:15" outlineLevel="3" x14ac:dyDescent="0.2">
      <c r="A78" s="8"/>
      <c r="B78" s="66" t="str">
        <f t="shared" si="30"/>
        <v>Резерв на отпуск</v>
      </c>
      <c r="C78" s="67" t="str">
        <f t="shared" si="30"/>
        <v>Accruals for unused vacations</v>
      </c>
      <c r="D78" s="53">
        <v>44272102.969999984</v>
      </c>
      <c r="E78" s="54">
        <f>I78/6</f>
        <v>41312893.95431418</v>
      </c>
      <c r="F78" s="47">
        <f>D78-E78</f>
        <v>2959209.0156858042</v>
      </c>
      <c r="G78" s="48">
        <f t="shared" si="27"/>
        <v>7.1629187220780155E-2</v>
      </c>
      <c r="H78" s="49">
        <v>419082278.12999994</v>
      </c>
      <c r="I78" s="49">
        <v>247877363.72588509</v>
      </c>
      <c r="J78" s="47">
        <f>H78-I78</f>
        <v>171204914.40411484</v>
      </c>
      <c r="K78" s="48">
        <f t="shared" si="28"/>
        <v>0.69068394076290729</v>
      </c>
      <c r="L78" s="49">
        <v>495733023.91900676</v>
      </c>
      <c r="M78" s="47">
        <f>H78-L78</f>
        <v>-76650745.789006829</v>
      </c>
      <c r="N78" s="55">
        <f t="shared" si="29"/>
        <v>-0.15462101996563796</v>
      </c>
    </row>
    <row r="79" spans="1:15" outlineLevel="3" x14ac:dyDescent="0.2">
      <c r="A79" s="8"/>
      <c r="B79" s="51" t="str">
        <f t="shared" si="30"/>
        <v>Страховые взносы резерв на отпуск</v>
      </c>
      <c r="C79" s="67" t="str">
        <f t="shared" si="30"/>
        <v>Social Security on accruals for unused vacations</v>
      </c>
      <c r="D79" s="53">
        <v>6226136.4200000018</v>
      </c>
      <c r="E79" s="54">
        <f>I79/6</f>
        <v>7642885.3815481178</v>
      </c>
      <c r="F79" s="47">
        <f t="shared" ref="F79:F80" si="34">D79-E79</f>
        <v>-1416748.9615481161</v>
      </c>
      <c r="G79" s="48">
        <f t="shared" si="27"/>
        <v>-0.1853683381106972</v>
      </c>
      <c r="H79" s="49">
        <v>69999585.459999993</v>
      </c>
      <c r="I79" s="49">
        <v>45857312.289288707</v>
      </c>
      <c r="J79" s="47">
        <f t="shared" ref="J79:J80" si="35">H79-I79</f>
        <v>24142273.170711286</v>
      </c>
      <c r="K79" s="48">
        <f t="shared" si="28"/>
        <v>0.5264650710100689</v>
      </c>
      <c r="L79" s="49">
        <v>91710609.42501618</v>
      </c>
      <c r="M79" s="47">
        <f t="shared" ref="M79:M80" si="36">H79-L79</f>
        <v>-21711023.965016186</v>
      </c>
      <c r="N79" s="55">
        <f t="shared" si="29"/>
        <v>-0.23673404964959271</v>
      </c>
    </row>
    <row r="80" spans="1:15" s="65" customFormat="1" outlineLevel="2" x14ac:dyDescent="0.2">
      <c r="A80" s="56"/>
      <c r="B80" s="57" t="str">
        <f t="shared" si="30"/>
        <v>Итого резерв на отпуск</v>
      </c>
      <c r="C80" s="58" t="str">
        <f t="shared" si="30"/>
        <v>Total Accruals for unused vacations</v>
      </c>
      <c r="D80" s="59">
        <f>SUM(D78:D79)</f>
        <v>50498239.389999986</v>
      </c>
      <c r="E80" s="60">
        <f>SUM(E78:E79)</f>
        <v>48955779.335862294</v>
      </c>
      <c r="F80" s="61">
        <f t="shared" si="34"/>
        <v>1542460.0541376919</v>
      </c>
      <c r="G80" s="62">
        <f t="shared" si="27"/>
        <v>3.1507210692237386E-2</v>
      </c>
      <c r="H80" s="63">
        <f>SUM(H78:H79)</f>
        <v>489081863.58999991</v>
      </c>
      <c r="I80" s="63">
        <f>SUM(I78:I79)</f>
        <v>293734676.01517379</v>
      </c>
      <c r="J80" s="61">
        <f t="shared" si="35"/>
        <v>195347187.57482612</v>
      </c>
      <c r="K80" s="62">
        <f t="shared" si="28"/>
        <v>0.66504639569600843</v>
      </c>
      <c r="L80" s="63">
        <f>SUM(L78:L79)</f>
        <v>587443633.34402299</v>
      </c>
      <c r="M80" s="61">
        <f t="shared" si="36"/>
        <v>-98361769.754023075</v>
      </c>
      <c r="N80" s="64">
        <f t="shared" si="29"/>
        <v>-0.167440353713766</v>
      </c>
    </row>
    <row r="81" spans="1:14" outlineLevel="3" x14ac:dyDescent="0.2">
      <c r="A81" s="8"/>
      <c r="B81" s="51" t="str">
        <f t="shared" si="30"/>
        <v>Оплата больничных листов</v>
      </c>
      <c r="C81" s="52" t="str">
        <f t="shared" si="30"/>
        <v>Sick leave compensation</v>
      </c>
      <c r="D81" s="53">
        <v>502299.88</v>
      </c>
      <c r="E81" s="54">
        <v>0</v>
      </c>
      <c r="F81" s="47">
        <f>D81-E81</f>
        <v>502299.88</v>
      </c>
      <c r="G81" s="48" t="str">
        <f t="shared" si="27"/>
        <v>-</v>
      </c>
      <c r="H81" s="49">
        <v>2428673.09</v>
      </c>
      <c r="I81" s="49">
        <v>1108089.5900000001</v>
      </c>
      <c r="J81" s="47">
        <f>H81-I81</f>
        <v>1320583.4999999998</v>
      </c>
      <c r="K81" s="48">
        <f t="shared" si="28"/>
        <v>1.1917660015197864</v>
      </c>
      <c r="L81" s="49">
        <v>1108089.5900000001</v>
      </c>
      <c r="M81" s="47">
        <f>H81-L81</f>
        <v>1320583.4999999998</v>
      </c>
      <c r="N81" s="55">
        <f t="shared" si="29"/>
        <v>1.1917660015197866</v>
      </c>
    </row>
    <row r="82" spans="1:14" outlineLevel="3" x14ac:dyDescent="0.2">
      <c r="A82" s="8"/>
      <c r="B82" s="51" t="str">
        <f t="shared" si="30"/>
        <v>Страховые взносы оплата больничных листов</v>
      </c>
      <c r="C82" s="52" t="str">
        <f t="shared" si="30"/>
        <v>Social Security on Sick leave compensation</v>
      </c>
      <c r="D82" s="53">
        <v>81339.45</v>
      </c>
      <c r="E82" s="54">
        <v>0</v>
      </c>
      <c r="F82" s="47">
        <f t="shared" ref="F82:F83" si="37">D82-E82</f>
        <v>81339.45</v>
      </c>
      <c r="G82" s="48" t="str">
        <f t="shared" si="27"/>
        <v>-</v>
      </c>
      <c r="H82" s="49">
        <v>429173.05</v>
      </c>
      <c r="I82" s="49">
        <v>244088.15</v>
      </c>
      <c r="J82" s="47">
        <f t="shared" ref="J82:J83" si="38">H82-I82</f>
        <v>185084.9</v>
      </c>
      <c r="K82" s="48">
        <f t="shared" si="28"/>
        <v>0.75827073129113387</v>
      </c>
      <c r="L82" s="49">
        <v>244088.15</v>
      </c>
      <c r="M82" s="47">
        <f t="shared" ref="M82:M83" si="39">H82-L82</f>
        <v>185084.9</v>
      </c>
      <c r="N82" s="55">
        <f t="shared" si="29"/>
        <v>0.75827073129113398</v>
      </c>
    </row>
    <row r="83" spans="1:14" s="65" customFormat="1" outlineLevel="2" x14ac:dyDescent="0.2">
      <c r="A83" s="56"/>
      <c r="B83" s="57" t="str">
        <f t="shared" si="30"/>
        <v>Итого оплата больничных листов</v>
      </c>
      <c r="C83" s="58" t="str">
        <f t="shared" si="30"/>
        <v>Total Sick leave compensation</v>
      </c>
      <c r="D83" s="59">
        <f>SUM(D81:D82)</f>
        <v>583639.32999999996</v>
      </c>
      <c r="E83" s="60">
        <f>SUM(E81:E82)</f>
        <v>0</v>
      </c>
      <c r="F83" s="61">
        <f t="shared" si="37"/>
        <v>583639.32999999996</v>
      </c>
      <c r="G83" s="62" t="str">
        <f t="shared" si="27"/>
        <v>-</v>
      </c>
      <c r="H83" s="63">
        <f>SUM(H81:H82)</f>
        <v>2857846.1399999997</v>
      </c>
      <c r="I83" s="63">
        <f>SUM(I81:I82)</f>
        <v>1352177.74</v>
      </c>
      <c r="J83" s="61">
        <f t="shared" si="38"/>
        <v>1505668.3999999997</v>
      </c>
      <c r="K83" s="62">
        <f t="shared" si="28"/>
        <v>1.1135136716568041</v>
      </c>
      <c r="L83" s="63">
        <f>SUM(L81:L82)</f>
        <v>1352177.74</v>
      </c>
      <c r="M83" s="61">
        <f t="shared" si="39"/>
        <v>1505668.3999999997</v>
      </c>
      <c r="N83" s="64">
        <f t="shared" si="29"/>
        <v>1.1135136716568044</v>
      </c>
    </row>
    <row r="84" spans="1:14" outlineLevel="3" x14ac:dyDescent="0.2">
      <c r="A84" s="8"/>
      <c r="B84" s="51" t="str">
        <f t="shared" si="30"/>
        <v>Декрет</v>
      </c>
      <c r="C84" s="52" t="str">
        <f t="shared" si="30"/>
        <v>Maternity leave</v>
      </c>
      <c r="D84" s="53">
        <v>0</v>
      </c>
      <c r="E84" s="54">
        <v>0</v>
      </c>
      <c r="F84" s="47">
        <f>D84-E84</f>
        <v>0</v>
      </c>
      <c r="G84" s="48" t="str">
        <f t="shared" si="27"/>
        <v>-</v>
      </c>
      <c r="H84" s="49">
        <v>0</v>
      </c>
      <c r="I84" s="49">
        <v>0</v>
      </c>
      <c r="J84" s="47">
        <f>H84-I84</f>
        <v>0</v>
      </c>
      <c r="K84" s="48" t="str">
        <f t="shared" si="28"/>
        <v>-</v>
      </c>
      <c r="L84" s="49">
        <v>0</v>
      </c>
      <c r="M84" s="47">
        <f>H84-L84</f>
        <v>0</v>
      </c>
      <c r="N84" s="55" t="str">
        <f t="shared" si="29"/>
        <v>-</v>
      </c>
    </row>
    <row r="85" spans="1:14" outlineLevel="3" x14ac:dyDescent="0.2">
      <c r="A85" s="8"/>
      <c r="B85" s="51" t="str">
        <f t="shared" si="30"/>
        <v>Страховые взносы декрет</v>
      </c>
      <c r="C85" s="52" t="str">
        <f t="shared" si="30"/>
        <v>Social Security on Maternity leave</v>
      </c>
      <c r="D85" s="53">
        <v>0</v>
      </c>
      <c r="E85" s="54">
        <v>0</v>
      </c>
      <c r="F85" s="47">
        <f t="shared" ref="F85:F90" si="40">D85-E85</f>
        <v>0</v>
      </c>
      <c r="G85" s="48" t="str">
        <f t="shared" si="27"/>
        <v>-</v>
      </c>
      <c r="H85" s="49">
        <v>0</v>
      </c>
      <c r="I85" s="49">
        <v>0</v>
      </c>
      <c r="J85" s="47">
        <f t="shared" ref="J85:J90" si="41">H85-I85</f>
        <v>0</v>
      </c>
      <c r="K85" s="48" t="str">
        <f t="shared" si="28"/>
        <v>-</v>
      </c>
      <c r="L85" s="49">
        <v>0</v>
      </c>
      <c r="M85" s="47">
        <f t="shared" ref="M85:M90" si="42">H85-L85</f>
        <v>0</v>
      </c>
      <c r="N85" s="55" t="str">
        <f t="shared" si="29"/>
        <v>-</v>
      </c>
    </row>
    <row r="86" spans="1:14" s="65" customFormat="1" outlineLevel="2" x14ac:dyDescent="0.2">
      <c r="A86" s="56"/>
      <c r="B86" s="57" t="str">
        <f t="shared" si="30"/>
        <v>Итого декрет</v>
      </c>
      <c r="C86" s="58" t="str">
        <f t="shared" si="30"/>
        <v>Total Maternity leave</v>
      </c>
      <c r="D86" s="59">
        <f>SUM(D84:D85)</f>
        <v>0</v>
      </c>
      <c r="E86" s="60">
        <f>SUM(E84:E85)</f>
        <v>0</v>
      </c>
      <c r="F86" s="61">
        <f t="shared" si="40"/>
        <v>0</v>
      </c>
      <c r="G86" s="62" t="str">
        <f t="shared" si="27"/>
        <v>-</v>
      </c>
      <c r="H86" s="63">
        <f>SUM(H84:H85)</f>
        <v>0</v>
      </c>
      <c r="I86" s="63">
        <f>SUM(I84:I85)</f>
        <v>0</v>
      </c>
      <c r="J86" s="61">
        <f t="shared" si="41"/>
        <v>0</v>
      </c>
      <c r="K86" s="62" t="str">
        <f t="shared" si="28"/>
        <v>-</v>
      </c>
      <c r="L86" s="63">
        <f>SUM(L84:L85)</f>
        <v>0</v>
      </c>
      <c r="M86" s="61">
        <f t="shared" si="42"/>
        <v>0</v>
      </c>
      <c r="N86" s="64" t="str">
        <f>IFERROR(M86/L86,"-")</f>
        <v>-</v>
      </c>
    </row>
    <row r="87" spans="1:14" s="65" customFormat="1" outlineLevel="1" x14ac:dyDescent="0.2">
      <c r="A87" s="56"/>
      <c r="B87" s="68" t="str">
        <f t="shared" si="30"/>
        <v>Фиксированное вознаграждение</v>
      </c>
      <c r="C87" s="69" t="str">
        <f t="shared" si="30"/>
        <v>FIX compensation</v>
      </c>
      <c r="D87" s="70">
        <f>D77+D80+D83+D86</f>
        <v>213643492.62</v>
      </c>
      <c r="E87" s="71">
        <f>E77+E80+E83+E86</f>
        <v>220098199.38836229</v>
      </c>
      <c r="F87" s="61">
        <f t="shared" si="40"/>
        <v>-6454706.7683622837</v>
      </c>
      <c r="G87" s="62">
        <f t="shared" si="27"/>
        <v>-2.9326486024417564E-2</v>
      </c>
      <c r="H87" s="72">
        <f t="shared" ref="H87" si="43">H77+H80+H83+H86</f>
        <v>1540500200.1299999</v>
      </c>
      <c r="I87" s="72">
        <f>I77+I80+I83+I86</f>
        <v>1321941374.070174</v>
      </c>
      <c r="J87" s="61">
        <f t="shared" si="41"/>
        <v>218558826.0598259</v>
      </c>
      <c r="K87" s="62">
        <f t="shared" si="28"/>
        <v>0.16533170861193125</v>
      </c>
      <c r="L87" s="72">
        <f>L77+L80+L83+L86</f>
        <v>2651589773.8990231</v>
      </c>
      <c r="M87" s="61">
        <f t="shared" si="42"/>
        <v>-1111089573.7690232</v>
      </c>
      <c r="N87" s="64">
        <f t="shared" ref="N87:N129" si="44">IFERROR(M87/L87,"-")</f>
        <v>-0.41902770357091268</v>
      </c>
    </row>
    <row r="88" spans="1:14" s="65" customFormat="1" outlineLevel="2" x14ac:dyDescent="0.2">
      <c r="B88" s="57" t="str">
        <f t="shared" si="30"/>
        <v>Расходы на страхование (ДМС, НС)</v>
      </c>
      <c r="C88" s="58" t="str">
        <f t="shared" si="30"/>
        <v>Health &amp; welfare</v>
      </c>
      <c r="D88" s="59">
        <v>4988341.6699999981</v>
      </c>
      <c r="E88" s="60">
        <f>I88/6</f>
        <v>5630886.0970102288</v>
      </c>
      <c r="F88" s="61">
        <f t="shared" si="40"/>
        <v>-642544.42701023072</v>
      </c>
      <c r="G88" s="62">
        <f t="shared" si="27"/>
        <v>-0.11411071293937125</v>
      </c>
      <c r="H88" s="63">
        <v>29346208.629999992</v>
      </c>
      <c r="I88" s="63">
        <v>33785316.582061373</v>
      </c>
      <c r="J88" s="61">
        <f t="shared" si="41"/>
        <v>-4439107.9520613812</v>
      </c>
      <c r="K88" s="62">
        <f t="shared" si="28"/>
        <v>-0.13139163403365495</v>
      </c>
      <c r="L88" s="63">
        <v>68305965.514753431</v>
      </c>
      <c r="M88" s="61">
        <f t="shared" si="42"/>
        <v>-38959756.884753436</v>
      </c>
      <c r="N88" s="64">
        <f t="shared" si="44"/>
        <v>-0.57037122001208673</v>
      </c>
    </row>
    <row r="89" spans="1:14" s="65" customFormat="1" outlineLevel="2" x14ac:dyDescent="0.2">
      <c r="B89" s="57" t="str">
        <f t="shared" si="30"/>
        <v>Прочие бенефиты</v>
      </c>
      <c r="C89" s="58" t="str">
        <f t="shared" si="30"/>
        <v>Other benefits - Non-state mandated</v>
      </c>
      <c r="D89" s="59">
        <v>614311.89000000013</v>
      </c>
      <c r="E89" s="60">
        <v>0</v>
      </c>
      <c r="F89" s="61">
        <f>D89-E89</f>
        <v>614311.89000000013</v>
      </c>
      <c r="G89" s="62" t="str">
        <f>IFERROR(D89/E89-1,"-")</f>
        <v>-</v>
      </c>
      <c r="H89" s="63">
        <v>1914075.8800000001</v>
      </c>
      <c r="I89" s="63">
        <v>996972.98</v>
      </c>
      <c r="J89" s="61">
        <f>H89-I89</f>
        <v>917102.90000000014</v>
      </c>
      <c r="K89" s="62">
        <f>IFERROR(H89/I89-1,"-")</f>
        <v>0.91988741761085646</v>
      </c>
      <c r="L89" s="63">
        <v>996972.98</v>
      </c>
      <c r="M89" s="61">
        <f>H89-L89</f>
        <v>917102.90000000014</v>
      </c>
      <c r="N89" s="64">
        <f>IFERROR(M89/L89,"-")</f>
        <v>0.91988741761085657</v>
      </c>
    </row>
    <row r="90" spans="1:14" s="65" customFormat="1" outlineLevel="1" x14ac:dyDescent="0.2">
      <c r="A90" s="56"/>
      <c r="B90" s="68" t="str">
        <f t="shared" si="30"/>
        <v>Бенефиты</v>
      </c>
      <c r="C90" s="69" t="str">
        <f t="shared" si="30"/>
        <v>Benefits</v>
      </c>
      <c r="D90" s="70">
        <f>SUM(D88:D89)</f>
        <v>5602653.5599999987</v>
      </c>
      <c r="E90" s="71">
        <f>SUM(E88:E89)</f>
        <v>5630886.0970102288</v>
      </c>
      <c r="F90" s="61">
        <f t="shared" si="40"/>
        <v>-28232.537010230124</v>
      </c>
      <c r="G90" s="62">
        <f t="shared" si="27"/>
        <v>-5.0138710895289984E-3</v>
      </c>
      <c r="H90" s="72">
        <f t="shared" ref="H90:I90" si="45">SUM(H88:H89)</f>
        <v>31260284.50999999</v>
      </c>
      <c r="I90" s="72">
        <f t="shared" si="45"/>
        <v>34782289.562061369</v>
      </c>
      <c r="J90" s="61">
        <f t="shared" si="41"/>
        <v>-3522005.052061379</v>
      </c>
      <c r="K90" s="62">
        <f t="shared" si="28"/>
        <v>-0.1012585743033716</v>
      </c>
      <c r="L90" s="72">
        <f>SUM(L88:L89)</f>
        <v>69302938.494753435</v>
      </c>
      <c r="M90" s="61">
        <f t="shared" si="42"/>
        <v>-38042653.984753445</v>
      </c>
      <c r="N90" s="64">
        <f t="shared" si="44"/>
        <v>-0.54893276982235695</v>
      </c>
    </row>
    <row r="91" spans="1:14" outlineLevel="3" x14ac:dyDescent="0.2">
      <c r="A91" s="8"/>
      <c r="B91" s="51" t="str">
        <f t="shared" si="30"/>
        <v>Прочие выплаты</v>
      </c>
      <c r="C91" s="52" t="str">
        <f t="shared" si="30"/>
        <v>Remaining Other Compensation</v>
      </c>
      <c r="D91" s="53">
        <v>-120000</v>
      </c>
      <c r="E91" s="54">
        <v>0</v>
      </c>
      <c r="F91" s="47">
        <f>D91-E91</f>
        <v>-120000</v>
      </c>
      <c r="G91" s="48" t="str">
        <f t="shared" si="27"/>
        <v>-</v>
      </c>
      <c r="H91" s="49">
        <v>240000</v>
      </c>
      <c r="I91" s="49">
        <v>240000</v>
      </c>
      <c r="J91" s="47">
        <f>H91-I91</f>
        <v>0</v>
      </c>
      <c r="K91" s="48">
        <f t="shared" si="28"/>
        <v>0</v>
      </c>
      <c r="L91" s="49">
        <v>240000</v>
      </c>
      <c r="M91" s="47">
        <f>H91-L91</f>
        <v>0</v>
      </c>
      <c r="N91" s="55">
        <f t="shared" si="44"/>
        <v>0</v>
      </c>
    </row>
    <row r="92" spans="1:14" outlineLevel="3" x14ac:dyDescent="0.2">
      <c r="A92" s="8"/>
      <c r="B92" s="51" t="str">
        <f t="shared" ref="B92:C107" si="46">B29</f>
        <v>Страховые взносы прочие выплаты</v>
      </c>
      <c r="C92" s="52" t="str">
        <f t="shared" si="46"/>
        <v>Social Security on Remaining Other Compensation</v>
      </c>
      <c r="D92" s="53">
        <v>0</v>
      </c>
      <c r="E92" s="54">
        <v>0</v>
      </c>
      <c r="F92" s="47">
        <f t="shared" ref="F92:F93" si="47">D92-E92</f>
        <v>0</v>
      </c>
      <c r="G92" s="48" t="str">
        <f t="shared" si="27"/>
        <v>-</v>
      </c>
      <c r="H92" s="49">
        <v>54600</v>
      </c>
      <c r="I92" s="49">
        <v>36240</v>
      </c>
      <c r="J92" s="47">
        <f t="shared" ref="J92:J93" si="48">H92-I92</f>
        <v>18360</v>
      </c>
      <c r="K92" s="48">
        <f t="shared" si="28"/>
        <v>0.50662251655629142</v>
      </c>
      <c r="L92" s="49">
        <v>36240</v>
      </c>
      <c r="M92" s="47">
        <f t="shared" ref="M92:M93" si="49">H92-L92</f>
        <v>18360</v>
      </c>
      <c r="N92" s="55">
        <f t="shared" si="44"/>
        <v>0.50662251655629142</v>
      </c>
    </row>
    <row r="93" spans="1:14" s="65" customFormat="1" outlineLevel="2" x14ac:dyDescent="0.2">
      <c r="A93" s="56"/>
      <c r="B93" s="57" t="str">
        <f t="shared" si="46"/>
        <v>Итого прочие выплаты</v>
      </c>
      <c r="C93" s="58" t="str">
        <f t="shared" si="46"/>
        <v>Total Remaining Other Compensation</v>
      </c>
      <c r="D93" s="59">
        <f>SUM(D91:D92)</f>
        <v>-120000</v>
      </c>
      <c r="E93" s="60">
        <f>SUM(E91:E92)</f>
        <v>0</v>
      </c>
      <c r="F93" s="61">
        <f t="shared" si="47"/>
        <v>-120000</v>
      </c>
      <c r="G93" s="62" t="str">
        <f t="shared" si="27"/>
        <v>-</v>
      </c>
      <c r="H93" s="63">
        <f>SUM(H91:H92)</f>
        <v>294600</v>
      </c>
      <c r="I93" s="63">
        <f>SUM(I91:I92)</f>
        <v>276240</v>
      </c>
      <c r="J93" s="61">
        <f t="shared" si="48"/>
        <v>18360</v>
      </c>
      <c r="K93" s="62">
        <f t="shared" si="28"/>
        <v>6.6463944396177199E-2</v>
      </c>
      <c r="L93" s="63">
        <f>SUM(L91:L92)</f>
        <v>276240</v>
      </c>
      <c r="M93" s="61">
        <f t="shared" si="49"/>
        <v>18360</v>
      </c>
      <c r="N93" s="64">
        <f t="shared" si="44"/>
        <v>6.6463944396177241E-2</v>
      </c>
    </row>
    <row r="94" spans="1:14" ht="12.75" customHeight="1" outlineLevel="3" x14ac:dyDescent="0.2">
      <c r="A94" s="8"/>
      <c r="B94" s="51" t="str">
        <f t="shared" si="46"/>
        <v>Премия разовая</v>
      </c>
      <c r="C94" s="52" t="str">
        <f t="shared" si="46"/>
        <v>Sign-ons - cash</v>
      </c>
      <c r="D94" s="53">
        <v>19000000</v>
      </c>
      <c r="E94" s="54">
        <v>0</v>
      </c>
      <c r="F94" s="47">
        <f>D94-E94</f>
        <v>19000000</v>
      </c>
      <c r="G94" s="48" t="str">
        <f t="shared" si="27"/>
        <v>-</v>
      </c>
      <c r="H94" s="49">
        <v>19000000</v>
      </c>
      <c r="I94" s="49">
        <v>0</v>
      </c>
      <c r="J94" s="47">
        <f>H94-I94</f>
        <v>19000000</v>
      </c>
      <c r="K94" s="48" t="str">
        <f t="shared" si="28"/>
        <v>-</v>
      </c>
      <c r="L94" s="49">
        <v>0</v>
      </c>
      <c r="M94" s="47">
        <f>H94-L94</f>
        <v>19000000</v>
      </c>
      <c r="N94" s="55" t="str">
        <f t="shared" si="44"/>
        <v>-</v>
      </c>
    </row>
    <row r="95" spans="1:14" ht="12.75" customHeight="1" outlineLevel="3" x14ac:dyDescent="0.2">
      <c r="A95" s="8"/>
      <c r="B95" s="51" t="str">
        <f t="shared" si="46"/>
        <v>Страховые взносы премия разовая</v>
      </c>
      <c r="C95" s="52" t="str">
        <f t="shared" si="46"/>
        <v>Social Security on Sign-ons - cash</v>
      </c>
      <c r="D95" s="53">
        <v>3328677</v>
      </c>
      <c r="E95" s="54">
        <v>0</v>
      </c>
      <c r="F95" s="47">
        <f t="shared" ref="F95:F96" si="50">D95-E95</f>
        <v>3328677</v>
      </c>
      <c r="G95" s="48" t="str">
        <f t="shared" si="27"/>
        <v>-</v>
      </c>
      <c r="H95" s="49">
        <v>3328677</v>
      </c>
      <c r="I95" s="49">
        <v>0</v>
      </c>
      <c r="J95" s="47">
        <f t="shared" ref="J95:J96" si="51">H95-I95</f>
        <v>3328677</v>
      </c>
      <c r="K95" s="48" t="str">
        <f t="shared" si="28"/>
        <v>-</v>
      </c>
      <c r="L95" s="49">
        <v>0</v>
      </c>
      <c r="M95" s="47">
        <f t="shared" ref="M95:M96" si="52">H95-L95</f>
        <v>3328677</v>
      </c>
      <c r="N95" s="55" t="str">
        <f t="shared" si="44"/>
        <v>-</v>
      </c>
    </row>
    <row r="96" spans="1:14" s="65" customFormat="1" outlineLevel="2" x14ac:dyDescent="0.2">
      <c r="A96" s="56"/>
      <c r="B96" s="57" t="str">
        <f t="shared" si="46"/>
        <v>Итого премия разовая</v>
      </c>
      <c r="C96" s="58" t="str">
        <f t="shared" si="46"/>
        <v>Total Sign-ons - cash</v>
      </c>
      <c r="D96" s="59">
        <f>SUM(D94:D95)</f>
        <v>22328677</v>
      </c>
      <c r="E96" s="60">
        <f>SUM(E94:E95)</f>
        <v>0</v>
      </c>
      <c r="F96" s="61">
        <f t="shared" si="50"/>
        <v>22328677</v>
      </c>
      <c r="G96" s="62" t="str">
        <f t="shared" si="27"/>
        <v>-</v>
      </c>
      <c r="H96" s="63">
        <f>SUM(H94:H95)</f>
        <v>22328677</v>
      </c>
      <c r="I96" s="63">
        <f>SUM(I94:I95)</f>
        <v>0</v>
      </c>
      <c r="J96" s="61">
        <f t="shared" si="51"/>
        <v>22328677</v>
      </c>
      <c r="K96" s="62" t="str">
        <f t="shared" si="28"/>
        <v>-</v>
      </c>
      <c r="L96" s="63">
        <f>SUM(L94:L95)</f>
        <v>0</v>
      </c>
      <c r="M96" s="61">
        <f t="shared" si="52"/>
        <v>22328677</v>
      </c>
      <c r="N96" s="64" t="str">
        <f t="shared" si="44"/>
        <v>-</v>
      </c>
    </row>
    <row r="97" spans="1:14" ht="12.75" customHeight="1" outlineLevel="3" x14ac:dyDescent="0.2">
      <c r="A97" s="8"/>
      <c r="B97" s="51" t="str">
        <f t="shared" si="46"/>
        <v>Выплаты при увольнении</v>
      </c>
      <c r="C97" s="52" t="str">
        <f t="shared" si="46"/>
        <v>Direct severance payments - cash</v>
      </c>
      <c r="D97" s="53">
        <v>0</v>
      </c>
      <c r="E97" s="54">
        <v>0</v>
      </c>
      <c r="F97" s="47">
        <f>D97-E97</f>
        <v>0</v>
      </c>
      <c r="G97" s="48" t="str">
        <f t="shared" si="27"/>
        <v>-</v>
      </c>
      <c r="H97" s="49">
        <v>4443000</v>
      </c>
      <c r="I97" s="49">
        <v>0</v>
      </c>
      <c r="J97" s="47">
        <f>H97-I97</f>
        <v>4443000</v>
      </c>
      <c r="K97" s="48" t="str">
        <f t="shared" si="28"/>
        <v>-</v>
      </c>
      <c r="L97" s="49">
        <v>1320000</v>
      </c>
      <c r="M97" s="47">
        <f>H97-L97</f>
        <v>3123000</v>
      </c>
      <c r="N97" s="55">
        <f t="shared" si="44"/>
        <v>2.3659090909090907</v>
      </c>
    </row>
    <row r="98" spans="1:14" ht="12.75" customHeight="1" outlineLevel="3" x14ac:dyDescent="0.2">
      <c r="A98" s="8"/>
      <c r="B98" s="51" t="str">
        <f t="shared" si="46"/>
        <v>Страховые взносы выплаты при увольнении</v>
      </c>
      <c r="C98" s="52" t="str">
        <f t="shared" si="46"/>
        <v>Social Security on Severance</v>
      </c>
      <c r="D98" s="53">
        <v>0</v>
      </c>
      <c r="E98" s="54">
        <v>0</v>
      </c>
      <c r="F98" s="47">
        <f t="shared" ref="F98:F99" si="53">D98-E98</f>
        <v>0</v>
      </c>
      <c r="G98" s="48" t="str">
        <f t="shared" si="27"/>
        <v>-</v>
      </c>
      <c r="H98" s="49">
        <v>32028.32</v>
      </c>
      <c r="I98" s="49">
        <v>0</v>
      </c>
      <c r="J98" s="47">
        <f t="shared" ref="J98:J99" si="54">H98-I98</f>
        <v>32028.32</v>
      </c>
      <c r="K98" s="48" t="str">
        <f t="shared" si="28"/>
        <v>-</v>
      </c>
      <c r="L98" s="49">
        <v>32028.32</v>
      </c>
      <c r="M98" s="47">
        <f t="shared" ref="M98:M99" si="55">H98-L98</f>
        <v>0</v>
      </c>
      <c r="N98" s="55">
        <f t="shared" si="44"/>
        <v>0</v>
      </c>
    </row>
    <row r="99" spans="1:14" s="65" customFormat="1" outlineLevel="2" x14ac:dyDescent="0.2">
      <c r="A99" s="56"/>
      <c r="B99" s="57" t="str">
        <f t="shared" si="46"/>
        <v>Итого выплаты при увольнении</v>
      </c>
      <c r="C99" s="58" t="str">
        <f t="shared" si="46"/>
        <v>Total Direct severance payments - cash</v>
      </c>
      <c r="D99" s="59">
        <f>SUM(D97:D98)</f>
        <v>0</v>
      </c>
      <c r="E99" s="60">
        <f>SUM(E97:E98)</f>
        <v>0</v>
      </c>
      <c r="F99" s="61">
        <f t="shared" si="53"/>
        <v>0</v>
      </c>
      <c r="G99" s="62" t="str">
        <f t="shared" si="27"/>
        <v>-</v>
      </c>
      <c r="H99" s="63">
        <f>SUM(H97:H98)</f>
        <v>4475028.32</v>
      </c>
      <c r="I99" s="63">
        <f>SUM(I97:I98)</f>
        <v>0</v>
      </c>
      <c r="J99" s="61">
        <f t="shared" si="54"/>
        <v>4475028.32</v>
      </c>
      <c r="K99" s="62" t="str">
        <f t="shared" si="28"/>
        <v>-</v>
      </c>
      <c r="L99" s="63">
        <f>SUM(L97:L98)</f>
        <v>1352028.32</v>
      </c>
      <c r="M99" s="61">
        <f t="shared" si="55"/>
        <v>3123000</v>
      </c>
      <c r="N99" s="64">
        <f t="shared" si="44"/>
        <v>2.30986285849397</v>
      </c>
    </row>
    <row r="100" spans="1:14" ht="12.75" customHeight="1" outlineLevel="3" x14ac:dyDescent="0.2">
      <c r="B100" s="51" t="str">
        <f t="shared" si="46"/>
        <v>Отложенное вознаграждение</v>
      </c>
      <c r="C100" s="52" t="str">
        <f t="shared" si="46"/>
        <v>Deferred Compensation</v>
      </c>
      <c r="D100" s="53">
        <v>0</v>
      </c>
      <c r="E100" s="54">
        <v>0</v>
      </c>
      <c r="F100" s="47">
        <f>D100-E100</f>
        <v>0</v>
      </c>
      <c r="G100" s="48" t="str">
        <f t="shared" si="27"/>
        <v>-</v>
      </c>
      <c r="H100" s="49">
        <v>0</v>
      </c>
      <c r="I100" s="49">
        <v>1320000</v>
      </c>
      <c r="J100" s="47">
        <f>H100-I100</f>
        <v>-1320000</v>
      </c>
      <c r="K100" s="48">
        <f t="shared" si="28"/>
        <v>-1</v>
      </c>
      <c r="L100" s="49">
        <v>0</v>
      </c>
      <c r="M100" s="47">
        <f>H100-L100</f>
        <v>0</v>
      </c>
      <c r="N100" s="55" t="str">
        <f t="shared" si="44"/>
        <v>-</v>
      </c>
    </row>
    <row r="101" spans="1:14" ht="12.75" customHeight="1" outlineLevel="3" x14ac:dyDescent="0.2">
      <c r="B101" s="51" t="str">
        <f t="shared" si="46"/>
        <v>Страховые взносы отложенное вознаграждение</v>
      </c>
      <c r="C101" s="52" t="str">
        <f t="shared" si="46"/>
        <v>Social Security on Deferrals</v>
      </c>
      <c r="D101" s="53">
        <v>0</v>
      </c>
      <c r="E101" s="54">
        <v>0</v>
      </c>
      <c r="F101" s="47">
        <f t="shared" ref="F101:F103" si="56">D101-E101</f>
        <v>0</v>
      </c>
      <c r="G101" s="48" t="str">
        <f t="shared" si="27"/>
        <v>-</v>
      </c>
      <c r="H101" s="49">
        <v>0</v>
      </c>
      <c r="I101" s="49">
        <v>32028.32</v>
      </c>
      <c r="J101" s="47">
        <f t="shared" ref="J101:J103" si="57">H101-I101</f>
        <v>-32028.32</v>
      </c>
      <c r="K101" s="48">
        <f t="shared" si="28"/>
        <v>-1</v>
      </c>
      <c r="L101" s="49">
        <v>0</v>
      </c>
      <c r="M101" s="47">
        <f t="shared" ref="M101:M103" si="58">H101-L101</f>
        <v>0</v>
      </c>
      <c r="N101" s="55" t="str">
        <f t="shared" si="44"/>
        <v>-</v>
      </c>
    </row>
    <row r="102" spans="1:14" s="65" customFormat="1" outlineLevel="2" x14ac:dyDescent="0.2">
      <c r="B102" s="57" t="str">
        <f t="shared" si="46"/>
        <v>Итого отложенное вознаграждение</v>
      </c>
      <c r="C102" s="58" t="str">
        <f t="shared" si="46"/>
        <v>Deferred Compensation</v>
      </c>
      <c r="D102" s="59">
        <f>SUM(D100:D101)</f>
        <v>0</v>
      </c>
      <c r="E102" s="60">
        <f>SUM(E100:E101)</f>
        <v>0</v>
      </c>
      <c r="F102" s="61">
        <f t="shared" si="56"/>
        <v>0</v>
      </c>
      <c r="G102" s="62" t="str">
        <f t="shared" si="27"/>
        <v>-</v>
      </c>
      <c r="H102" s="63">
        <f>SUM(H100:H101)</f>
        <v>0</v>
      </c>
      <c r="I102" s="63">
        <f>SUM(I100:I101)</f>
        <v>1352028.32</v>
      </c>
      <c r="J102" s="61">
        <f t="shared" si="57"/>
        <v>-1352028.32</v>
      </c>
      <c r="K102" s="62">
        <f t="shared" si="28"/>
        <v>-1</v>
      </c>
      <c r="L102" s="63">
        <f>SUM(L100:L101)</f>
        <v>0</v>
      </c>
      <c r="M102" s="61">
        <f t="shared" si="58"/>
        <v>0</v>
      </c>
      <c r="N102" s="64" t="str">
        <f t="shared" si="44"/>
        <v>-</v>
      </c>
    </row>
    <row r="103" spans="1:14" s="65" customFormat="1" outlineLevel="1" x14ac:dyDescent="0.2">
      <c r="A103" s="56"/>
      <c r="B103" s="73" t="str">
        <f t="shared" si="46"/>
        <v>Прочие компенсационные выплаты</v>
      </c>
      <c r="C103" s="74" t="str">
        <f t="shared" si="46"/>
        <v>Other Compensations</v>
      </c>
      <c r="D103" s="70">
        <f>D93+D96+D99+D102</f>
        <v>22208677</v>
      </c>
      <c r="E103" s="71">
        <f>E93+E96+E99+E102</f>
        <v>0</v>
      </c>
      <c r="F103" s="61">
        <f t="shared" si="56"/>
        <v>22208677</v>
      </c>
      <c r="G103" s="62" t="str">
        <f t="shared" si="27"/>
        <v>-</v>
      </c>
      <c r="H103" s="72">
        <f>H93+H96+H99+H102</f>
        <v>27098305.32</v>
      </c>
      <c r="I103" s="72">
        <f>I93+I96+I99+I102</f>
        <v>1628268.32</v>
      </c>
      <c r="J103" s="61">
        <f t="shared" si="57"/>
        <v>25470037</v>
      </c>
      <c r="K103" s="62">
        <f t="shared" si="28"/>
        <v>15.642407757463463</v>
      </c>
      <c r="L103" s="72">
        <f>L93+L96+L99+L102</f>
        <v>1628268.32</v>
      </c>
      <c r="M103" s="61">
        <f t="shared" si="58"/>
        <v>25470037</v>
      </c>
      <c r="N103" s="64">
        <f t="shared" si="44"/>
        <v>15.642407757463463</v>
      </c>
    </row>
    <row r="104" spans="1:14" ht="12.75" customHeight="1" outlineLevel="3" x14ac:dyDescent="0.2">
      <c r="B104" s="51" t="str">
        <f t="shared" si="46"/>
        <v>Резерв квартальной премии</v>
      </c>
      <c r="C104" s="52" t="str">
        <f t="shared" si="46"/>
        <v>Accruals for Quarterly bonus</v>
      </c>
      <c r="D104" s="53">
        <v>0</v>
      </c>
      <c r="E104" s="54">
        <v>0</v>
      </c>
      <c r="F104" s="47">
        <f>D104-E104</f>
        <v>0</v>
      </c>
      <c r="G104" s="48" t="str">
        <f t="shared" si="27"/>
        <v>-</v>
      </c>
      <c r="H104" s="49">
        <v>0</v>
      </c>
      <c r="I104" s="49">
        <v>0</v>
      </c>
      <c r="J104" s="47">
        <f>H104-I104</f>
        <v>0</v>
      </c>
      <c r="K104" s="48" t="str">
        <f t="shared" si="28"/>
        <v>-</v>
      </c>
      <c r="L104" s="49">
        <v>0</v>
      </c>
      <c r="M104" s="47">
        <f>H104-L104</f>
        <v>0</v>
      </c>
      <c r="N104" s="55" t="str">
        <f t="shared" si="44"/>
        <v>-</v>
      </c>
    </row>
    <row r="105" spans="1:14" ht="12.75" customHeight="1" outlineLevel="3" x14ac:dyDescent="0.2">
      <c r="B105" s="51" t="str">
        <f t="shared" si="46"/>
        <v>Страховые взносы резерв квартальной премии</v>
      </c>
      <c r="C105" s="52" t="str">
        <f t="shared" si="46"/>
        <v>Social Security on Accruals for Quarterly bonus</v>
      </c>
      <c r="D105" s="53">
        <v>0</v>
      </c>
      <c r="E105" s="54">
        <v>0</v>
      </c>
      <c r="F105" s="47">
        <f t="shared" ref="F105:F106" si="59">D105-E105</f>
        <v>0</v>
      </c>
      <c r="G105" s="48" t="str">
        <f t="shared" si="27"/>
        <v>-</v>
      </c>
      <c r="H105" s="49">
        <v>0</v>
      </c>
      <c r="I105" s="49">
        <v>0</v>
      </c>
      <c r="J105" s="47">
        <f t="shared" ref="J105:J106" si="60">H105-I105</f>
        <v>0</v>
      </c>
      <c r="K105" s="48" t="str">
        <f t="shared" si="28"/>
        <v>-</v>
      </c>
      <c r="L105" s="49">
        <v>0</v>
      </c>
      <c r="M105" s="47">
        <f t="shared" ref="M105:M106" si="61">H105-L105</f>
        <v>0</v>
      </c>
      <c r="N105" s="55" t="str">
        <f t="shared" si="44"/>
        <v>-</v>
      </c>
    </row>
    <row r="106" spans="1:14" s="65" customFormat="1" outlineLevel="2" x14ac:dyDescent="0.2">
      <c r="A106" s="56"/>
      <c r="B106" s="57" t="str">
        <f t="shared" si="46"/>
        <v>Итого резерв квартальной премии</v>
      </c>
      <c r="C106" s="75" t="str">
        <f t="shared" si="46"/>
        <v>Total Accruals for Quarterly bonus</v>
      </c>
      <c r="D106" s="59">
        <f>SUM(D104:D105)</f>
        <v>0</v>
      </c>
      <c r="E106" s="60">
        <f>SUM(E104:E105)</f>
        <v>0</v>
      </c>
      <c r="F106" s="61">
        <f t="shared" si="59"/>
        <v>0</v>
      </c>
      <c r="G106" s="62" t="str">
        <f t="shared" si="27"/>
        <v>-</v>
      </c>
      <c r="H106" s="63">
        <f>SUM(H104:H105)</f>
        <v>0</v>
      </c>
      <c r="I106" s="63">
        <f>SUM(I104:I105)</f>
        <v>0</v>
      </c>
      <c r="J106" s="61">
        <f t="shared" si="60"/>
        <v>0</v>
      </c>
      <c r="K106" s="62" t="str">
        <f t="shared" si="28"/>
        <v>-</v>
      </c>
      <c r="L106" s="63">
        <f>SUM(L104:L105)</f>
        <v>0</v>
      </c>
      <c r="M106" s="61">
        <f t="shared" si="61"/>
        <v>0</v>
      </c>
      <c r="N106" s="64" t="str">
        <f t="shared" si="44"/>
        <v>-</v>
      </c>
    </row>
    <row r="107" spans="1:14" ht="12.75" customHeight="1" outlineLevel="3" x14ac:dyDescent="0.2">
      <c r="B107" s="51" t="str">
        <f t="shared" si="46"/>
        <v>Сторно резерва квартальной премии</v>
      </c>
      <c r="C107" s="76" t="str">
        <f t="shared" si="46"/>
        <v>Reverse Accruals for Quarterly bonus</v>
      </c>
      <c r="D107" s="53">
        <v>0</v>
      </c>
      <c r="E107" s="54">
        <v>0</v>
      </c>
      <c r="F107" s="47">
        <f>D107-E107</f>
        <v>0</v>
      </c>
      <c r="G107" s="48" t="str">
        <f t="shared" si="27"/>
        <v>-</v>
      </c>
      <c r="H107" s="49">
        <v>0</v>
      </c>
      <c r="I107" s="49">
        <v>0</v>
      </c>
      <c r="J107" s="47">
        <f>H107-I107</f>
        <v>0</v>
      </c>
      <c r="K107" s="48" t="str">
        <f t="shared" si="28"/>
        <v>-</v>
      </c>
      <c r="L107" s="49">
        <v>0</v>
      </c>
      <c r="M107" s="47">
        <f>H107-L107</f>
        <v>0</v>
      </c>
      <c r="N107" s="55" t="str">
        <f t="shared" si="44"/>
        <v>-</v>
      </c>
    </row>
    <row r="108" spans="1:14" ht="12.75" customHeight="1" outlineLevel="3" x14ac:dyDescent="0.2">
      <c r="B108" s="51" t="str">
        <f t="shared" ref="B108:C123" si="62">B45</f>
        <v>Страховые взносы, сторно резерва квартальной премии</v>
      </c>
      <c r="C108" s="76" t="str">
        <f t="shared" si="62"/>
        <v>Social Security on Reverse Accruals for Quarterly bonus</v>
      </c>
      <c r="D108" s="53">
        <v>0</v>
      </c>
      <c r="E108" s="54">
        <v>0</v>
      </c>
      <c r="F108" s="47">
        <f t="shared" ref="F108:F109" si="63">D108-E108</f>
        <v>0</v>
      </c>
      <c r="G108" s="48" t="str">
        <f t="shared" si="27"/>
        <v>-</v>
      </c>
      <c r="H108" s="49">
        <v>0</v>
      </c>
      <c r="I108" s="49">
        <v>0</v>
      </c>
      <c r="J108" s="47">
        <f t="shared" ref="J108:J109" si="64">H108-I108</f>
        <v>0</v>
      </c>
      <c r="K108" s="48" t="str">
        <f t="shared" si="28"/>
        <v>-</v>
      </c>
      <c r="L108" s="49">
        <v>0</v>
      </c>
      <c r="M108" s="47">
        <f t="shared" ref="M108:M109" si="65">H108-L108</f>
        <v>0</v>
      </c>
      <c r="N108" s="55" t="str">
        <f t="shared" si="44"/>
        <v>-</v>
      </c>
    </row>
    <row r="109" spans="1:14" s="65" customFormat="1" outlineLevel="2" x14ac:dyDescent="0.2">
      <c r="A109" s="56"/>
      <c r="B109" s="57" t="str">
        <f t="shared" si="62"/>
        <v>Итого сторно резерва квартальной премии</v>
      </c>
      <c r="C109" s="75" t="str">
        <f t="shared" si="62"/>
        <v>Total Reverse Accruals for Quarterly bonus</v>
      </c>
      <c r="D109" s="59">
        <f>SUM(D107:D108)</f>
        <v>0</v>
      </c>
      <c r="E109" s="60">
        <f>SUM(E107:E108)</f>
        <v>0</v>
      </c>
      <c r="F109" s="61">
        <f t="shared" si="63"/>
        <v>0</v>
      </c>
      <c r="G109" s="62" t="str">
        <f t="shared" si="27"/>
        <v>-</v>
      </c>
      <c r="H109" s="63">
        <f>SUM(H107:H108)</f>
        <v>0</v>
      </c>
      <c r="I109" s="63">
        <f>SUM(I107:I108)</f>
        <v>0</v>
      </c>
      <c r="J109" s="61">
        <f t="shared" si="64"/>
        <v>0</v>
      </c>
      <c r="K109" s="62" t="str">
        <f t="shared" si="28"/>
        <v>-</v>
      </c>
      <c r="L109" s="63">
        <f>SUM(L107:L108)</f>
        <v>0</v>
      </c>
      <c r="M109" s="61">
        <f t="shared" si="65"/>
        <v>0</v>
      </c>
      <c r="N109" s="64" t="str">
        <f t="shared" si="44"/>
        <v>-</v>
      </c>
    </row>
    <row r="110" spans="1:14" ht="12.75" customHeight="1" outlineLevel="3" x14ac:dyDescent="0.2">
      <c r="B110" s="51" t="str">
        <f t="shared" si="62"/>
        <v>Квартальная премия, выплата</v>
      </c>
      <c r="C110" s="76" t="str">
        <f t="shared" si="62"/>
        <v>Quarterly bonus cash</v>
      </c>
      <c r="D110" s="53">
        <v>10571699.000000002</v>
      </c>
      <c r="E110" s="54">
        <f>I110/6</f>
        <v>11205664.548888899</v>
      </c>
      <c r="F110" s="47">
        <f>D110-E110</f>
        <v>-633965.54888889752</v>
      </c>
      <c r="G110" s="48">
        <f t="shared" si="27"/>
        <v>-5.657545307759182E-2</v>
      </c>
      <c r="H110" s="49">
        <v>66996249.940000072</v>
      </c>
      <c r="I110" s="49">
        <v>67233987.293333396</v>
      </c>
      <c r="J110" s="47">
        <f>H110-I110</f>
        <v>-237737.35333332419</v>
      </c>
      <c r="K110" s="48">
        <f t="shared" si="28"/>
        <v>-3.5359698703589793E-3</v>
      </c>
      <c r="L110" s="49">
        <v>133992500</v>
      </c>
      <c r="M110" s="47">
        <f>H110-L110</f>
        <v>-66996250.059999928</v>
      </c>
      <c r="N110" s="55">
        <f t="shared" si="44"/>
        <v>-0.5000000004477857</v>
      </c>
    </row>
    <row r="111" spans="1:14" ht="12.75" customHeight="1" outlineLevel="3" x14ac:dyDescent="0.2">
      <c r="B111" s="51" t="str">
        <f t="shared" si="62"/>
        <v>Страховые взносы, квартальная премия выплата</v>
      </c>
      <c r="C111" s="76" t="str">
        <f t="shared" si="62"/>
        <v>Social Security on quarterly cash</v>
      </c>
      <c r="D111" s="77">
        <v>268624.99999999907</v>
      </c>
      <c r="E111" s="78">
        <f>I111/6</f>
        <v>2185523.9722222169</v>
      </c>
      <c r="F111" s="47">
        <f t="shared" ref="F111:F114" si="66">D111-E111</f>
        <v>-1916898.9722222178</v>
      </c>
      <c r="G111" s="48">
        <f t="shared" si="27"/>
        <v>-0.87708897115099405</v>
      </c>
      <c r="H111" s="79">
        <v>12394306.500000004</v>
      </c>
      <c r="I111" s="79">
        <v>13113143.8333333</v>
      </c>
      <c r="J111" s="47">
        <f t="shared" ref="J111:J114" si="67">H111-I111</f>
        <v>-718837.3333332967</v>
      </c>
      <c r="K111" s="48">
        <f t="shared" si="28"/>
        <v>-5.4818077378670171E-2</v>
      </c>
      <c r="L111" s="79">
        <v>24788612.5</v>
      </c>
      <c r="M111" s="47">
        <f t="shared" ref="M111:M114" si="68">H111-L111</f>
        <v>-12394305.999999996</v>
      </c>
      <c r="N111" s="55">
        <f t="shared" si="44"/>
        <v>-0.49999998991472377</v>
      </c>
    </row>
    <row r="112" spans="1:14" s="65" customFormat="1" outlineLevel="2" x14ac:dyDescent="0.2">
      <c r="A112" s="56"/>
      <c r="B112" s="57" t="str">
        <f t="shared" si="62"/>
        <v>Итого квртальная премия, выплата</v>
      </c>
      <c r="C112" s="75" t="str">
        <f t="shared" si="62"/>
        <v>Total Quarterly bonus cash</v>
      </c>
      <c r="D112" s="59">
        <f>SUM(D110:D111)</f>
        <v>10840324</v>
      </c>
      <c r="E112" s="60">
        <f>SUM(E110:E111)</f>
        <v>13391188.521111116</v>
      </c>
      <c r="F112" s="61">
        <f t="shared" si="66"/>
        <v>-2550864.5211111158</v>
      </c>
      <c r="G112" s="62">
        <f t="shared" si="27"/>
        <v>-0.19048828392563477</v>
      </c>
      <c r="H112" s="63">
        <f>SUM(H110:H111)</f>
        <v>79390556.440000072</v>
      </c>
      <c r="I112" s="63">
        <f>SUM(I110:I111)</f>
        <v>80347131.126666695</v>
      </c>
      <c r="J112" s="61">
        <f t="shared" si="67"/>
        <v>-956574.68666662276</v>
      </c>
      <c r="K112" s="62">
        <f t="shared" si="28"/>
        <v>-1.1905523859446654E-2</v>
      </c>
      <c r="L112" s="63">
        <f>SUM(L110:L111)</f>
        <v>158781112.5</v>
      </c>
      <c r="M112" s="61">
        <f t="shared" si="68"/>
        <v>-79390556.059999928</v>
      </c>
      <c r="N112" s="64">
        <f t="shared" si="44"/>
        <v>-0.49999999880338369</v>
      </c>
    </row>
    <row r="113" spans="1:14" s="65" customFormat="1" outlineLevel="1" x14ac:dyDescent="0.2">
      <c r="A113" s="56"/>
      <c r="B113" s="68" t="str">
        <f t="shared" si="62"/>
        <v>Квартальная премия</v>
      </c>
      <c r="C113" s="80" t="str">
        <f t="shared" si="62"/>
        <v>Quarterly bonus</v>
      </c>
      <c r="D113" s="70">
        <f>D112+D109+D106</f>
        <v>10840324</v>
      </c>
      <c r="E113" s="71">
        <f>E112+E109+E106</f>
        <v>13391188.521111116</v>
      </c>
      <c r="F113" s="61">
        <f t="shared" si="66"/>
        <v>-2550864.5211111158</v>
      </c>
      <c r="G113" s="62">
        <f t="shared" si="27"/>
        <v>-0.19048828392563477</v>
      </c>
      <c r="H113" s="72">
        <f t="shared" ref="H113" si="69">H112+H109+H106</f>
        <v>79390556.440000072</v>
      </c>
      <c r="I113" s="72">
        <f>I112+I109+I106</f>
        <v>80347131.126666695</v>
      </c>
      <c r="J113" s="61">
        <f t="shared" si="67"/>
        <v>-956574.68666662276</v>
      </c>
      <c r="K113" s="62">
        <f t="shared" si="28"/>
        <v>-1.1905523859446654E-2</v>
      </c>
      <c r="L113" s="72">
        <f>L112+L109+L106</f>
        <v>158781112.5</v>
      </c>
      <c r="M113" s="61">
        <f t="shared" si="68"/>
        <v>-79390556.059999928</v>
      </c>
      <c r="N113" s="64">
        <f t="shared" si="44"/>
        <v>-0.49999999880338369</v>
      </c>
    </row>
    <row r="114" spans="1:14" s="65" customFormat="1" x14ac:dyDescent="0.2">
      <c r="B114" s="81" t="str">
        <f t="shared" si="62"/>
        <v>ФОТ до бонуса</v>
      </c>
      <c r="C114" s="82" t="str">
        <f t="shared" si="62"/>
        <v>FIX compensation before Bonus</v>
      </c>
      <c r="D114" s="83">
        <f>D113+D103+D90+D87</f>
        <v>252295147.18000001</v>
      </c>
      <c r="E114" s="84">
        <f>E113+E103+E90+E87</f>
        <v>239120274.00648364</v>
      </c>
      <c r="F114" s="85">
        <f t="shared" si="66"/>
        <v>13174873.173516363</v>
      </c>
      <c r="G114" s="86">
        <f t="shared" si="27"/>
        <v>5.5097265291520703E-2</v>
      </c>
      <c r="H114" s="87">
        <f>H113+H103+H90+H87</f>
        <v>1678249346.3999999</v>
      </c>
      <c r="I114" s="84">
        <f>I113+I103+I90+I87</f>
        <v>1438699063.078902</v>
      </c>
      <c r="J114" s="85">
        <f t="shared" si="67"/>
        <v>239550283.32109785</v>
      </c>
      <c r="K114" s="86">
        <f t="shared" si="28"/>
        <v>0.1665047885750659</v>
      </c>
      <c r="L114" s="87">
        <f>L113+L103+L90+L87</f>
        <v>2881302093.2137766</v>
      </c>
      <c r="M114" s="85">
        <f t="shared" si="68"/>
        <v>-1203052746.8137767</v>
      </c>
      <c r="N114" s="88">
        <f t="shared" si="44"/>
        <v>-0.41753787277192561</v>
      </c>
    </row>
    <row r="115" spans="1:14" ht="12.75" customHeight="1" outlineLevel="3" x14ac:dyDescent="0.2">
      <c r="B115" s="51" t="str">
        <f t="shared" si="62"/>
        <v>Резерв бонуса прошлых лет</v>
      </c>
      <c r="C115" s="76" t="str">
        <f t="shared" si="62"/>
        <v>Under-/overaccruals - cash</v>
      </c>
      <c r="D115" s="77">
        <v>0</v>
      </c>
      <c r="E115" s="54">
        <v>0</v>
      </c>
      <c r="F115" s="47">
        <f>D115-E115</f>
        <v>0</v>
      </c>
      <c r="G115" s="48" t="str">
        <f t="shared" si="27"/>
        <v>-</v>
      </c>
      <c r="H115" s="79">
        <v>-1030559766.46</v>
      </c>
      <c r="I115" s="79">
        <v>-1030559766.46</v>
      </c>
      <c r="J115" s="47">
        <f>H115-I115</f>
        <v>0</v>
      </c>
      <c r="K115" s="48">
        <f t="shared" si="28"/>
        <v>0</v>
      </c>
      <c r="L115" s="79">
        <v>-1030559766.46</v>
      </c>
      <c r="M115" s="47">
        <f>H115-L115</f>
        <v>0</v>
      </c>
      <c r="N115" s="55">
        <f t="shared" si="44"/>
        <v>0</v>
      </c>
    </row>
    <row r="116" spans="1:14" ht="12.75" customHeight="1" outlineLevel="3" x14ac:dyDescent="0.2">
      <c r="B116" s="51" t="str">
        <f t="shared" si="62"/>
        <v>Страховые взносы, резерв бонуса прошлых лет</v>
      </c>
      <c r="C116" s="76" t="str">
        <f t="shared" si="62"/>
        <v>Under-/overaccruals - contribution to social secur</v>
      </c>
      <c r="D116" s="77">
        <v>0</v>
      </c>
      <c r="E116" s="54">
        <v>0</v>
      </c>
      <c r="F116" s="47">
        <f t="shared" ref="F116:F118" si="70">D116-E116</f>
        <v>0</v>
      </c>
      <c r="G116" s="48" t="str">
        <f t="shared" si="27"/>
        <v>-</v>
      </c>
      <c r="H116" s="79">
        <v>-305311883.32000005</v>
      </c>
      <c r="I116" s="79">
        <v>-281392275.22000003</v>
      </c>
      <c r="J116" s="47">
        <f t="shared" ref="J116:J118" si="71">H116-I116</f>
        <v>-23919608.100000024</v>
      </c>
      <c r="K116" s="48">
        <f t="shared" si="28"/>
        <v>8.5004494459910207E-2</v>
      </c>
      <c r="L116" s="79">
        <v>-281392275.22000003</v>
      </c>
      <c r="M116" s="47">
        <f t="shared" ref="M116:M118" si="72">H116-L116</f>
        <v>-23919608.100000024</v>
      </c>
      <c r="N116" s="55">
        <f t="shared" si="44"/>
        <v>8.5004494459910221E-2</v>
      </c>
    </row>
    <row r="117" spans="1:14" s="65" customFormat="1" ht="14.45" customHeight="1" outlineLevel="1" x14ac:dyDescent="0.2">
      <c r="A117" s="56"/>
      <c r="B117" s="68" t="str">
        <f t="shared" si="62"/>
        <v>Итого Резерв бонуса прошлых лет</v>
      </c>
      <c r="C117" s="80" t="str">
        <f t="shared" si="62"/>
        <v>Total Under-/overaccruals - cash</v>
      </c>
      <c r="D117" s="70">
        <f>SUM(D115:D116)</f>
        <v>0</v>
      </c>
      <c r="E117" s="71">
        <f>SUM(E115:E116)</f>
        <v>0</v>
      </c>
      <c r="F117" s="61">
        <f t="shared" si="70"/>
        <v>0</v>
      </c>
      <c r="G117" s="62" t="str">
        <f t="shared" si="27"/>
        <v>-</v>
      </c>
      <c r="H117" s="72">
        <f>SUM(H115:H116)</f>
        <v>-1335871649.7800002</v>
      </c>
      <c r="I117" s="72">
        <f>SUM(I115:I116)</f>
        <v>-1311952041.6800001</v>
      </c>
      <c r="J117" s="61">
        <f t="shared" si="71"/>
        <v>-23919608.100000143</v>
      </c>
      <c r="K117" s="62">
        <f t="shared" si="28"/>
        <v>1.8232075060739428E-2</v>
      </c>
      <c r="L117" s="72">
        <f>SUM(L115:L116)</f>
        <v>-1311952041.6800001</v>
      </c>
      <c r="M117" s="61">
        <f t="shared" si="72"/>
        <v>-23919608.100000143</v>
      </c>
      <c r="N117" s="64">
        <f t="shared" si="44"/>
        <v>1.8232075060739459E-2</v>
      </c>
    </row>
    <row r="118" spans="1:14" s="65" customFormat="1" x14ac:dyDescent="0.2">
      <c r="B118" s="81" t="str">
        <f t="shared" si="62"/>
        <v>Резерв бонуса прошлых лет</v>
      </c>
      <c r="C118" s="82" t="str">
        <f t="shared" si="62"/>
        <v>Under-/overaccruals - cash</v>
      </c>
      <c r="D118" s="83">
        <f>D117</f>
        <v>0</v>
      </c>
      <c r="E118" s="84">
        <f>E117</f>
        <v>0</v>
      </c>
      <c r="F118" s="85">
        <f t="shared" si="70"/>
        <v>0</v>
      </c>
      <c r="G118" s="86" t="str">
        <f t="shared" si="27"/>
        <v>-</v>
      </c>
      <c r="H118" s="87">
        <f>H117</f>
        <v>-1335871649.7800002</v>
      </c>
      <c r="I118" s="84">
        <f>I117</f>
        <v>-1311952041.6800001</v>
      </c>
      <c r="J118" s="85">
        <f t="shared" si="71"/>
        <v>-23919608.100000143</v>
      </c>
      <c r="K118" s="86">
        <f t="shared" si="28"/>
        <v>1.8232075060739428E-2</v>
      </c>
      <c r="L118" s="87">
        <f>L117</f>
        <v>-1311952041.6800001</v>
      </c>
      <c r="M118" s="85">
        <f t="shared" si="72"/>
        <v>-23919608.100000143</v>
      </c>
      <c r="N118" s="88">
        <f t="shared" si="44"/>
        <v>1.8232075060739459E-2</v>
      </c>
    </row>
    <row r="119" spans="1:14" ht="12.75" customHeight="1" outlineLevel="3" x14ac:dyDescent="0.2">
      <c r="B119" s="51" t="str">
        <f t="shared" si="62"/>
        <v>Резерв годового бонуса</v>
      </c>
      <c r="C119" s="76" t="str">
        <f t="shared" si="62"/>
        <v>Bonus discretionary Accrual</v>
      </c>
      <c r="D119" s="77">
        <v>0</v>
      </c>
      <c r="E119" s="54">
        <v>0</v>
      </c>
      <c r="F119" s="47">
        <f>D119-E119</f>
        <v>0</v>
      </c>
      <c r="G119" s="48" t="str">
        <f t="shared" si="27"/>
        <v>-</v>
      </c>
      <c r="H119" s="79">
        <v>0</v>
      </c>
      <c r="I119" s="79">
        <v>0</v>
      </c>
      <c r="J119" s="47">
        <f>H119-I119</f>
        <v>0</v>
      </c>
      <c r="K119" s="48" t="str">
        <f t="shared" si="28"/>
        <v>-</v>
      </c>
      <c r="L119" s="79">
        <v>0</v>
      </c>
      <c r="M119" s="47">
        <f>H119-L119</f>
        <v>0</v>
      </c>
      <c r="N119" s="55" t="str">
        <f t="shared" si="44"/>
        <v>-</v>
      </c>
    </row>
    <row r="120" spans="1:14" ht="12.75" customHeight="1" outlineLevel="3" x14ac:dyDescent="0.2">
      <c r="B120" s="51" t="str">
        <f t="shared" si="62"/>
        <v>Страховые взносы, резерв годового бонуса</v>
      </c>
      <c r="C120" s="76" t="str">
        <f t="shared" si="62"/>
        <v>Social Security on discretionary Bonus Accrual</v>
      </c>
      <c r="D120" s="53">
        <v>0</v>
      </c>
      <c r="E120" s="54">
        <v>0</v>
      </c>
      <c r="F120" s="47">
        <f t="shared" ref="F120:F121" si="73">D120-E120</f>
        <v>0</v>
      </c>
      <c r="G120" s="48" t="str">
        <f t="shared" si="27"/>
        <v>-</v>
      </c>
      <c r="H120" s="49">
        <v>0</v>
      </c>
      <c r="I120" s="49">
        <v>0</v>
      </c>
      <c r="J120" s="47">
        <f t="shared" ref="J120:J121" si="74">H120-I120</f>
        <v>0</v>
      </c>
      <c r="K120" s="48" t="str">
        <f t="shared" si="28"/>
        <v>-</v>
      </c>
      <c r="L120" s="49">
        <v>0</v>
      </c>
      <c r="M120" s="47">
        <f t="shared" ref="M120:M121" si="75">H120-L120</f>
        <v>0</v>
      </c>
      <c r="N120" s="55" t="str">
        <f t="shared" si="44"/>
        <v>-</v>
      </c>
    </row>
    <row r="121" spans="1:14" s="65" customFormat="1" outlineLevel="2" x14ac:dyDescent="0.2">
      <c r="A121" s="56"/>
      <c r="B121" s="57" t="str">
        <f t="shared" si="62"/>
        <v>Итого резерв годового бонуса</v>
      </c>
      <c r="C121" s="75" t="str">
        <f t="shared" si="62"/>
        <v>Total Bonus discretionary Accrual</v>
      </c>
      <c r="D121" s="59">
        <f>SUM(D119:D120)</f>
        <v>0</v>
      </c>
      <c r="E121" s="60">
        <f>SUM(E119:E120)</f>
        <v>0</v>
      </c>
      <c r="F121" s="61">
        <f t="shared" si="73"/>
        <v>0</v>
      </c>
      <c r="G121" s="62" t="str">
        <f t="shared" si="27"/>
        <v>-</v>
      </c>
      <c r="H121" s="63">
        <f>SUM(H119:H120)</f>
        <v>0</v>
      </c>
      <c r="I121" s="63">
        <f>SUM(I119:I120)</f>
        <v>0</v>
      </c>
      <c r="J121" s="61">
        <f t="shared" si="74"/>
        <v>0</v>
      </c>
      <c r="K121" s="62" t="str">
        <f t="shared" si="28"/>
        <v>-</v>
      </c>
      <c r="L121" s="63">
        <f>SUM(L119:L120)</f>
        <v>0</v>
      </c>
      <c r="M121" s="61">
        <f t="shared" si="75"/>
        <v>0</v>
      </c>
      <c r="N121" s="64" t="str">
        <f t="shared" si="44"/>
        <v>-</v>
      </c>
    </row>
    <row r="122" spans="1:14" ht="12.75" customHeight="1" outlineLevel="3" x14ac:dyDescent="0.2">
      <c r="B122" s="51" t="str">
        <f t="shared" si="62"/>
        <v>Сторно резерва годового бонуса бонуса</v>
      </c>
      <c r="C122" s="76" t="str">
        <f t="shared" si="62"/>
        <v>Reverse Bonus discretionary Accrual</v>
      </c>
      <c r="D122" s="53">
        <v>0</v>
      </c>
      <c r="E122" s="54">
        <v>0</v>
      </c>
      <c r="F122" s="47">
        <f>D122-E122</f>
        <v>0</v>
      </c>
      <c r="G122" s="48" t="str">
        <f t="shared" si="27"/>
        <v>-</v>
      </c>
      <c r="H122" s="49">
        <v>0</v>
      </c>
      <c r="I122" s="49">
        <v>0</v>
      </c>
      <c r="J122" s="47">
        <f>H122-I122</f>
        <v>0</v>
      </c>
      <c r="K122" s="48" t="str">
        <f t="shared" si="28"/>
        <v>-</v>
      </c>
      <c r="L122" s="49">
        <v>0</v>
      </c>
      <c r="M122" s="47">
        <f>H122-L122</f>
        <v>0</v>
      </c>
      <c r="N122" s="55" t="str">
        <f t="shared" si="44"/>
        <v>-</v>
      </c>
    </row>
    <row r="123" spans="1:14" ht="12.75" customHeight="1" outlineLevel="3" x14ac:dyDescent="0.2">
      <c r="B123" s="51" t="str">
        <f t="shared" si="62"/>
        <v>Страховые взносы, сторно резерва годового бонуса</v>
      </c>
      <c r="C123" s="76" t="str">
        <f t="shared" si="62"/>
        <v>Social Security on Bonus discretionary Accrual</v>
      </c>
      <c r="D123" s="53">
        <v>0</v>
      </c>
      <c r="E123" s="54">
        <v>0</v>
      </c>
      <c r="F123" s="47">
        <f t="shared" ref="F123:F129" si="76">D123-E123</f>
        <v>0</v>
      </c>
      <c r="G123" s="48" t="str">
        <f t="shared" si="27"/>
        <v>-</v>
      </c>
      <c r="H123" s="49">
        <v>0</v>
      </c>
      <c r="I123" s="49">
        <v>0</v>
      </c>
      <c r="J123" s="47">
        <f t="shared" ref="J123:J128" si="77">H123-I123</f>
        <v>0</v>
      </c>
      <c r="K123" s="48" t="str">
        <f t="shared" si="28"/>
        <v>-</v>
      </c>
      <c r="L123" s="49">
        <v>0</v>
      </c>
      <c r="M123" s="47">
        <f t="shared" ref="M123:M124" si="78">H123-L123</f>
        <v>0</v>
      </c>
      <c r="N123" s="55" t="str">
        <f t="shared" si="44"/>
        <v>-</v>
      </c>
    </row>
    <row r="124" spans="1:14" s="65" customFormat="1" outlineLevel="2" x14ac:dyDescent="0.2">
      <c r="A124" s="56"/>
      <c r="B124" s="57" t="str">
        <f t="shared" ref="B124:C129" si="79">B61</f>
        <v>Итого сторно резерва годового бонуса</v>
      </c>
      <c r="C124" s="75" t="str">
        <f t="shared" si="79"/>
        <v>Total  Reverse Bonus discretionary Accrual</v>
      </c>
      <c r="D124" s="59">
        <f>SUM(D122:D123)</f>
        <v>0</v>
      </c>
      <c r="E124" s="60">
        <f>SUM(E122:E123)</f>
        <v>0</v>
      </c>
      <c r="F124" s="61">
        <f t="shared" si="76"/>
        <v>0</v>
      </c>
      <c r="G124" s="62" t="str">
        <f t="shared" si="27"/>
        <v>-</v>
      </c>
      <c r="H124" s="63">
        <f>SUM(H122:H123)</f>
        <v>0</v>
      </c>
      <c r="I124" s="63">
        <f>SUM(I122:I123)</f>
        <v>0</v>
      </c>
      <c r="J124" s="61">
        <f t="shared" si="77"/>
        <v>0</v>
      </c>
      <c r="K124" s="62" t="str">
        <f t="shared" si="28"/>
        <v>-</v>
      </c>
      <c r="L124" s="63">
        <f>SUM(L122:L123)</f>
        <v>0</v>
      </c>
      <c r="M124" s="61">
        <f t="shared" si="78"/>
        <v>0</v>
      </c>
      <c r="N124" s="64" t="str">
        <f t="shared" si="44"/>
        <v>-</v>
      </c>
    </row>
    <row r="125" spans="1:14" ht="12.75" customHeight="1" outlineLevel="3" x14ac:dyDescent="0.2">
      <c r="B125" s="51" t="str">
        <f t="shared" si="79"/>
        <v>Годовой бонус</v>
      </c>
      <c r="C125" s="76" t="str">
        <f t="shared" si="79"/>
        <v>Bonus discretionary cash</v>
      </c>
      <c r="D125" s="53">
        <v>-603093921</v>
      </c>
      <c r="E125" s="54">
        <f>3528170167.46521*1/12</f>
        <v>294014180.62210083</v>
      </c>
      <c r="F125" s="47">
        <f t="shared" si="76"/>
        <v>-897108101.62210083</v>
      </c>
      <c r="G125" s="48">
        <f t="shared" si="27"/>
        <v>-3.0512409290052656</v>
      </c>
      <c r="H125" s="49">
        <v>1866384464.9200001</v>
      </c>
      <c r="I125" s="49">
        <v>1764085083.7326</v>
      </c>
      <c r="J125" s="47">
        <f t="shared" si="77"/>
        <v>102299381.1874001</v>
      </c>
      <c r="K125" s="48">
        <f t="shared" si="28"/>
        <v>5.7990049420375112E-2</v>
      </c>
      <c r="L125" s="49">
        <v>3528170167.46521</v>
      </c>
      <c r="M125" s="47">
        <f>H125-L125</f>
        <v>-1661785702.5452099</v>
      </c>
      <c r="N125" s="55">
        <f t="shared" si="44"/>
        <v>-0.47100497528981394</v>
      </c>
    </row>
    <row r="126" spans="1:14" ht="12.75" customHeight="1" outlineLevel="3" x14ac:dyDescent="0.2">
      <c r="B126" s="51" t="str">
        <f t="shared" si="79"/>
        <v>Страховые взносы, годовой бонус</v>
      </c>
      <c r="C126" s="76" t="str">
        <f t="shared" si="79"/>
        <v>Social Security on discretionary Bonus cash</v>
      </c>
      <c r="D126" s="77">
        <v>-39499641</v>
      </c>
      <c r="E126" s="78">
        <f>652711480.981065*1/12</f>
        <v>54392623.41508875</v>
      </c>
      <c r="F126" s="47">
        <f t="shared" si="76"/>
        <v>-93892264.415088743</v>
      </c>
      <c r="G126" s="48">
        <f t="shared" si="27"/>
        <v>-1.7261948131930445</v>
      </c>
      <c r="H126" s="79">
        <v>352450585.80000001</v>
      </c>
      <c r="I126" s="79">
        <v>326355740.49053299</v>
      </c>
      <c r="J126" s="47">
        <f t="shared" si="77"/>
        <v>26094845.309467018</v>
      </c>
      <c r="K126" s="48">
        <f t="shared" si="28"/>
        <v>7.9958284999812834E-2</v>
      </c>
      <c r="L126" s="79">
        <v>652711480.98106503</v>
      </c>
      <c r="M126" s="47">
        <f t="shared" ref="M126:M129" si="80">H126-L126</f>
        <v>-300260895.18106502</v>
      </c>
      <c r="N126" s="55">
        <f t="shared" si="44"/>
        <v>-0.46002085750009275</v>
      </c>
    </row>
    <row r="127" spans="1:14" s="65" customFormat="1" outlineLevel="2" x14ac:dyDescent="0.2">
      <c r="A127" s="56"/>
      <c r="B127" s="57" t="str">
        <f t="shared" si="79"/>
        <v>Итого годовой бонус</v>
      </c>
      <c r="C127" s="89" t="str">
        <f t="shared" si="79"/>
        <v>Total Bonus discretionary cash</v>
      </c>
      <c r="D127" s="59">
        <f>SUM(D119:D126)</f>
        <v>-642593562</v>
      </c>
      <c r="E127" s="60">
        <f>SUM(E125:E126)</f>
        <v>348406804.0371896</v>
      </c>
      <c r="F127" s="61">
        <f t="shared" si="76"/>
        <v>-991000366.0371896</v>
      </c>
      <c r="G127" s="62">
        <f t="shared" si="27"/>
        <v>-2.8443771894058889</v>
      </c>
      <c r="H127" s="63">
        <f>SUM(H125:H126)</f>
        <v>2218835050.7200003</v>
      </c>
      <c r="I127" s="63">
        <f>SUM(I125:I126)</f>
        <v>2090440824.2231331</v>
      </c>
      <c r="J127" s="61">
        <f t="shared" si="77"/>
        <v>128394226.49686718</v>
      </c>
      <c r="K127" s="62">
        <f t="shared" si="28"/>
        <v>6.1419689574127023E-2</v>
      </c>
      <c r="L127" s="63">
        <f>SUM(L125:L126)</f>
        <v>4180881648.4462748</v>
      </c>
      <c r="M127" s="61">
        <f t="shared" si="80"/>
        <v>-1962046597.7262745</v>
      </c>
      <c r="N127" s="64">
        <f t="shared" si="44"/>
        <v>-0.46929015521293754</v>
      </c>
    </row>
    <row r="128" spans="1:14" ht="15.75" customHeight="1" x14ac:dyDescent="0.2">
      <c r="B128" s="81" t="str">
        <f t="shared" si="79"/>
        <v>Годовой бонус</v>
      </c>
      <c r="C128" s="82" t="str">
        <f t="shared" si="79"/>
        <v>Bonus discretionary</v>
      </c>
      <c r="D128" s="83">
        <f>D127+D124+D121</f>
        <v>-642593562</v>
      </c>
      <c r="E128" s="84">
        <f>E127+E124+E121</f>
        <v>348406804.0371896</v>
      </c>
      <c r="F128" s="85">
        <f t="shared" si="76"/>
        <v>-991000366.0371896</v>
      </c>
      <c r="G128" s="86">
        <f t="shared" si="27"/>
        <v>-2.8443771894058889</v>
      </c>
      <c r="H128" s="87">
        <f>H127+H124+H121</f>
        <v>2218835050.7200003</v>
      </c>
      <c r="I128" s="87">
        <f>I127+I124+I121</f>
        <v>2090440824.2231331</v>
      </c>
      <c r="J128" s="85">
        <f t="shared" si="77"/>
        <v>128394226.49686718</v>
      </c>
      <c r="K128" s="86">
        <f t="shared" si="28"/>
        <v>6.1419689574127023E-2</v>
      </c>
      <c r="L128" s="87">
        <f>L127+L124+L121</f>
        <v>4180881648.4462748</v>
      </c>
      <c r="M128" s="85">
        <f t="shared" si="80"/>
        <v>-1962046597.7262745</v>
      </c>
      <c r="N128" s="88">
        <f t="shared" si="44"/>
        <v>-0.46929015521293754</v>
      </c>
    </row>
    <row r="129" spans="1:15" s="65" customFormat="1" ht="18.75" customHeight="1" x14ac:dyDescent="0.2">
      <c r="B129" s="90" t="str">
        <f t="shared" si="79"/>
        <v>Итого компенсации и льготы</v>
      </c>
      <c r="C129" s="91" t="str">
        <f t="shared" si="79"/>
        <v>Total Compencation &amp; Benefits</v>
      </c>
      <c r="D129" s="93">
        <f>D114+D128+D118</f>
        <v>-390298414.81999999</v>
      </c>
      <c r="E129" s="93">
        <f>E114+E128+E118</f>
        <v>587527078.04367328</v>
      </c>
      <c r="F129" s="94">
        <f t="shared" si="76"/>
        <v>-977825492.86367321</v>
      </c>
      <c r="G129" s="95">
        <f t="shared" si="27"/>
        <v>-1.6643071092478015</v>
      </c>
      <c r="H129" s="96">
        <f t="shared" ref="H129:I129" si="81">H114+H128+H118</f>
        <v>2561212747.3399997</v>
      </c>
      <c r="I129" s="96">
        <f t="shared" si="81"/>
        <v>2217187845.622035</v>
      </c>
      <c r="J129" s="94">
        <f>H129-I129</f>
        <v>344024901.71796465</v>
      </c>
      <c r="K129" s="95">
        <f t="shared" si="28"/>
        <v>0.15516272218308513</v>
      </c>
      <c r="L129" s="96">
        <f>L114+L128+L118</f>
        <v>5750231699.980051</v>
      </c>
      <c r="M129" s="94">
        <f t="shared" si="80"/>
        <v>-3189018952.6400514</v>
      </c>
      <c r="N129" s="97">
        <f t="shared" si="44"/>
        <v>-0.5545896442140088</v>
      </c>
      <c r="O129" s="98"/>
    </row>
    <row r="130" spans="1:15" x14ac:dyDescent="0.2">
      <c r="N130" s="140"/>
    </row>
    <row r="131" spans="1:15" ht="16.5" customHeight="1" thickBot="1" x14ac:dyDescent="0.25">
      <c r="A131" s="8"/>
      <c r="B131" s="34" t="s">
        <v>138</v>
      </c>
      <c r="C131" s="35" t="s">
        <v>139</v>
      </c>
      <c r="D131" s="138"/>
      <c r="E131" s="37"/>
      <c r="F131" s="41"/>
      <c r="G131" s="39"/>
      <c r="H131" s="138"/>
      <c r="I131" s="41"/>
      <c r="J131" s="41"/>
      <c r="K131" s="39"/>
      <c r="L131" s="41"/>
      <c r="M131" s="38"/>
      <c r="N131" s="42"/>
    </row>
    <row r="132" spans="1:15" ht="13.5" outlineLevel="3" thickTop="1" x14ac:dyDescent="0.2">
      <c r="A132" s="8"/>
      <c r="B132" s="51" t="str">
        <f>B12</f>
        <v xml:space="preserve">Оклад </v>
      </c>
      <c r="C132" s="139" t="str">
        <f>C12</f>
        <v>Salary</v>
      </c>
      <c r="D132" s="45">
        <f>D12-D75</f>
        <v>-67804.110000014305</v>
      </c>
      <c r="E132" s="46">
        <f>E12-E75</f>
        <v>1277766.8333333433</v>
      </c>
      <c r="F132" s="47">
        <v>0</v>
      </c>
      <c r="G132" s="141">
        <v>0</v>
      </c>
      <c r="H132" s="49">
        <f>H12-H75</f>
        <v>-1887999.3099998236</v>
      </c>
      <c r="I132" s="49">
        <f>I12-I75</f>
        <v>0</v>
      </c>
      <c r="J132" s="47">
        <v>0</v>
      </c>
      <c r="K132" s="141">
        <v>0</v>
      </c>
      <c r="L132" s="49">
        <f>L12-L75</f>
        <v>0</v>
      </c>
      <c r="M132" s="47">
        <v>0</v>
      </c>
      <c r="N132" s="142" t="str">
        <f t="shared" ref="N132:N140" si="82">IFERROR(M132/L132,"-")</f>
        <v>-</v>
      </c>
    </row>
    <row r="133" spans="1:15" outlineLevel="3" x14ac:dyDescent="0.2">
      <c r="A133" s="8"/>
      <c r="B133" s="51" t="str">
        <f t="shared" ref="B133:C148" si="83">B13</f>
        <v>Страховые взносы оклад</v>
      </c>
      <c r="C133" s="52" t="str">
        <f t="shared" si="83"/>
        <v>Social securities on salaries</v>
      </c>
      <c r="D133" s="53">
        <f>D13-D76</f>
        <v>71460.629999995232</v>
      </c>
      <c r="E133" s="54">
        <f>E13-E76</f>
        <v>236386.86416666582</v>
      </c>
      <c r="F133" s="47">
        <v>0</v>
      </c>
      <c r="G133" s="143">
        <v>0</v>
      </c>
      <c r="H133" s="49">
        <f>H13-H76</f>
        <v>3362768.9100000262</v>
      </c>
      <c r="I133" s="49">
        <f>I13-I76</f>
        <v>0</v>
      </c>
      <c r="J133" s="47">
        <v>0</v>
      </c>
      <c r="K133" s="143">
        <v>0</v>
      </c>
      <c r="L133" s="49">
        <f>L13-L76</f>
        <v>0</v>
      </c>
      <c r="M133" s="47">
        <v>0</v>
      </c>
      <c r="N133" s="144" t="str">
        <f t="shared" si="82"/>
        <v>-</v>
      </c>
    </row>
    <row r="134" spans="1:15" s="65" customFormat="1" outlineLevel="2" x14ac:dyDescent="0.2">
      <c r="A134" s="56"/>
      <c r="B134" s="57" t="str">
        <f t="shared" si="83"/>
        <v>Итого оклад</v>
      </c>
      <c r="C134" s="58" t="str">
        <f t="shared" si="83"/>
        <v>Total Salary</v>
      </c>
      <c r="D134" s="59">
        <f>SUM(D132:D133)</f>
        <v>3656.5199999809265</v>
      </c>
      <c r="E134" s="60">
        <f>SUM(E132:E133)</f>
        <v>1514153.6975000091</v>
      </c>
      <c r="F134" s="61">
        <v>0</v>
      </c>
      <c r="G134" s="145">
        <v>0</v>
      </c>
      <c r="H134" s="63">
        <f t="shared" ref="H134" si="84">SUM(H132:H133)</f>
        <v>1474769.6000002027</v>
      </c>
      <c r="I134" s="63">
        <f>SUM(I132:I133)</f>
        <v>0</v>
      </c>
      <c r="J134" s="61">
        <v>0</v>
      </c>
      <c r="K134" s="145">
        <v>0</v>
      </c>
      <c r="L134" s="63">
        <f>SUM(L132:L133)</f>
        <v>0</v>
      </c>
      <c r="M134" s="61">
        <v>0</v>
      </c>
      <c r="N134" s="146" t="str">
        <f t="shared" si="82"/>
        <v>-</v>
      </c>
    </row>
    <row r="135" spans="1:15" outlineLevel="3" x14ac:dyDescent="0.2">
      <c r="A135" s="8"/>
      <c r="B135" s="66" t="str">
        <f t="shared" si="83"/>
        <v>Резерв на отпуск</v>
      </c>
      <c r="C135" s="67" t="str">
        <f t="shared" si="83"/>
        <v>Accruals for unused vacations</v>
      </c>
      <c r="D135" s="53">
        <f>D15-D78</f>
        <v>-3656.5199999809265</v>
      </c>
      <c r="E135" s="54">
        <f>E15-E78</f>
        <v>-3617.2554605826735</v>
      </c>
      <c r="F135" s="47">
        <v>0</v>
      </c>
      <c r="G135" s="143">
        <v>0</v>
      </c>
      <c r="H135" s="49">
        <f>H15-H78</f>
        <v>-2578369.6499999166</v>
      </c>
      <c r="I135" s="49">
        <f>I15-I78</f>
        <v>0</v>
      </c>
      <c r="J135" s="47">
        <v>0</v>
      </c>
      <c r="K135" s="143">
        <v>0</v>
      </c>
      <c r="L135" s="49">
        <f>L15-L78</f>
        <v>0</v>
      </c>
      <c r="M135" s="47">
        <v>0</v>
      </c>
      <c r="N135" s="144" t="str">
        <f t="shared" si="82"/>
        <v>-</v>
      </c>
    </row>
    <row r="136" spans="1:15" outlineLevel="3" x14ac:dyDescent="0.2">
      <c r="A136" s="8"/>
      <c r="B136" s="51" t="str">
        <f t="shared" si="83"/>
        <v>Страховые взносы резерв на отпуск</v>
      </c>
      <c r="C136" s="67" t="str">
        <f t="shared" si="83"/>
        <v>Social Security on accruals for unused vacations</v>
      </c>
      <c r="D136" s="53">
        <f>D16-D79</f>
        <v>0</v>
      </c>
      <c r="E136" s="54">
        <f>E16-E79</f>
        <v>-669.19226020760834</v>
      </c>
      <c r="F136" s="47">
        <v>0</v>
      </c>
      <c r="G136" s="143">
        <v>0</v>
      </c>
      <c r="H136" s="49">
        <f>H16-H79</f>
        <v>0</v>
      </c>
      <c r="I136" s="49">
        <f>I16-I79</f>
        <v>0</v>
      </c>
      <c r="J136" s="47">
        <v>0</v>
      </c>
      <c r="K136" s="143">
        <v>0</v>
      </c>
      <c r="L136" s="49">
        <f>L16-L79</f>
        <v>0</v>
      </c>
      <c r="M136" s="47">
        <v>0</v>
      </c>
      <c r="N136" s="144" t="str">
        <f t="shared" si="82"/>
        <v>-</v>
      </c>
    </row>
    <row r="137" spans="1:15" s="65" customFormat="1" outlineLevel="2" x14ac:dyDescent="0.2">
      <c r="A137" s="56"/>
      <c r="B137" s="57" t="str">
        <f t="shared" si="83"/>
        <v>Итого резерв на отпуск</v>
      </c>
      <c r="C137" s="58" t="str">
        <f t="shared" si="83"/>
        <v>Total Accruals for unused vacations</v>
      </c>
      <c r="D137" s="59">
        <f>SUM(D135:D136)</f>
        <v>-3656.5199999809265</v>
      </c>
      <c r="E137" s="60">
        <f>SUM(E135:E136)</f>
        <v>-4286.4477207902819</v>
      </c>
      <c r="F137" s="61">
        <v>0</v>
      </c>
      <c r="G137" s="145">
        <v>0</v>
      </c>
      <c r="H137" s="63">
        <f t="shared" ref="H137" si="85">SUM(H135:H136)</f>
        <v>-2578369.6499999166</v>
      </c>
      <c r="I137" s="63">
        <f>SUM(I135:I136)</f>
        <v>0</v>
      </c>
      <c r="J137" s="61">
        <v>0</v>
      </c>
      <c r="K137" s="145">
        <v>0</v>
      </c>
      <c r="L137" s="63">
        <f>SUM(L135:L136)</f>
        <v>0</v>
      </c>
      <c r="M137" s="61">
        <v>0</v>
      </c>
      <c r="N137" s="146" t="str">
        <f t="shared" si="82"/>
        <v>-</v>
      </c>
    </row>
    <row r="138" spans="1:15" outlineLevel="3" x14ac:dyDescent="0.2">
      <c r="A138" s="8"/>
      <c r="B138" s="51" t="str">
        <f t="shared" si="83"/>
        <v>Оплата больничных листов</v>
      </c>
      <c r="C138" s="52" t="str">
        <f t="shared" si="83"/>
        <v>Sick leave compensation</v>
      </c>
      <c r="D138" s="53">
        <f>D18-D81</f>
        <v>0</v>
      </c>
      <c r="E138" s="54">
        <f>E18-E81</f>
        <v>0</v>
      </c>
      <c r="F138" s="47">
        <v>0</v>
      </c>
      <c r="G138" s="143">
        <v>0</v>
      </c>
      <c r="H138" s="49">
        <f>H18-H81</f>
        <v>0</v>
      </c>
      <c r="I138" s="49">
        <f>I18-I81</f>
        <v>-1108089.5900000001</v>
      </c>
      <c r="J138" s="47">
        <v>0</v>
      </c>
      <c r="K138" s="143">
        <v>0</v>
      </c>
      <c r="L138" s="49">
        <f>L18-L81</f>
        <v>-1108089.5900000001</v>
      </c>
      <c r="M138" s="47">
        <v>0</v>
      </c>
      <c r="N138" s="144">
        <f t="shared" si="82"/>
        <v>0</v>
      </c>
    </row>
    <row r="139" spans="1:15" outlineLevel="3" x14ac:dyDescent="0.2">
      <c r="A139" s="8"/>
      <c r="B139" s="51" t="str">
        <f t="shared" si="83"/>
        <v>Страховые взносы оплата больничных листов</v>
      </c>
      <c r="C139" s="52" t="str">
        <f t="shared" si="83"/>
        <v>Social Security on Sick leave compensation</v>
      </c>
      <c r="D139" s="53">
        <f>D19-D82</f>
        <v>0</v>
      </c>
      <c r="E139" s="54">
        <f>E19-E82</f>
        <v>0</v>
      </c>
      <c r="F139" s="47">
        <v>0</v>
      </c>
      <c r="G139" s="143">
        <v>0</v>
      </c>
      <c r="H139" s="49">
        <f>H19-H82</f>
        <v>0</v>
      </c>
      <c r="I139" s="49">
        <f>I19-I82</f>
        <v>-244088.15</v>
      </c>
      <c r="J139" s="47">
        <v>0</v>
      </c>
      <c r="K139" s="143">
        <v>0</v>
      </c>
      <c r="L139" s="49">
        <f>L19-L82</f>
        <v>-244088.15</v>
      </c>
      <c r="M139" s="47">
        <v>0</v>
      </c>
      <c r="N139" s="144">
        <f t="shared" si="82"/>
        <v>0</v>
      </c>
    </row>
    <row r="140" spans="1:15" s="65" customFormat="1" outlineLevel="2" x14ac:dyDescent="0.2">
      <c r="A140" s="56"/>
      <c r="B140" s="57" t="str">
        <f t="shared" si="83"/>
        <v>Итого оплата больничных листов</v>
      </c>
      <c r="C140" s="58" t="str">
        <f t="shared" si="83"/>
        <v>Total Sick leave compensation</v>
      </c>
      <c r="D140" s="59">
        <f>SUM(D138:D139)</f>
        <v>0</v>
      </c>
      <c r="E140" s="60">
        <f>SUM(E138:E139)</f>
        <v>0</v>
      </c>
      <c r="F140" s="61">
        <v>0</v>
      </c>
      <c r="G140" s="145">
        <v>0</v>
      </c>
      <c r="H140" s="63">
        <f t="shared" ref="H140" si="86">SUM(H138:H139)</f>
        <v>0</v>
      </c>
      <c r="I140" s="63">
        <f>SUM(I138:I139)</f>
        <v>-1352177.74</v>
      </c>
      <c r="J140" s="61">
        <v>0</v>
      </c>
      <c r="K140" s="145">
        <v>0</v>
      </c>
      <c r="L140" s="63">
        <f>SUM(L138:L139)</f>
        <v>-1352177.74</v>
      </c>
      <c r="M140" s="61">
        <v>0</v>
      </c>
      <c r="N140" s="146">
        <f t="shared" si="82"/>
        <v>0</v>
      </c>
    </row>
    <row r="141" spans="1:15" outlineLevel="3" x14ac:dyDescent="0.2">
      <c r="A141" s="8"/>
      <c r="B141" s="51" t="str">
        <f t="shared" si="83"/>
        <v>Декрет</v>
      </c>
      <c r="C141" s="52" t="str">
        <f t="shared" si="83"/>
        <v>Maternity leave</v>
      </c>
      <c r="D141" s="53">
        <f>D21-D84</f>
        <v>0</v>
      </c>
      <c r="E141" s="54">
        <f>E21-E84</f>
        <v>0</v>
      </c>
      <c r="F141" s="47">
        <v>0</v>
      </c>
      <c r="G141" s="143">
        <v>0</v>
      </c>
      <c r="H141" s="49">
        <f>H21-H84</f>
        <v>0</v>
      </c>
      <c r="I141" s="49">
        <f>I21-I84</f>
        <v>0</v>
      </c>
      <c r="J141" s="47">
        <v>0</v>
      </c>
      <c r="K141" s="143">
        <v>0</v>
      </c>
      <c r="L141" s="49">
        <f>L21-L84</f>
        <v>0</v>
      </c>
      <c r="M141" s="47">
        <v>0</v>
      </c>
      <c r="N141" s="144" t="str">
        <f>IFERROR(M141/L141,"-")</f>
        <v>-</v>
      </c>
    </row>
    <row r="142" spans="1:15" outlineLevel="3" x14ac:dyDescent="0.2">
      <c r="A142" s="8"/>
      <c r="B142" s="51" t="str">
        <f t="shared" si="83"/>
        <v>Страховые взносы декрет</v>
      </c>
      <c r="C142" s="52" t="str">
        <f t="shared" si="83"/>
        <v>Social Security on Maternity leave</v>
      </c>
      <c r="D142" s="53">
        <f>D22-D85</f>
        <v>0</v>
      </c>
      <c r="E142" s="54">
        <f>E22-E85</f>
        <v>0</v>
      </c>
      <c r="F142" s="47">
        <v>0</v>
      </c>
      <c r="G142" s="143">
        <v>0</v>
      </c>
      <c r="H142" s="49">
        <f>H22-H85</f>
        <v>0</v>
      </c>
      <c r="I142" s="49">
        <f>I22-I85</f>
        <v>0</v>
      </c>
      <c r="J142" s="47">
        <v>0</v>
      </c>
      <c r="K142" s="143">
        <v>0</v>
      </c>
      <c r="L142" s="49">
        <f>L22-L85</f>
        <v>0</v>
      </c>
      <c r="M142" s="47">
        <v>0</v>
      </c>
      <c r="N142" s="144" t="str">
        <f>IFERROR(M142/L142,"-")</f>
        <v>-</v>
      </c>
    </row>
    <row r="143" spans="1:15" s="65" customFormat="1" outlineLevel="2" x14ac:dyDescent="0.2">
      <c r="A143" s="56"/>
      <c r="B143" s="57" t="str">
        <f t="shared" si="83"/>
        <v>Итого декрет</v>
      </c>
      <c r="C143" s="58" t="str">
        <f t="shared" si="83"/>
        <v>Total Maternity leave</v>
      </c>
      <c r="D143" s="59">
        <f>SUM(D141:D142)</f>
        <v>0</v>
      </c>
      <c r="E143" s="60">
        <f>SUM(E141:E142)</f>
        <v>0</v>
      </c>
      <c r="F143" s="61">
        <v>0</v>
      </c>
      <c r="G143" s="145">
        <v>0</v>
      </c>
      <c r="H143" s="63">
        <f t="shared" ref="H143" si="87">SUM(H141:H142)</f>
        <v>0</v>
      </c>
      <c r="I143" s="63">
        <f>SUM(I141:I142)</f>
        <v>0</v>
      </c>
      <c r="J143" s="61">
        <v>0</v>
      </c>
      <c r="K143" s="145">
        <v>0</v>
      </c>
      <c r="L143" s="63">
        <f>SUM(L141:L142)</f>
        <v>0</v>
      </c>
      <c r="M143" s="61">
        <v>0</v>
      </c>
      <c r="N143" s="146" t="str">
        <f>IFERROR(M143/L143,"-")</f>
        <v>-</v>
      </c>
    </row>
    <row r="144" spans="1:15" s="65" customFormat="1" outlineLevel="1" x14ac:dyDescent="0.2">
      <c r="A144" s="56"/>
      <c r="B144" s="68" t="str">
        <f t="shared" si="83"/>
        <v>Фиксированное вознаграждение</v>
      </c>
      <c r="C144" s="69" t="str">
        <f t="shared" si="83"/>
        <v>FIX compensation</v>
      </c>
      <c r="D144" s="70">
        <f>D134+D137+D140+D143</f>
        <v>0</v>
      </c>
      <c r="E144" s="71">
        <f>E134+E137+E140+E143</f>
        <v>1509867.2497792188</v>
      </c>
      <c r="F144" s="61">
        <v>0</v>
      </c>
      <c r="G144" s="145">
        <v>0</v>
      </c>
      <c r="H144" s="72">
        <f t="shared" ref="H144" si="88">H134+H137+H140+H143</f>
        <v>-1103600.0499997139</v>
      </c>
      <c r="I144" s="72">
        <f>I134+I137+I140+I143</f>
        <v>-1352177.74</v>
      </c>
      <c r="J144" s="61">
        <v>0</v>
      </c>
      <c r="K144" s="145">
        <v>0</v>
      </c>
      <c r="L144" s="72">
        <f>L134+L137+L140+L143</f>
        <v>-1352177.74</v>
      </c>
      <c r="M144" s="61">
        <v>0</v>
      </c>
      <c r="N144" s="146"/>
    </row>
    <row r="145" spans="1:14" s="65" customFormat="1" outlineLevel="2" x14ac:dyDescent="0.2">
      <c r="B145" s="57" t="str">
        <f t="shared" si="83"/>
        <v>Расходы на страхование (ДМС, НС)</v>
      </c>
      <c r="C145" s="58" t="str">
        <f t="shared" si="83"/>
        <v>Health &amp; welfare</v>
      </c>
      <c r="D145" s="59">
        <f>D25-D88</f>
        <v>11658.330000001937</v>
      </c>
      <c r="E145" s="60">
        <f>E25-E88</f>
        <v>122555.39177178033</v>
      </c>
      <c r="F145" s="61">
        <v>0</v>
      </c>
      <c r="G145" s="145">
        <v>0</v>
      </c>
      <c r="H145" s="63">
        <f>H25-H88</f>
        <v>653791.37000000849</v>
      </c>
      <c r="I145" s="63">
        <f>I25-I88</f>
        <v>0</v>
      </c>
      <c r="J145" s="61">
        <v>0</v>
      </c>
      <c r="K145" s="145">
        <v>0</v>
      </c>
      <c r="L145" s="63">
        <f>L25-L88</f>
        <v>0</v>
      </c>
      <c r="M145" s="61">
        <v>0</v>
      </c>
      <c r="N145" s="147" t="str">
        <f>IFERROR(M145/L145,"-")</f>
        <v>-</v>
      </c>
    </row>
    <row r="146" spans="1:14" s="65" customFormat="1" outlineLevel="2" x14ac:dyDescent="0.2">
      <c r="B146" s="57" t="str">
        <f t="shared" si="83"/>
        <v>Прочие бенефиты</v>
      </c>
      <c r="C146" s="58" t="str">
        <f t="shared" si="83"/>
        <v>Other benefits - Non-state mandated</v>
      </c>
      <c r="D146" s="59">
        <f>D26-D89</f>
        <v>-614311.89000000013</v>
      </c>
      <c r="E146" s="60">
        <f>E26-E89</f>
        <v>0</v>
      </c>
      <c r="F146" s="61">
        <v>0</v>
      </c>
      <c r="G146" s="145">
        <v>0</v>
      </c>
      <c r="H146" s="63">
        <f t="shared" ref="H146:I146" si="89">H26-H89</f>
        <v>-1914075.8800000001</v>
      </c>
      <c r="I146" s="63">
        <f t="shared" si="89"/>
        <v>-996972.98</v>
      </c>
      <c r="J146" s="61">
        <v>0</v>
      </c>
      <c r="K146" s="145">
        <v>0</v>
      </c>
      <c r="L146" s="63">
        <f>L26-L89</f>
        <v>-996972.98</v>
      </c>
      <c r="M146" s="61">
        <v>0</v>
      </c>
      <c r="N146" s="147">
        <f>IFERROR(M146/L146,"-")</f>
        <v>0</v>
      </c>
    </row>
    <row r="147" spans="1:14" s="65" customFormat="1" outlineLevel="1" x14ac:dyDescent="0.2">
      <c r="A147" s="56"/>
      <c r="B147" s="68" t="str">
        <f t="shared" si="83"/>
        <v>Бенефиты</v>
      </c>
      <c r="C147" s="69" t="str">
        <f t="shared" si="83"/>
        <v>Benefits</v>
      </c>
      <c r="D147" s="70">
        <f>SUM(D145:D146)</f>
        <v>-602653.55999999819</v>
      </c>
      <c r="E147" s="71">
        <f>SUM(E145:E146)</f>
        <v>122555.39177178033</v>
      </c>
      <c r="F147" s="61">
        <v>0</v>
      </c>
      <c r="G147" s="145">
        <v>0</v>
      </c>
      <c r="H147" s="72">
        <f t="shared" ref="H147:I147" si="90">SUM(H145:H146)</f>
        <v>-1260284.5099999916</v>
      </c>
      <c r="I147" s="72">
        <f t="shared" si="90"/>
        <v>-996972.98</v>
      </c>
      <c r="J147" s="61">
        <v>0</v>
      </c>
      <c r="K147" s="145">
        <v>0</v>
      </c>
      <c r="L147" s="72">
        <f>SUM(L145:L146)</f>
        <v>-996972.98</v>
      </c>
      <c r="M147" s="61">
        <v>0</v>
      </c>
      <c r="N147" s="147">
        <f>IFERROR(M147/L147,"-")</f>
        <v>0</v>
      </c>
    </row>
    <row r="148" spans="1:14" outlineLevel="3" x14ac:dyDescent="0.2">
      <c r="A148" s="8"/>
      <c r="B148" s="51" t="str">
        <f t="shared" si="83"/>
        <v>Прочие выплаты</v>
      </c>
      <c r="C148" s="52" t="str">
        <f t="shared" si="83"/>
        <v>Remaining Other Compensation</v>
      </c>
      <c r="D148" s="53">
        <f>D28-D91</f>
        <v>240000</v>
      </c>
      <c r="E148" s="54">
        <f>E28-E91</f>
        <v>0</v>
      </c>
      <c r="F148" s="47">
        <v>0</v>
      </c>
      <c r="G148" s="143">
        <v>0</v>
      </c>
      <c r="H148" s="49">
        <f>H28-H91</f>
        <v>258360</v>
      </c>
      <c r="I148" s="49">
        <f>I28-I91</f>
        <v>-240000</v>
      </c>
      <c r="J148" s="47">
        <v>0</v>
      </c>
      <c r="K148" s="143">
        <v>0</v>
      </c>
      <c r="L148" s="49">
        <f>L28-L91</f>
        <v>-240000</v>
      </c>
      <c r="M148" s="47">
        <v>0</v>
      </c>
      <c r="N148" s="144">
        <f t="shared" ref="N148:N159" si="91">IFERROR(M148/L148,"-")</f>
        <v>0</v>
      </c>
    </row>
    <row r="149" spans="1:14" outlineLevel="3" x14ac:dyDescent="0.2">
      <c r="A149" s="8"/>
      <c r="B149" s="51" t="str">
        <f t="shared" ref="B149:C164" si="92">B29</f>
        <v>Страховые взносы прочие выплаты</v>
      </c>
      <c r="C149" s="52" t="str">
        <f t="shared" si="92"/>
        <v>Social Security on Remaining Other Compensation</v>
      </c>
      <c r="D149" s="53">
        <f>D29-D92</f>
        <v>0</v>
      </c>
      <c r="E149" s="54">
        <f>E29-E92</f>
        <v>0</v>
      </c>
      <c r="F149" s="47">
        <v>0</v>
      </c>
      <c r="G149" s="143">
        <v>0</v>
      </c>
      <c r="H149" s="49">
        <f>H29-H92</f>
        <v>-54600</v>
      </c>
      <c r="I149" s="49">
        <f>I29-I92</f>
        <v>-36240</v>
      </c>
      <c r="J149" s="47">
        <v>0</v>
      </c>
      <c r="K149" s="143">
        <v>0</v>
      </c>
      <c r="L149" s="49">
        <f>L29-L92</f>
        <v>-36240</v>
      </c>
      <c r="M149" s="47">
        <v>0</v>
      </c>
      <c r="N149" s="144">
        <f t="shared" si="91"/>
        <v>0</v>
      </c>
    </row>
    <row r="150" spans="1:14" s="65" customFormat="1" outlineLevel="2" x14ac:dyDescent="0.2">
      <c r="A150" s="56"/>
      <c r="B150" s="57" t="str">
        <f t="shared" si="92"/>
        <v>Итого прочие выплаты</v>
      </c>
      <c r="C150" s="58" t="str">
        <f t="shared" si="92"/>
        <v>Total Remaining Other Compensation</v>
      </c>
      <c r="D150" s="59">
        <f>SUM(D148:D149)</f>
        <v>240000</v>
      </c>
      <c r="E150" s="60">
        <f>SUM(E148:E149)</f>
        <v>0</v>
      </c>
      <c r="F150" s="61">
        <v>0</v>
      </c>
      <c r="G150" s="145">
        <v>0</v>
      </c>
      <c r="H150" s="63">
        <f t="shared" ref="H150" si="93">SUM(H148:H149)</f>
        <v>203760</v>
      </c>
      <c r="I150" s="63">
        <f>SUM(I148:I149)</f>
        <v>-276240</v>
      </c>
      <c r="J150" s="61">
        <v>0</v>
      </c>
      <c r="K150" s="145">
        <v>0</v>
      </c>
      <c r="L150" s="63">
        <f>SUM(L148:L149)</f>
        <v>-276240</v>
      </c>
      <c r="M150" s="61">
        <v>0</v>
      </c>
      <c r="N150" s="146">
        <f t="shared" si="91"/>
        <v>0</v>
      </c>
    </row>
    <row r="151" spans="1:14" ht="12.75" customHeight="1" outlineLevel="3" x14ac:dyDescent="0.2">
      <c r="A151" s="8"/>
      <c r="B151" s="51" t="str">
        <f t="shared" si="92"/>
        <v>Премия разовая</v>
      </c>
      <c r="C151" s="52" t="str">
        <f t="shared" si="92"/>
        <v>Sign-ons - cash</v>
      </c>
      <c r="D151" s="53">
        <f>D31-D94</f>
        <v>0</v>
      </c>
      <c r="E151" s="54">
        <f>E31-E94</f>
        <v>0</v>
      </c>
      <c r="F151" s="47">
        <v>0</v>
      </c>
      <c r="G151" s="143">
        <v>0</v>
      </c>
      <c r="H151" s="49">
        <f>H31-H94</f>
        <v>0</v>
      </c>
      <c r="I151" s="49">
        <f>I31-I94</f>
        <v>0</v>
      </c>
      <c r="J151" s="47">
        <v>0</v>
      </c>
      <c r="K151" s="143">
        <v>0</v>
      </c>
      <c r="L151" s="49">
        <f>L31-L94</f>
        <v>0</v>
      </c>
      <c r="M151" s="47">
        <v>0</v>
      </c>
      <c r="N151" s="144" t="str">
        <f t="shared" si="91"/>
        <v>-</v>
      </c>
    </row>
    <row r="152" spans="1:14" ht="12.75" customHeight="1" outlineLevel="3" x14ac:dyDescent="0.2">
      <c r="A152" s="8"/>
      <c r="B152" s="51" t="str">
        <f t="shared" si="92"/>
        <v>Страховые взносы премия разовая</v>
      </c>
      <c r="C152" s="52" t="str">
        <f t="shared" si="92"/>
        <v>Social Security on Sign-ons - cash</v>
      </c>
      <c r="D152" s="53">
        <f>D32-D95</f>
        <v>0</v>
      </c>
      <c r="E152" s="54">
        <f>E32-E95</f>
        <v>0</v>
      </c>
      <c r="F152" s="47">
        <v>0</v>
      </c>
      <c r="G152" s="143">
        <v>0</v>
      </c>
      <c r="H152" s="49">
        <f>H32-H95</f>
        <v>0</v>
      </c>
      <c r="I152" s="49">
        <f>I32-I95</f>
        <v>0</v>
      </c>
      <c r="J152" s="47">
        <v>0</v>
      </c>
      <c r="K152" s="143">
        <v>0</v>
      </c>
      <c r="L152" s="49">
        <f>L32-L95</f>
        <v>0</v>
      </c>
      <c r="M152" s="47">
        <v>0</v>
      </c>
      <c r="N152" s="144" t="str">
        <f t="shared" si="91"/>
        <v>-</v>
      </c>
    </row>
    <row r="153" spans="1:14" s="65" customFormat="1" outlineLevel="2" x14ac:dyDescent="0.2">
      <c r="A153" s="56"/>
      <c r="B153" s="57" t="str">
        <f t="shared" si="92"/>
        <v>Итого премия разовая</v>
      </c>
      <c r="C153" s="58" t="str">
        <f t="shared" si="92"/>
        <v>Total Sign-ons - cash</v>
      </c>
      <c r="D153" s="59">
        <f>SUM(D151:D152)</f>
        <v>0</v>
      </c>
      <c r="E153" s="60">
        <f>SUM(E151:E152)</f>
        <v>0</v>
      </c>
      <c r="F153" s="61">
        <v>0</v>
      </c>
      <c r="G153" s="145">
        <v>0</v>
      </c>
      <c r="H153" s="63">
        <f t="shared" ref="H153" si="94">SUM(H151:H152)</f>
        <v>0</v>
      </c>
      <c r="I153" s="63">
        <f>SUM(I151:I152)</f>
        <v>0</v>
      </c>
      <c r="J153" s="61">
        <v>0</v>
      </c>
      <c r="K153" s="145">
        <v>0</v>
      </c>
      <c r="L153" s="63">
        <f>SUM(L151:L152)</f>
        <v>0</v>
      </c>
      <c r="M153" s="61">
        <v>0</v>
      </c>
      <c r="N153" s="146" t="str">
        <f t="shared" si="91"/>
        <v>-</v>
      </c>
    </row>
    <row r="154" spans="1:14" ht="12.75" customHeight="1" outlineLevel="3" x14ac:dyDescent="0.2">
      <c r="A154" s="8"/>
      <c r="B154" s="51" t="str">
        <f t="shared" si="92"/>
        <v>Выплаты при увольнении</v>
      </c>
      <c r="C154" s="52" t="str">
        <f t="shared" si="92"/>
        <v>Direct severance payments - cash</v>
      </c>
      <c r="D154" s="53">
        <f>D34-D97</f>
        <v>0</v>
      </c>
      <c r="E154" s="54">
        <f>E34-E97</f>
        <v>0</v>
      </c>
      <c r="F154" s="47">
        <v>0</v>
      </c>
      <c r="G154" s="143">
        <v>0</v>
      </c>
      <c r="H154" s="49">
        <f>H34-H97</f>
        <v>300000</v>
      </c>
      <c r="I154" s="49">
        <f>I34-I97</f>
        <v>0</v>
      </c>
      <c r="J154" s="47">
        <v>0</v>
      </c>
      <c r="K154" s="143">
        <v>0</v>
      </c>
      <c r="L154" s="49">
        <f>L34-L97</f>
        <v>-1320000</v>
      </c>
      <c r="M154" s="47">
        <v>0</v>
      </c>
      <c r="N154" s="144">
        <f t="shared" si="91"/>
        <v>0</v>
      </c>
    </row>
    <row r="155" spans="1:14" ht="12.75" customHeight="1" outlineLevel="3" x14ac:dyDescent="0.2">
      <c r="A155" s="8"/>
      <c r="B155" s="51" t="str">
        <f t="shared" si="92"/>
        <v>Страховые взносы выплаты при увольнении</v>
      </c>
      <c r="C155" s="52" t="str">
        <f t="shared" si="92"/>
        <v>Social Security on Severance</v>
      </c>
      <c r="D155" s="53">
        <f>D35-D98</f>
        <v>0</v>
      </c>
      <c r="E155" s="54">
        <f>E35-E98</f>
        <v>0</v>
      </c>
      <c r="F155" s="47">
        <v>0</v>
      </c>
      <c r="G155" s="143">
        <v>0</v>
      </c>
      <c r="H155" s="49">
        <f>H35-H98</f>
        <v>0</v>
      </c>
      <c r="I155" s="49">
        <f>I35-I98</f>
        <v>0</v>
      </c>
      <c r="J155" s="47">
        <v>0</v>
      </c>
      <c r="K155" s="143">
        <v>0</v>
      </c>
      <c r="L155" s="49">
        <f>L35-L98</f>
        <v>-32028.32</v>
      </c>
      <c r="M155" s="47">
        <v>0</v>
      </c>
      <c r="N155" s="144">
        <f t="shared" si="91"/>
        <v>0</v>
      </c>
    </row>
    <row r="156" spans="1:14" s="65" customFormat="1" outlineLevel="2" x14ac:dyDescent="0.2">
      <c r="A156" s="56"/>
      <c r="B156" s="57" t="str">
        <f t="shared" si="92"/>
        <v>Итого выплаты при увольнении</v>
      </c>
      <c r="C156" s="58" t="str">
        <f t="shared" si="92"/>
        <v>Total Direct severance payments - cash</v>
      </c>
      <c r="D156" s="59">
        <f>SUM(D154:D155)</f>
        <v>0</v>
      </c>
      <c r="E156" s="60">
        <f>SUM(E154:E155)</f>
        <v>0</v>
      </c>
      <c r="F156" s="61">
        <v>0</v>
      </c>
      <c r="G156" s="145">
        <v>0</v>
      </c>
      <c r="H156" s="63">
        <f t="shared" ref="H156" si="95">SUM(H154:H155)</f>
        <v>300000</v>
      </c>
      <c r="I156" s="63">
        <f>SUM(I154:I155)</f>
        <v>0</v>
      </c>
      <c r="J156" s="61">
        <v>0</v>
      </c>
      <c r="K156" s="145">
        <v>0</v>
      </c>
      <c r="L156" s="63">
        <f>SUM(L154:L155)</f>
        <v>-1352028.32</v>
      </c>
      <c r="M156" s="61">
        <v>0</v>
      </c>
      <c r="N156" s="146">
        <f t="shared" si="91"/>
        <v>0</v>
      </c>
    </row>
    <row r="157" spans="1:14" ht="12.75" customHeight="1" outlineLevel="3" x14ac:dyDescent="0.2">
      <c r="B157" s="51" t="str">
        <f t="shared" si="92"/>
        <v>Отложенное вознаграждение</v>
      </c>
      <c r="C157" s="52" t="str">
        <f t="shared" si="92"/>
        <v>Deferred Compensation</v>
      </c>
      <c r="D157" s="53">
        <f>D37-D100</f>
        <v>0</v>
      </c>
      <c r="E157" s="54">
        <f>E37-E100</f>
        <v>0</v>
      </c>
      <c r="F157" s="47">
        <v>0</v>
      </c>
      <c r="G157" s="143">
        <v>0</v>
      </c>
      <c r="H157" s="49">
        <f>H37-H100</f>
        <v>0</v>
      </c>
      <c r="I157" s="49">
        <f>I37-I100</f>
        <v>-1320000</v>
      </c>
      <c r="J157" s="47">
        <v>0</v>
      </c>
      <c r="K157" s="143">
        <v>0</v>
      </c>
      <c r="L157" s="49">
        <f>L37-L100</f>
        <v>0</v>
      </c>
      <c r="M157" s="47">
        <v>0</v>
      </c>
      <c r="N157" s="144" t="str">
        <f t="shared" si="91"/>
        <v>-</v>
      </c>
    </row>
    <row r="158" spans="1:14" ht="12.75" customHeight="1" outlineLevel="3" x14ac:dyDescent="0.2">
      <c r="B158" s="51" t="str">
        <f t="shared" si="92"/>
        <v>Страховые взносы отложенное вознаграждение</v>
      </c>
      <c r="C158" s="52" t="str">
        <f t="shared" si="92"/>
        <v>Social Security on Deferrals</v>
      </c>
      <c r="D158" s="53">
        <f>D38-D101</f>
        <v>0</v>
      </c>
      <c r="E158" s="54">
        <f>E38-E101</f>
        <v>0</v>
      </c>
      <c r="F158" s="47">
        <v>0</v>
      </c>
      <c r="G158" s="143">
        <v>0</v>
      </c>
      <c r="H158" s="49">
        <f>H38-H101</f>
        <v>0</v>
      </c>
      <c r="I158" s="49">
        <f>I38-I101</f>
        <v>-32028.32</v>
      </c>
      <c r="J158" s="47">
        <v>0</v>
      </c>
      <c r="K158" s="143">
        <v>0</v>
      </c>
      <c r="L158" s="49">
        <f>L38-L101</f>
        <v>0</v>
      </c>
      <c r="M158" s="47">
        <v>0</v>
      </c>
      <c r="N158" s="144" t="str">
        <f t="shared" si="91"/>
        <v>-</v>
      </c>
    </row>
    <row r="159" spans="1:14" s="65" customFormat="1" outlineLevel="2" x14ac:dyDescent="0.2">
      <c r="B159" s="57" t="str">
        <f t="shared" si="92"/>
        <v>Итого отложенное вознаграждение</v>
      </c>
      <c r="C159" s="58" t="str">
        <f t="shared" si="92"/>
        <v>Deferred Compensation</v>
      </c>
      <c r="D159" s="59">
        <f>SUM(D157:D158)</f>
        <v>0</v>
      </c>
      <c r="E159" s="60">
        <f>SUM(E157:E158)</f>
        <v>0</v>
      </c>
      <c r="F159" s="61">
        <v>0</v>
      </c>
      <c r="G159" s="145">
        <v>0</v>
      </c>
      <c r="H159" s="63">
        <f t="shared" ref="H159" si="96">SUM(H157:H158)</f>
        <v>0</v>
      </c>
      <c r="I159" s="63">
        <f>SUM(I157:I158)</f>
        <v>-1352028.32</v>
      </c>
      <c r="J159" s="61">
        <v>0</v>
      </c>
      <c r="K159" s="145">
        <v>0</v>
      </c>
      <c r="L159" s="63">
        <f>SUM(L157:L158)</f>
        <v>0</v>
      </c>
      <c r="M159" s="61">
        <v>0</v>
      </c>
      <c r="N159" s="146" t="str">
        <f t="shared" si="91"/>
        <v>-</v>
      </c>
    </row>
    <row r="160" spans="1:14" s="65" customFormat="1" outlineLevel="1" x14ac:dyDescent="0.2">
      <c r="A160" s="56"/>
      <c r="B160" s="73" t="str">
        <f t="shared" si="92"/>
        <v>Прочие компенсационные выплаты</v>
      </c>
      <c r="C160" s="74" t="str">
        <f t="shared" si="92"/>
        <v>Other Compensations</v>
      </c>
      <c r="D160" s="70">
        <f>D150+D153+D156+D159</f>
        <v>240000</v>
      </c>
      <c r="E160" s="71">
        <f>E150+E153+E156+E159</f>
        <v>0</v>
      </c>
      <c r="F160" s="61">
        <v>0</v>
      </c>
      <c r="G160" s="145">
        <v>0</v>
      </c>
      <c r="H160" s="72">
        <f t="shared" ref="H160:I160" si="97">H150+H153+H156+H159</f>
        <v>503760</v>
      </c>
      <c r="I160" s="72">
        <f t="shared" si="97"/>
        <v>-1628268.32</v>
      </c>
      <c r="J160" s="61">
        <v>0</v>
      </c>
      <c r="K160" s="145">
        <v>0</v>
      </c>
      <c r="L160" s="72">
        <f>L150+L153+L156+L159</f>
        <v>-1628268.32</v>
      </c>
      <c r="M160" s="61">
        <v>0</v>
      </c>
      <c r="N160" s="147">
        <f>IFERROR(M160/L160,"-")</f>
        <v>0</v>
      </c>
    </row>
    <row r="161" spans="1:14" ht="12.75" customHeight="1" outlineLevel="3" x14ac:dyDescent="0.2">
      <c r="B161" s="51" t="str">
        <f t="shared" si="92"/>
        <v>Резерв квартальной премии</v>
      </c>
      <c r="C161" s="52" t="str">
        <f t="shared" si="92"/>
        <v>Accruals for Quarterly bonus</v>
      </c>
      <c r="D161" s="53">
        <f>D41-D104</f>
        <v>11215250</v>
      </c>
      <c r="E161" s="54">
        <f>E41-E104</f>
        <v>0</v>
      </c>
      <c r="F161" s="47">
        <v>0</v>
      </c>
      <c r="G161" s="143">
        <v>0</v>
      </c>
      <c r="H161" s="49">
        <f>H41-H104</f>
        <v>67291500</v>
      </c>
      <c r="I161" s="49">
        <f>I41-I104</f>
        <v>0</v>
      </c>
      <c r="J161" s="47">
        <v>0</v>
      </c>
      <c r="K161" s="143">
        <v>0</v>
      </c>
      <c r="L161" s="49">
        <f>L41-L104</f>
        <v>0</v>
      </c>
      <c r="M161" s="47">
        <v>0</v>
      </c>
      <c r="N161" s="148" t="str">
        <f t="shared" ref="N161:N186" si="98">IFERROR(M161/L161,"-")</f>
        <v>-</v>
      </c>
    </row>
    <row r="162" spans="1:14" ht="12.75" customHeight="1" outlineLevel="3" x14ac:dyDescent="0.2">
      <c r="B162" s="51" t="str">
        <f t="shared" si="92"/>
        <v>Страховые взносы резерв квартальной премии</v>
      </c>
      <c r="C162" s="52" t="str">
        <f t="shared" si="92"/>
        <v>Social Security on Accruals for Quarterly bonus</v>
      </c>
      <c r="D162" s="53">
        <f>D42-D105</f>
        <v>2074821.25</v>
      </c>
      <c r="E162" s="54">
        <f>E42-E105</f>
        <v>0</v>
      </c>
      <c r="F162" s="47">
        <v>0</v>
      </c>
      <c r="G162" s="143">
        <v>0</v>
      </c>
      <c r="H162" s="49">
        <f>H42-H105</f>
        <v>12448927.5</v>
      </c>
      <c r="I162" s="49">
        <f>I42-I105</f>
        <v>0</v>
      </c>
      <c r="J162" s="47">
        <v>0</v>
      </c>
      <c r="K162" s="143">
        <v>0</v>
      </c>
      <c r="L162" s="49">
        <f>L42-L105</f>
        <v>0</v>
      </c>
      <c r="M162" s="47">
        <v>0</v>
      </c>
      <c r="N162" s="148" t="str">
        <f t="shared" si="98"/>
        <v>-</v>
      </c>
    </row>
    <row r="163" spans="1:14" s="65" customFormat="1" outlineLevel="2" x14ac:dyDescent="0.2">
      <c r="A163" s="56"/>
      <c r="B163" s="57" t="str">
        <f t="shared" si="92"/>
        <v>Итого резерв квартальной премии</v>
      </c>
      <c r="C163" s="75" t="str">
        <f t="shared" si="92"/>
        <v>Total Accruals for Quarterly bonus</v>
      </c>
      <c r="D163" s="59">
        <f>SUM(D161:D162)</f>
        <v>13290071.25</v>
      </c>
      <c r="E163" s="60">
        <f>SUM(E161:E162)</f>
        <v>0</v>
      </c>
      <c r="F163" s="61">
        <v>0</v>
      </c>
      <c r="G163" s="145">
        <v>0</v>
      </c>
      <c r="H163" s="63">
        <f t="shared" ref="H163" si="99">SUM(H161:H162)</f>
        <v>79740427.5</v>
      </c>
      <c r="I163" s="63">
        <f>SUM(I161:I162)</f>
        <v>0</v>
      </c>
      <c r="J163" s="61">
        <v>0</v>
      </c>
      <c r="K163" s="145">
        <v>0</v>
      </c>
      <c r="L163" s="63">
        <f>SUM(L161:L162)</f>
        <v>0</v>
      </c>
      <c r="M163" s="61">
        <v>0</v>
      </c>
      <c r="N163" s="146" t="str">
        <f t="shared" si="98"/>
        <v>-</v>
      </c>
    </row>
    <row r="164" spans="1:14" ht="12.75" customHeight="1" outlineLevel="3" x14ac:dyDescent="0.2">
      <c r="B164" s="51" t="str">
        <f t="shared" si="92"/>
        <v>Сторно резерва квартальной премии</v>
      </c>
      <c r="C164" s="76" t="str">
        <f t="shared" si="92"/>
        <v>Reverse Accruals for Quarterly bonus</v>
      </c>
      <c r="D164" s="53">
        <f>D44-D107</f>
        <v>0</v>
      </c>
      <c r="E164" s="54">
        <f>E44-E107</f>
        <v>0</v>
      </c>
      <c r="F164" s="47">
        <v>0</v>
      </c>
      <c r="G164" s="143">
        <v>0</v>
      </c>
      <c r="H164" s="49">
        <f>H44-H107</f>
        <v>-33645750</v>
      </c>
      <c r="I164" s="49">
        <f>I44-I107</f>
        <v>0</v>
      </c>
      <c r="J164" s="47">
        <v>0</v>
      </c>
      <c r="K164" s="143">
        <v>0</v>
      </c>
      <c r="L164" s="49">
        <f>L44-L107</f>
        <v>0</v>
      </c>
      <c r="M164" s="47">
        <v>0</v>
      </c>
      <c r="N164" s="148" t="str">
        <f t="shared" si="98"/>
        <v>-</v>
      </c>
    </row>
    <row r="165" spans="1:14" ht="12.75" customHeight="1" outlineLevel="3" x14ac:dyDescent="0.2">
      <c r="B165" s="51" t="str">
        <f t="shared" ref="B165:C180" si="100">B45</f>
        <v>Страховые взносы, сторно резерва квартальной премии</v>
      </c>
      <c r="C165" s="76" t="str">
        <f t="shared" si="100"/>
        <v>Social Security on Reverse Accruals for Quarterly bonus</v>
      </c>
      <c r="D165" s="53">
        <f>D45-D108</f>
        <v>0</v>
      </c>
      <c r="E165" s="54">
        <f>E45-E108</f>
        <v>0</v>
      </c>
      <c r="F165" s="47">
        <v>0</v>
      </c>
      <c r="G165" s="143">
        <v>0</v>
      </c>
      <c r="H165" s="49">
        <f>H45-H108</f>
        <v>-6224463.75</v>
      </c>
      <c r="I165" s="49">
        <f>I45-I108</f>
        <v>0</v>
      </c>
      <c r="J165" s="47">
        <v>0</v>
      </c>
      <c r="K165" s="143">
        <v>0</v>
      </c>
      <c r="L165" s="49">
        <f>L45-L108</f>
        <v>0</v>
      </c>
      <c r="M165" s="47">
        <v>0</v>
      </c>
      <c r="N165" s="148" t="str">
        <f t="shared" si="98"/>
        <v>-</v>
      </c>
    </row>
    <row r="166" spans="1:14" s="65" customFormat="1" outlineLevel="2" x14ac:dyDescent="0.2">
      <c r="A166" s="56"/>
      <c r="B166" s="57" t="str">
        <f t="shared" si="100"/>
        <v>Итого сторно резерва квартальной премии</v>
      </c>
      <c r="C166" s="75" t="str">
        <f t="shared" si="100"/>
        <v>Total Reverse Accruals for Quarterly bonus</v>
      </c>
      <c r="D166" s="59">
        <f>SUM(D164:D165)</f>
        <v>0</v>
      </c>
      <c r="E166" s="60">
        <f>SUM(E164:E165)</f>
        <v>0</v>
      </c>
      <c r="F166" s="61">
        <v>0</v>
      </c>
      <c r="G166" s="145">
        <v>0</v>
      </c>
      <c r="H166" s="63">
        <f t="shared" ref="H166" si="101">SUM(H164:H165)</f>
        <v>-39870213.75</v>
      </c>
      <c r="I166" s="63">
        <f>SUM(I164:I165)</f>
        <v>0</v>
      </c>
      <c r="J166" s="61">
        <v>0</v>
      </c>
      <c r="K166" s="145">
        <v>0</v>
      </c>
      <c r="L166" s="63">
        <f>SUM(L164:L165)</f>
        <v>0</v>
      </c>
      <c r="M166" s="61">
        <v>0</v>
      </c>
      <c r="N166" s="146" t="str">
        <f t="shared" si="98"/>
        <v>-</v>
      </c>
    </row>
    <row r="167" spans="1:14" ht="12.75" customHeight="1" outlineLevel="3" x14ac:dyDescent="0.2">
      <c r="B167" s="51" t="str">
        <f t="shared" si="100"/>
        <v>Квартальная премия, выплата</v>
      </c>
      <c r="C167" s="76" t="str">
        <f t="shared" si="100"/>
        <v>Quarterly bonus cash</v>
      </c>
      <c r="D167" s="53">
        <f>D47-D110</f>
        <v>-10571699.000000002</v>
      </c>
      <c r="E167" s="54">
        <f>E47-E110</f>
        <v>9585.4511111006141</v>
      </c>
      <c r="F167" s="47">
        <v>0</v>
      </c>
      <c r="G167" s="143">
        <v>0</v>
      </c>
      <c r="H167" s="49">
        <f>H47-H110</f>
        <v>-34571183.940000072</v>
      </c>
      <c r="I167" s="49">
        <f>I47-I110</f>
        <v>-532987.29333339632</v>
      </c>
      <c r="J167" s="47">
        <v>0</v>
      </c>
      <c r="K167" s="143">
        <v>0</v>
      </c>
      <c r="L167" s="49">
        <f>L47-L110</f>
        <v>0</v>
      </c>
      <c r="M167" s="47">
        <v>0</v>
      </c>
      <c r="N167" s="148" t="str">
        <f t="shared" si="98"/>
        <v>-</v>
      </c>
    </row>
    <row r="168" spans="1:14" ht="12.75" customHeight="1" outlineLevel="3" x14ac:dyDescent="0.2">
      <c r="B168" s="51" t="str">
        <f t="shared" si="100"/>
        <v>Страховые взносы, квартальная премия выплата</v>
      </c>
      <c r="C168" s="76" t="str">
        <f t="shared" si="100"/>
        <v>Social Security on quarterly cash</v>
      </c>
      <c r="D168" s="77">
        <f>D48-D111</f>
        <v>-268624.99999999907</v>
      </c>
      <c r="E168" s="78">
        <f>E48-E111</f>
        <v>-110702.72222221689</v>
      </c>
      <c r="F168" s="47">
        <v>0</v>
      </c>
      <c r="G168" s="143">
        <v>0</v>
      </c>
      <c r="H168" s="79">
        <f>H48-H111</f>
        <v>-2901459.5000000037</v>
      </c>
      <c r="I168" s="79">
        <f>I48-I111</f>
        <v>-773458.83333330043</v>
      </c>
      <c r="J168" s="47">
        <v>0</v>
      </c>
      <c r="K168" s="143">
        <v>0</v>
      </c>
      <c r="L168" s="79">
        <f>L48-L111</f>
        <v>0</v>
      </c>
      <c r="M168" s="47">
        <v>0</v>
      </c>
      <c r="N168" s="148" t="str">
        <f t="shared" si="98"/>
        <v>-</v>
      </c>
    </row>
    <row r="169" spans="1:14" s="65" customFormat="1" outlineLevel="2" x14ac:dyDescent="0.2">
      <c r="A169" s="56"/>
      <c r="B169" s="57" t="str">
        <f t="shared" si="100"/>
        <v>Итого квртальная премия, выплата</v>
      </c>
      <c r="C169" s="75" t="str">
        <f t="shared" si="100"/>
        <v>Total Quarterly bonus cash</v>
      </c>
      <c r="D169" s="59">
        <f>SUM(D167:D168)</f>
        <v>-10840324</v>
      </c>
      <c r="E169" s="60">
        <f>SUM(E167:E168)</f>
        <v>-101117.27111111628</v>
      </c>
      <c r="F169" s="61">
        <v>0</v>
      </c>
      <c r="G169" s="145">
        <v>0</v>
      </c>
      <c r="H169" s="63">
        <f t="shared" ref="H169" si="102">SUM(H167:H168)</f>
        <v>-37472643.440000072</v>
      </c>
      <c r="I169" s="63">
        <f>SUM(I167:I168)</f>
        <v>-1306446.1266666967</v>
      </c>
      <c r="J169" s="61">
        <v>0</v>
      </c>
      <c r="K169" s="145">
        <v>0</v>
      </c>
      <c r="L169" s="63">
        <f>SUM(L167:L168)</f>
        <v>0</v>
      </c>
      <c r="M169" s="61">
        <v>0</v>
      </c>
      <c r="N169" s="146" t="str">
        <f t="shared" si="98"/>
        <v>-</v>
      </c>
    </row>
    <row r="170" spans="1:14" s="65" customFormat="1" outlineLevel="1" x14ac:dyDescent="0.2">
      <c r="A170" s="56"/>
      <c r="B170" s="68" t="str">
        <f t="shared" si="100"/>
        <v>Квартальная премия</v>
      </c>
      <c r="C170" s="80" t="str">
        <f t="shared" si="100"/>
        <v>Quarterly bonus</v>
      </c>
      <c r="D170" s="70">
        <f>D169+D166+D163</f>
        <v>2449747.25</v>
      </c>
      <c r="E170" s="71">
        <f>E169+E166+E163</f>
        <v>-101117.27111111628</v>
      </c>
      <c r="F170" s="61">
        <v>0</v>
      </c>
      <c r="G170" s="145">
        <v>0</v>
      </c>
      <c r="H170" s="72">
        <f t="shared" ref="H170" si="103">H169+H166+H163</f>
        <v>2397570.3099999279</v>
      </c>
      <c r="I170" s="72">
        <f>I169+I166+I163</f>
        <v>-1306446.1266666967</v>
      </c>
      <c r="J170" s="61">
        <v>0</v>
      </c>
      <c r="K170" s="145">
        <v>0</v>
      </c>
      <c r="L170" s="72">
        <f>L169+L166+L163</f>
        <v>0</v>
      </c>
      <c r="M170" s="61">
        <v>0</v>
      </c>
      <c r="N170" s="147" t="str">
        <f t="shared" si="98"/>
        <v>-</v>
      </c>
    </row>
    <row r="171" spans="1:14" s="65" customFormat="1" x14ac:dyDescent="0.2">
      <c r="B171" s="81" t="str">
        <f t="shared" si="100"/>
        <v>ФОТ до бонуса</v>
      </c>
      <c r="C171" s="82" t="str">
        <f t="shared" si="100"/>
        <v>FIX compensation before Bonus</v>
      </c>
      <c r="D171" s="83">
        <f>D170+D160+D147+D144</f>
        <v>2087093.6900000018</v>
      </c>
      <c r="E171" s="84">
        <f>E170+E160+E147+E144</f>
        <v>1531305.3704398829</v>
      </c>
      <c r="F171" s="85">
        <v>0</v>
      </c>
      <c r="G171" s="149">
        <v>0</v>
      </c>
      <c r="H171" s="87">
        <f>H170+H160+H147+H144</f>
        <v>537445.75000022235</v>
      </c>
      <c r="I171" s="87">
        <f>I170+I160+I147+I144</f>
        <v>-5283865.1666666968</v>
      </c>
      <c r="J171" s="85">
        <v>0</v>
      </c>
      <c r="K171" s="149">
        <v>0</v>
      </c>
      <c r="L171" s="87">
        <f>L170+L160+L147+L144</f>
        <v>-3977419.04</v>
      </c>
      <c r="M171" s="85">
        <v>0</v>
      </c>
      <c r="N171" s="150">
        <f t="shared" si="98"/>
        <v>0</v>
      </c>
    </row>
    <row r="172" spans="1:14" ht="12.75" customHeight="1" outlineLevel="3" x14ac:dyDescent="0.2">
      <c r="B172" s="51" t="str">
        <f t="shared" si="100"/>
        <v>Резерв бонуса прошлых лет</v>
      </c>
      <c r="C172" s="76" t="str">
        <f t="shared" si="100"/>
        <v>Under-/overaccruals - cash</v>
      </c>
      <c r="D172" s="77">
        <f>D52-D115</f>
        <v>0</v>
      </c>
      <c r="E172" s="54">
        <f>E52-E115</f>
        <v>0</v>
      </c>
      <c r="F172" s="47">
        <v>0</v>
      </c>
      <c r="G172" s="143">
        <v>0</v>
      </c>
      <c r="H172" s="79">
        <f>H52-H115</f>
        <v>1030559766.46</v>
      </c>
      <c r="I172" s="79">
        <f>I52-I115</f>
        <v>1030559766.46</v>
      </c>
      <c r="J172" s="47">
        <v>0</v>
      </c>
      <c r="K172" s="143">
        <v>0</v>
      </c>
      <c r="L172" s="79">
        <f>L52-L115</f>
        <v>1030559766.46</v>
      </c>
      <c r="M172" s="47">
        <v>0</v>
      </c>
      <c r="N172" s="148">
        <f>IFERROR(M172/L172,"-")</f>
        <v>0</v>
      </c>
    </row>
    <row r="173" spans="1:14" ht="12.75" customHeight="1" outlineLevel="3" x14ac:dyDescent="0.2">
      <c r="B173" s="51" t="str">
        <f t="shared" si="100"/>
        <v>Страховые взносы, резерв бонуса прошлых лет</v>
      </c>
      <c r="C173" s="76" t="str">
        <f t="shared" si="100"/>
        <v>Under-/overaccruals - contribution to social secur</v>
      </c>
      <c r="D173" s="77">
        <f>D53-D116</f>
        <v>0</v>
      </c>
      <c r="E173" s="54">
        <f>E53-E116</f>
        <v>0</v>
      </c>
      <c r="F173" s="47">
        <v>0</v>
      </c>
      <c r="G173" s="143">
        <v>0</v>
      </c>
      <c r="H173" s="79">
        <f>H53-H116</f>
        <v>305311883.32000005</v>
      </c>
      <c r="I173" s="79">
        <f>I53-I116</f>
        <v>281392275.22000003</v>
      </c>
      <c r="J173" s="47">
        <v>0</v>
      </c>
      <c r="K173" s="143">
        <v>0</v>
      </c>
      <c r="L173" s="79">
        <f>L53-L116</f>
        <v>281392275.22000003</v>
      </c>
      <c r="M173" s="47">
        <v>0</v>
      </c>
      <c r="N173" s="148">
        <f>IFERROR(M173/L173,"-")</f>
        <v>0</v>
      </c>
    </row>
    <row r="174" spans="1:14" s="65" customFormat="1" outlineLevel="1" x14ac:dyDescent="0.2">
      <c r="A174" s="56"/>
      <c r="B174" s="68" t="str">
        <f t="shared" si="100"/>
        <v>Итого Резерв бонуса прошлых лет</v>
      </c>
      <c r="C174" s="80" t="str">
        <f t="shared" si="100"/>
        <v>Total Under-/overaccruals - cash</v>
      </c>
      <c r="D174" s="70">
        <f>SUM(D172:D173)</f>
        <v>0</v>
      </c>
      <c r="E174" s="71">
        <f>SUM(E172:E173)</f>
        <v>0</v>
      </c>
      <c r="F174" s="61">
        <v>0</v>
      </c>
      <c r="G174" s="145">
        <v>0</v>
      </c>
      <c r="H174" s="72">
        <f t="shared" ref="H174" si="104">SUM(H172:H173)</f>
        <v>1335871649.7800002</v>
      </c>
      <c r="I174" s="72">
        <f>SUM(I172:I173)</f>
        <v>1311952041.6800001</v>
      </c>
      <c r="J174" s="61">
        <v>0</v>
      </c>
      <c r="K174" s="145">
        <v>0</v>
      </c>
      <c r="L174" s="72">
        <f>SUM(L172:L173)</f>
        <v>1311952041.6800001</v>
      </c>
      <c r="M174" s="61">
        <v>0</v>
      </c>
      <c r="N174" s="147">
        <f>IFERROR(M174/L174,"-")</f>
        <v>0</v>
      </c>
    </row>
    <row r="175" spans="1:14" s="65" customFormat="1" x14ac:dyDescent="0.2">
      <c r="B175" s="81" t="str">
        <f t="shared" si="100"/>
        <v>Резерв бонуса прошлых лет</v>
      </c>
      <c r="C175" s="82" t="str">
        <f t="shared" si="100"/>
        <v>Under-/overaccruals - cash</v>
      </c>
      <c r="D175" s="83">
        <f>D174</f>
        <v>0</v>
      </c>
      <c r="E175" s="84">
        <f>E174</f>
        <v>0</v>
      </c>
      <c r="F175" s="85">
        <v>0</v>
      </c>
      <c r="G175" s="149">
        <v>0</v>
      </c>
      <c r="H175" s="87">
        <f t="shared" ref="H175" si="105">H174</f>
        <v>1335871649.7800002</v>
      </c>
      <c r="I175" s="87">
        <f>I174</f>
        <v>1311952041.6800001</v>
      </c>
      <c r="J175" s="85">
        <v>0</v>
      </c>
      <c r="K175" s="149">
        <v>0</v>
      </c>
      <c r="L175" s="87">
        <f>L174</f>
        <v>1311952041.6800001</v>
      </c>
      <c r="M175" s="85">
        <v>0</v>
      </c>
      <c r="N175" s="150">
        <f>IFERROR(M175/L175,"-")</f>
        <v>0</v>
      </c>
    </row>
    <row r="176" spans="1:14" ht="12.75" customHeight="1" outlineLevel="3" x14ac:dyDescent="0.2">
      <c r="B176" s="51" t="str">
        <f t="shared" si="100"/>
        <v>Резерв годового бонуса</v>
      </c>
      <c r="C176" s="76" t="str">
        <f t="shared" si="100"/>
        <v>Bonus discretionary Accrual</v>
      </c>
      <c r="D176" s="53">
        <f>D56-D119</f>
        <v>294014180.62210083</v>
      </c>
      <c r="E176" s="54">
        <f>E56-E119</f>
        <v>0</v>
      </c>
      <c r="F176" s="47">
        <v>0</v>
      </c>
      <c r="G176" s="143">
        <v>0</v>
      </c>
      <c r="H176" s="49">
        <f>H56-H119</f>
        <v>1764085083.732605</v>
      </c>
      <c r="I176" s="49">
        <f>I56-I119</f>
        <v>0</v>
      </c>
      <c r="J176" s="47">
        <v>0</v>
      </c>
      <c r="K176" s="143">
        <v>0</v>
      </c>
      <c r="L176" s="49">
        <f>L56-L119</f>
        <v>0</v>
      </c>
      <c r="M176" s="47">
        <v>0</v>
      </c>
      <c r="N176" s="148" t="str">
        <f t="shared" si="98"/>
        <v>-</v>
      </c>
    </row>
    <row r="177" spans="1:15" ht="12.75" customHeight="1" outlineLevel="3" x14ac:dyDescent="0.2">
      <c r="B177" s="51" t="str">
        <f t="shared" si="100"/>
        <v>Страховые взносы, резерв годового бонуса</v>
      </c>
      <c r="C177" s="76" t="str">
        <f t="shared" si="100"/>
        <v>Social Security on discretionary Bonus Accrual</v>
      </c>
      <c r="D177" s="53">
        <f>D57-D120</f>
        <v>54392623.41508875</v>
      </c>
      <c r="E177" s="54">
        <f>E57-E120</f>
        <v>0</v>
      </c>
      <c r="F177" s="47">
        <v>0</v>
      </c>
      <c r="G177" s="143">
        <v>0</v>
      </c>
      <c r="H177" s="49">
        <f>H57-H120</f>
        <v>326355740.4905315</v>
      </c>
      <c r="I177" s="49">
        <f>I57-I120</f>
        <v>0</v>
      </c>
      <c r="J177" s="47">
        <v>0</v>
      </c>
      <c r="K177" s="143">
        <v>0</v>
      </c>
      <c r="L177" s="49">
        <f>L57-L120</f>
        <v>0</v>
      </c>
      <c r="M177" s="47">
        <v>0</v>
      </c>
      <c r="N177" s="148" t="str">
        <f t="shared" si="98"/>
        <v>-</v>
      </c>
    </row>
    <row r="178" spans="1:15" s="65" customFormat="1" outlineLevel="2" x14ac:dyDescent="0.2">
      <c r="A178" s="56"/>
      <c r="B178" s="57" t="str">
        <f t="shared" si="100"/>
        <v>Итого резерв годового бонуса</v>
      </c>
      <c r="C178" s="75" t="str">
        <f t="shared" si="100"/>
        <v>Total Bonus discretionary Accrual</v>
      </c>
      <c r="D178" s="59">
        <f>SUM(D176:D177)</f>
        <v>348406804.0371896</v>
      </c>
      <c r="E178" s="60">
        <f>SUM(E176:E177)</f>
        <v>0</v>
      </c>
      <c r="F178" s="61">
        <v>0</v>
      </c>
      <c r="G178" s="145">
        <v>0</v>
      </c>
      <c r="H178" s="63">
        <f t="shared" ref="H178" si="106">SUM(H176:H177)</f>
        <v>2090440824.2231364</v>
      </c>
      <c r="I178" s="63">
        <f>SUM(I176:I177)</f>
        <v>0</v>
      </c>
      <c r="J178" s="61">
        <v>0</v>
      </c>
      <c r="K178" s="145">
        <v>0</v>
      </c>
      <c r="L178" s="63">
        <f>SUM(L176:L177)</f>
        <v>0</v>
      </c>
      <c r="M178" s="61">
        <v>0</v>
      </c>
      <c r="N178" s="146" t="str">
        <f t="shared" si="98"/>
        <v>-</v>
      </c>
    </row>
    <row r="179" spans="1:15" ht="12.75" customHeight="1" outlineLevel="3" x14ac:dyDescent="0.2">
      <c r="B179" s="51" t="str">
        <f t="shared" si="100"/>
        <v>Сторно резерва годового бонуса бонуса</v>
      </c>
      <c r="C179" s="76" t="str">
        <f t="shared" si="100"/>
        <v>Reverse Bonus discretionary Accrual</v>
      </c>
      <c r="D179" s="53">
        <f>D59-D122</f>
        <v>0</v>
      </c>
      <c r="E179" s="54">
        <f>E59-E122</f>
        <v>0</v>
      </c>
      <c r="F179" s="47">
        <v>0</v>
      </c>
      <c r="G179" s="143">
        <v>0</v>
      </c>
      <c r="H179" s="49">
        <f>H59-H122</f>
        <v>0</v>
      </c>
      <c r="I179" s="49">
        <f>I59-I122</f>
        <v>0</v>
      </c>
      <c r="J179" s="47">
        <v>0</v>
      </c>
      <c r="K179" s="143">
        <v>0</v>
      </c>
      <c r="L179" s="49">
        <f>L59-L122</f>
        <v>0</v>
      </c>
      <c r="M179" s="47">
        <v>0</v>
      </c>
      <c r="N179" s="148" t="str">
        <f t="shared" si="98"/>
        <v>-</v>
      </c>
    </row>
    <row r="180" spans="1:15" ht="12.75" customHeight="1" outlineLevel="3" x14ac:dyDescent="0.2">
      <c r="B180" s="51" t="str">
        <f t="shared" si="100"/>
        <v>Страховые взносы, сторно резерва годового бонуса</v>
      </c>
      <c r="C180" s="76" t="str">
        <f t="shared" si="100"/>
        <v>Social Security on Bonus discretionary Accrual</v>
      </c>
      <c r="D180" s="53">
        <f>D60-D123</f>
        <v>0</v>
      </c>
      <c r="E180" s="54">
        <f>E60-E123</f>
        <v>0</v>
      </c>
      <c r="F180" s="47">
        <v>0</v>
      </c>
      <c r="G180" s="143">
        <v>0</v>
      </c>
      <c r="H180" s="49">
        <f>H60-H123</f>
        <v>0</v>
      </c>
      <c r="I180" s="49">
        <f>I60-I123</f>
        <v>0</v>
      </c>
      <c r="J180" s="47">
        <v>0</v>
      </c>
      <c r="K180" s="143">
        <v>0</v>
      </c>
      <c r="L180" s="49">
        <f>L60-L123</f>
        <v>0</v>
      </c>
      <c r="M180" s="47">
        <v>0</v>
      </c>
      <c r="N180" s="148" t="str">
        <f t="shared" si="98"/>
        <v>-</v>
      </c>
    </row>
    <row r="181" spans="1:15" s="65" customFormat="1" outlineLevel="2" x14ac:dyDescent="0.2">
      <c r="A181" s="56"/>
      <c r="B181" s="57" t="str">
        <f t="shared" ref="B181:C186" si="107">B61</f>
        <v>Итого сторно резерва годового бонуса</v>
      </c>
      <c r="C181" s="75" t="str">
        <f t="shared" si="107"/>
        <v>Total  Reverse Bonus discretionary Accrual</v>
      </c>
      <c r="D181" s="59">
        <f>SUM(D179:D180)</f>
        <v>0</v>
      </c>
      <c r="E181" s="60">
        <f>SUM(E179:E180)</f>
        <v>0</v>
      </c>
      <c r="F181" s="61">
        <v>0</v>
      </c>
      <c r="G181" s="145">
        <v>0</v>
      </c>
      <c r="H181" s="63">
        <f t="shared" ref="H181" si="108">SUM(H179:H180)</f>
        <v>0</v>
      </c>
      <c r="I181" s="63">
        <f>SUM(I179:I180)</f>
        <v>0</v>
      </c>
      <c r="J181" s="61">
        <v>0</v>
      </c>
      <c r="K181" s="145">
        <v>0</v>
      </c>
      <c r="L181" s="63">
        <f>SUM(L179:L180)</f>
        <v>0</v>
      </c>
      <c r="M181" s="61">
        <v>0</v>
      </c>
      <c r="N181" s="146" t="str">
        <f t="shared" si="98"/>
        <v>-</v>
      </c>
    </row>
    <row r="182" spans="1:15" ht="12.75" customHeight="1" outlineLevel="3" x14ac:dyDescent="0.2">
      <c r="B182" s="51" t="str">
        <f t="shared" si="107"/>
        <v>Годовой бонус</v>
      </c>
      <c r="C182" s="76" t="str">
        <f t="shared" si="107"/>
        <v>Bonus discretionary cash</v>
      </c>
      <c r="D182" s="53">
        <f>D62-D125</f>
        <v>603093921</v>
      </c>
      <c r="E182" s="54">
        <f>E62-E125</f>
        <v>0</v>
      </c>
      <c r="F182" s="47">
        <v>0</v>
      </c>
      <c r="G182" s="143">
        <v>0</v>
      </c>
      <c r="H182" s="49">
        <f>H62-H125</f>
        <v>-1866384464.9200001</v>
      </c>
      <c r="I182" s="49">
        <f>I62-I125</f>
        <v>5.0067901611328125E-6</v>
      </c>
      <c r="J182" s="47">
        <v>0</v>
      </c>
      <c r="K182" s="143">
        <v>0</v>
      </c>
      <c r="L182" s="49">
        <f>L62-L125</f>
        <v>0</v>
      </c>
      <c r="M182" s="47">
        <v>0</v>
      </c>
      <c r="N182" s="148" t="str">
        <f t="shared" si="98"/>
        <v>-</v>
      </c>
    </row>
    <row r="183" spans="1:15" ht="12.75" customHeight="1" outlineLevel="3" x14ac:dyDescent="0.2">
      <c r="B183" s="51" t="str">
        <f t="shared" si="107"/>
        <v>Страховые взносы, годовой бонус</v>
      </c>
      <c r="C183" s="76" t="str">
        <f t="shared" si="107"/>
        <v>Social Security on discretionary Bonus cash</v>
      </c>
      <c r="D183" s="77">
        <f>D63-D126</f>
        <v>39499641</v>
      </c>
      <c r="E183" s="78">
        <f>E63-E126</f>
        <v>-1.6391277313232422E-7</v>
      </c>
      <c r="F183" s="47">
        <v>0</v>
      </c>
      <c r="G183" s="143">
        <v>0</v>
      </c>
      <c r="H183" s="79">
        <f>H63-H126</f>
        <v>-352450585.80000001</v>
      </c>
      <c r="I183" s="79">
        <f>I63-I126</f>
        <v>-1.4901161193847656E-6</v>
      </c>
      <c r="J183" s="47">
        <v>0</v>
      </c>
      <c r="K183" s="143">
        <v>0</v>
      </c>
      <c r="L183" s="79">
        <f>L63-L126</f>
        <v>-1.6689300537109375E-6</v>
      </c>
      <c r="M183" s="47">
        <v>0</v>
      </c>
      <c r="N183" s="148">
        <f t="shared" si="98"/>
        <v>0</v>
      </c>
    </row>
    <row r="184" spans="1:15" s="65" customFormat="1" outlineLevel="2" x14ac:dyDescent="0.2">
      <c r="A184" s="56"/>
      <c r="B184" s="57" t="str">
        <f t="shared" si="107"/>
        <v>Итого годовой бонус</v>
      </c>
      <c r="C184" s="89" t="str">
        <f t="shared" si="107"/>
        <v>Total Bonus discretionary cash</v>
      </c>
      <c r="D184" s="59">
        <f>SUM(D182:D183)</f>
        <v>642593562</v>
      </c>
      <c r="E184" s="60">
        <f>SUM(E182:E183)</f>
        <v>-1.6391277313232422E-7</v>
      </c>
      <c r="F184" s="61">
        <v>0</v>
      </c>
      <c r="G184" s="145">
        <v>0</v>
      </c>
      <c r="H184" s="63">
        <f t="shared" ref="H184" si="109">SUM(H182:H183)</f>
        <v>-2218835050.7200003</v>
      </c>
      <c r="I184" s="63">
        <f>SUM(I182:I183)</f>
        <v>3.5166740417480469E-6</v>
      </c>
      <c r="J184" s="61">
        <v>0</v>
      </c>
      <c r="K184" s="145">
        <v>0</v>
      </c>
      <c r="L184" s="63">
        <f>SUM(L182:L183)</f>
        <v>-1.6689300537109375E-6</v>
      </c>
      <c r="M184" s="61">
        <v>0</v>
      </c>
      <c r="N184" s="146">
        <f t="shared" si="98"/>
        <v>0</v>
      </c>
    </row>
    <row r="185" spans="1:15" ht="15.75" customHeight="1" x14ac:dyDescent="0.2">
      <c r="B185" s="81" t="str">
        <f t="shared" si="107"/>
        <v>Годовой бонус</v>
      </c>
      <c r="C185" s="82" t="str">
        <f t="shared" si="107"/>
        <v>Bonus discretionary</v>
      </c>
      <c r="D185" s="83">
        <f>D184+D181+D178</f>
        <v>991000366.0371896</v>
      </c>
      <c r="E185" s="84">
        <f>E184+E181+E178</f>
        <v>-1.6391277313232422E-7</v>
      </c>
      <c r="F185" s="85">
        <v>0</v>
      </c>
      <c r="G185" s="149">
        <v>0</v>
      </c>
      <c r="H185" s="87">
        <f t="shared" ref="H185" si="110">H184+H181+H178</f>
        <v>-128394226.49686384</v>
      </c>
      <c r="I185" s="87">
        <f>I184+I181+I178</f>
        <v>3.5166740417480469E-6</v>
      </c>
      <c r="J185" s="85">
        <v>0</v>
      </c>
      <c r="K185" s="149">
        <v>0</v>
      </c>
      <c r="L185" s="87">
        <f>L184+L181+L178</f>
        <v>-1.6689300537109375E-6</v>
      </c>
      <c r="M185" s="85">
        <v>0</v>
      </c>
      <c r="N185" s="150">
        <f t="shared" si="98"/>
        <v>0</v>
      </c>
    </row>
    <row r="186" spans="1:15" s="65" customFormat="1" ht="18.75" customHeight="1" x14ac:dyDescent="0.2">
      <c r="B186" s="90" t="str">
        <f t="shared" si="107"/>
        <v>Итого компенсации и льготы</v>
      </c>
      <c r="C186" s="91" t="str">
        <f t="shared" si="107"/>
        <v>Total Compencation &amp; Benefits</v>
      </c>
      <c r="D186" s="96">
        <f>D171+D185+D175</f>
        <v>993087459.72718966</v>
      </c>
      <c r="E186" s="93">
        <f>E171+E185+E175</f>
        <v>1531305.3704397189</v>
      </c>
      <c r="F186" s="94">
        <v>0</v>
      </c>
      <c r="G186" s="151">
        <v>0</v>
      </c>
      <c r="H186" s="96">
        <f t="shared" ref="H186:I186" si="111">H171+H185+H175</f>
        <v>1208014869.0331366</v>
      </c>
      <c r="I186" s="96">
        <f t="shared" si="111"/>
        <v>1306668176.5133369</v>
      </c>
      <c r="J186" s="94">
        <v>0</v>
      </c>
      <c r="K186" s="151">
        <v>0</v>
      </c>
      <c r="L186" s="96">
        <f>L171+L185+L175</f>
        <v>1307974622.6399984</v>
      </c>
      <c r="M186" s="94">
        <v>0</v>
      </c>
      <c r="N186" s="152">
        <f t="shared" si="98"/>
        <v>0</v>
      </c>
      <c r="O186" s="98"/>
    </row>
    <row r="187" spans="1:15" x14ac:dyDescent="0.2">
      <c r="N187" s="140"/>
    </row>
    <row r="188" spans="1:15" x14ac:dyDescent="0.2">
      <c r="N188" s="140"/>
    </row>
    <row r="189" spans="1:15" x14ac:dyDescent="0.2">
      <c r="A189" s="153">
        <v>1</v>
      </c>
      <c r="B189" s="153" t="s">
        <v>140</v>
      </c>
      <c r="N189" s="140"/>
    </row>
    <row r="190" spans="1:15" x14ac:dyDescent="0.2">
      <c r="A190" s="153">
        <v>2</v>
      </c>
      <c r="B190" s="153" t="s">
        <v>141</v>
      </c>
      <c r="N190" s="140"/>
    </row>
    <row r="191" spans="1:15" x14ac:dyDescent="0.2">
      <c r="A191" s="153">
        <v>3</v>
      </c>
      <c r="B191" s="153" t="s">
        <v>142</v>
      </c>
      <c r="N191" s="140"/>
    </row>
    <row r="192" spans="1:15" x14ac:dyDescent="0.2">
      <c r="A192" s="153">
        <v>4</v>
      </c>
      <c r="B192" s="153" t="s">
        <v>143</v>
      </c>
      <c r="N192" s="140"/>
    </row>
    <row r="193" spans="1:14" x14ac:dyDescent="0.2">
      <c r="A193" s="153">
        <v>5</v>
      </c>
      <c r="B193" s="153" t="s">
        <v>144</v>
      </c>
      <c r="N193" s="140"/>
    </row>
    <row r="194" spans="1:14" x14ac:dyDescent="0.2">
      <c r="A194" s="153">
        <v>6</v>
      </c>
      <c r="B194" s="153" t="s">
        <v>145</v>
      </c>
      <c r="N194" s="140"/>
    </row>
    <row r="195" spans="1:14" x14ac:dyDescent="0.2">
      <c r="A195" s="153">
        <v>7</v>
      </c>
      <c r="B195" s="153" t="s">
        <v>146</v>
      </c>
      <c r="N195" s="140"/>
    </row>
    <row r="196" spans="1:14" x14ac:dyDescent="0.2">
      <c r="A196" s="154"/>
      <c r="B196" s="154"/>
      <c r="N196" s="140"/>
    </row>
    <row r="197" spans="1:14" x14ac:dyDescent="0.2">
      <c r="N197" s="140"/>
    </row>
    <row r="198" spans="1:14" x14ac:dyDescent="0.2">
      <c r="N198" s="140"/>
    </row>
    <row r="199" spans="1:14" x14ac:dyDescent="0.2">
      <c r="N199" s="140"/>
    </row>
    <row r="200" spans="1:14" x14ac:dyDescent="0.2">
      <c r="N200" s="140"/>
    </row>
    <row r="201" spans="1:14" x14ac:dyDescent="0.2">
      <c r="N201" s="140"/>
    </row>
    <row r="202" spans="1:14" x14ac:dyDescent="0.2">
      <c r="N202" s="140"/>
    </row>
    <row r="203" spans="1:14" x14ac:dyDescent="0.2">
      <c r="N203" s="140"/>
    </row>
    <row r="204" spans="1:14" x14ac:dyDescent="0.2">
      <c r="N204" s="140"/>
    </row>
    <row r="205" spans="1:14" x14ac:dyDescent="0.2">
      <c r="N205" s="140"/>
    </row>
    <row r="206" spans="1:14" x14ac:dyDescent="0.2">
      <c r="N206" s="140"/>
    </row>
    <row r="207" spans="1:14" x14ac:dyDescent="0.2">
      <c r="N207" s="140"/>
    </row>
    <row r="208" spans="1:14" x14ac:dyDescent="0.2">
      <c r="N208" s="140"/>
    </row>
    <row r="209" spans="14:14" x14ac:dyDescent="0.2">
      <c r="N209" s="140"/>
    </row>
    <row r="210" spans="14:14" x14ac:dyDescent="0.2">
      <c r="N210" s="140"/>
    </row>
    <row r="211" spans="14:14" x14ac:dyDescent="0.2">
      <c r="N211" s="140"/>
    </row>
    <row r="212" spans="14:14" x14ac:dyDescent="0.2">
      <c r="N212" s="140"/>
    </row>
    <row r="213" spans="14:14" x14ac:dyDescent="0.2">
      <c r="N213" s="140"/>
    </row>
    <row r="214" spans="14:14" x14ac:dyDescent="0.2">
      <c r="N214" s="140"/>
    </row>
    <row r="215" spans="14:14" x14ac:dyDescent="0.2">
      <c r="N215" s="140"/>
    </row>
    <row r="216" spans="14:14" x14ac:dyDescent="0.2">
      <c r="N216" s="140"/>
    </row>
    <row r="217" spans="14:14" x14ac:dyDescent="0.2">
      <c r="N217" s="140"/>
    </row>
    <row r="218" spans="14:14" x14ac:dyDescent="0.2">
      <c r="N218" s="140"/>
    </row>
    <row r="219" spans="14:14" x14ac:dyDescent="0.2">
      <c r="N219" s="140"/>
    </row>
    <row r="220" spans="14:14" x14ac:dyDescent="0.2">
      <c r="N220" s="140"/>
    </row>
    <row r="221" spans="14:14" x14ac:dyDescent="0.2">
      <c r="N221" s="140"/>
    </row>
    <row r="222" spans="14:14" x14ac:dyDescent="0.2">
      <c r="N222" s="140"/>
    </row>
    <row r="223" spans="14:14" x14ac:dyDescent="0.2">
      <c r="N223" s="140"/>
    </row>
    <row r="224" spans="14:14" x14ac:dyDescent="0.2">
      <c r="N224" s="140"/>
    </row>
    <row r="225" spans="14:14" x14ac:dyDescent="0.2">
      <c r="N225" s="140"/>
    </row>
    <row r="226" spans="14:14" x14ac:dyDescent="0.2">
      <c r="N226" s="140"/>
    </row>
    <row r="227" spans="14:14" x14ac:dyDescent="0.2">
      <c r="N227" s="140"/>
    </row>
    <row r="228" spans="14:14" x14ac:dyDescent="0.2">
      <c r="N228" s="140"/>
    </row>
    <row r="229" spans="14:14" x14ac:dyDescent="0.2">
      <c r="N229" s="140"/>
    </row>
    <row r="230" spans="14:14" x14ac:dyDescent="0.2">
      <c r="N230" s="140"/>
    </row>
    <row r="231" spans="14:14" x14ac:dyDescent="0.2">
      <c r="N231" s="140"/>
    </row>
    <row r="232" spans="14:14" x14ac:dyDescent="0.2">
      <c r="N232" s="140"/>
    </row>
    <row r="233" spans="14:14" x14ac:dyDescent="0.2">
      <c r="N233" s="140"/>
    </row>
    <row r="234" spans="14:14" x14ac:dyDescent="0.2">
      <c r="N234" s="140"/>
    </row>
    <row r="235" spans="14:14" x14ac:dyDescent="0.2">
      <c r="N235" s="140"/>
    </row>
    <row r="236" spans="14:14" x14ac:dyDescent="0.2">
      <c r="N236" s="140"/>
    </row>
    <row r="237" spans="14:14" x14ac:dyDescent="0.2">
      <c r="N237" s="140"/>
    </row>
    <row r="238" spans="14:14" x14ac:dyDescent="0.2">
      <c r="N238" s="140"/>
    </row>
    <row r="239" spans="14:14" x14ac:dyDescent="0.2">
      <c r="N239" s="140"/>
    </row>
    <row r="240" spans="14:14" x14ac:dyDescent="0.2">
      <c r="N240" s="140"/>
    </row>
    <row r="241" spans="14:14" x14ac:dyDescent="0.2">
      <c r="N241" s="140"/>
    </row>
    <row r="242" spans="14:14" x14ac:dyDescent="0.2">
      <c r="N242" s="140"/>
    </row>
    <row r="243" spans="14:14" x14ac:dyDescent="0.2">
      <c r="N243" s="140"/>
    </row>
    <row r="244" spans="14:14" x14ac:dyDescent="0.2">
      <c r="N244" s="140"/>
    </row>
    <row r="245" spans="14:14" x14ac:dyDescent="0.2">
      <c r="N245" s="140"/>
    </row>
    <row r="246" spans="14:14" x14ac:dyDescent="0.2">
      <c r="N246" s="140"/>
    </row>
    <row r="247" spans="14:14" x14ac:dyDescent="0.2">
      <c r="N247" s="140"/>
    </row>
    <row r="248" spans="14:14" x14ac:dyDescent="0.2">
      <c r="N248" s="140"/>
    </row>
    <row r="249" spans="14:14" x14ac:dyDescent="0.2">
      <c r="N249" s="140"/>
    </row>
    <row r="250" spans="14:14" x14ac:dyDescent="0.2">
      <c r="N250" s="140"/>
    </row>
    <row r="251" spans="14:14" x14ac:dyDescent="0.2">
      <c r="N251" s="140"/>
    </row>
    <row r="252" spans="14:14" x14ac:dyDescent="0.2">
      <c r="N252" s="140"/>
    </row>
    <row r="253" spans="14:14" x14ac:dyDescent="0.2">
      <c r="N253" s="140"/>
    </row>
    <row r="254" spans="14:14" x14ac:dyDescent="0.2">
      <c r="N254" s="140"/>
    </row>
    <row r="255" spans="14:14" x14ac:dyDescent="0.2">
      <c r="N255" s="140"/>
    </row>
    <row r="256" spans="14:14" x14ac:dyDescent="0.2">
      <c r="N256" s="140"/>
    </row>
    <row r="257" spans="14:14" x14ac:dyDescent="0.2">
      <c r="N257" s="140"/>
    </row>
    <row r="258" spans="14:14" x14ac:dyDescent="0.2">
      <c r="N258" s="140"/>
    </row>
    <row r="259" spans="14:14" x14ac:dyDescent="0.2">
      <c r="N259" s="140"/>
    </row>
    <row r="260" spans="14:14" x14ac:dyDescent="0.2">
      <c r="N260" s="140"/>
    </row>
    <row r="261" spans="14:14" x14ac:dyDescent="0.2">
      <c r="N261" s="140"/>
    </row>
    <row r="262" spans="14:14" x14ac:dyDescent="0.2">
      <c r="N262" s="140"/>
    </row>
    <row r="263" spans="14:14" x14ac:dyDescent="0.2">
      <c r="N263" s="140"/>
    </row>
    <row r="264" spans="14:14" x14ac:dyDescent="0.2">
      <c r="N264" s="140"/>
    </row>
    <row r="265" spans="14:14" x14ac:dyDescent="0.2">
      <c r="N265" s="140"/>
    </row>
    <row r="266" spans="14:14" x14ac:dyDescent="0.2">
      <c r="N266" s="140"/>
    </row>
    <row r="267" spans="14:14" x14ac:dyDescent="0.2">
      <c r="N267" s="140"/>
    </row>
    <row r="268" spans="14:14" x14ac:dyDescent="0.2">
      <c r="N268" s="140"/>
    </row>
    <row r="269" spans="14:14" x14ac:dyDescent="0.2">
      <c r="N269" s="140"/>
    </row>
    <row r="270" spans="14:14" x14ac:dyDescent="0.2">
      <c r="N270" s="140"/>
    </row>
    <row r="271" spans="14:14" x14ac:dyDescent="0.2">
      <c r="N271" s="140"/>
    </row>
    <row r="272" spans="14:14" x14ac:dyDescent="0.2">
      <c r="N272" s="140"/>
    </row>
    <row r="273" spans="14:14" x14ac:dyDescent="0.2">
      <c r="N273" s="140"/>
    </row>
    <row r="274" spans="14:14" x14ac:dyDescent="0.2">
      <c r="N274" s="140"/>
    </row>
    <row r="275" spans="14:14" x14ac:dyDescent="0.2">
      <c r="N275" s="140"/>
    </row>
    <row r="276" spans="14:14" x14ac:dyDescent="0.2">
      <c r="N276" s="140"/>
    </row>
    <row r="277" spans="14:14" x14ac:dyDescent="0.2">
      <c r="N277" s="140"/>
    </row>
    <row r="278" spans="14:14" x14ac:dyDescent="0.2">
      <c r="N278" s="140"/>
    </row>
    <row r="279" spans="14:14" x14ac:dyDescent="0.2">
      <c r="N279" s="140"/>
    </row>
    <row r="280" spans="14:14" x14ac:dyDescent="0.2">
      <c r="N280" s="140"/>
    </row>
    <row r="281" spans="14:14" x14ac:dyDescent="0.2">
      <c r="N281" s="140"/>
    </row>
    <row r="282" spans="14:14" x14ac:dyDescent="0.2">
      <c r="N282" s="140"/>
    </row>
    <row r="283" spans="14:14" x14ac:dyDescent="0.2">
      <c r="N283" s="140"/>
    </row>
    <row r="284" spans="14:14" x14ac:dyDescent="0.2">
      <c r="N284" s="140"/>
    </row>
    <row r="285" spans="14:14" x14ac:dyDescent="0.2">
      <c r="N285" s="140"/>
    </row>
    <row r="286" spans="14:14" x14ac:dyDescent="0.2">
      <c r="N286" s="140"/>
    </row>
    <row r="287" spans="14:14" x14ac:dyDescent="0.2">
      <c r="N287" s="140"/>
    </row>
    <row r="288" spans="14:14" x14ac:dyDescent="0.2">
      <c r="N288" s="140"/>
    </row>
    <row r="289" spans="14:14" x14ac:dyDescent="0.2">
      <c r="N289" s="140"/>
    </row>
    <row r="290" spans="14:14" x14ac:dyDescent="0.2">
      <c r="N290" s="140"/>
    </row>
    <row r="291" spans="14:14" x14ac:dyDescent="0.2">
      <c r="N291" s="140"/>
    </row>
    <row r="292" spans="14:14" x14ac:dyDescent="0.2">
      <c r="N292" s="140"/>
    </row>
    <row r="293" spans="14:14" x14ac:dyDescent="0.2">
      <c r="N293" s="140"/>
    </row>
    <row r="294" spans="14:14" x14ac:dyDescent="0.2">
      <c r="N294" s="140"/>
    </row>
    <row r="295" spans="14:14" x14ac:dyDescent="0.2">
      <c r="N295" s="140"/>
    </row>
    <row r="296" spans="14:14" x14ac:dyDescent="0.2">
      <c r="N296" s="140"/>
    </row>
    <row r="297" spans="14:14" x14ac:dyDescent="0.2">
      <c r="N297" s="140"/>
    </row>
    <row r="298" spans="14:14" x14ac:dyDescent="0.2">
      <c r="N298" s="140"/>
    </row>
    <row r="299" spans="14:14" x14ac:dyDescent="0.2">
      <c r="N299" s="140"/>
    </row>
    <row r="300" spans="14:14" x14ac:dyDescent="0.2">
      <c r="N300" s="140"/>
    </row>
    <row r="301" spans="14:14" x14ac:dyDescent="0.2">
      <c r="N301" s="140"/>
    </row>
    <row r="302" spans="14:14" x14ac:dyDescent="0.2">
      <c r="N302" s="140"/>
    </row>
    <row r="303" spans="14:14" x14ac:dyDescent="0.2">
      <c r="N303" s="140"/>
    </row>
    <row r="304" spans="14:14" x14ac:dyDescent="0.2">
      <c r="N304" s="140"/>
    </row>
    <row r="305" spans="14:14" x14ac:dyDescent="0.2">
      <c r="N305" s="140"/>
    </row>
    <row r="306" spans="14:14" x14ac:dyDescent="0.2">
      <c r="N306" s="140"/>
    </row>
    <row r="307" spans="14:14" x14ac:dyDescent="0.2">
      <c r="N307" s="140"/>
    </row>
    <row r="308" spans="14:14" x14ac:dyDescent="0.2">
      <c r="N308" s="140"/>
    </row>
    <row r="309" spans="14:14" x14ac:dyDescent="0.2">
      <c r="N309" s="140"/>
    </row>
    <row r="310" spans="14:14" x14ac:dyDescent="0.2">
      <c r="N310" s="140"/>
    </row>
    <row r="311" spans="14:14" x14ac:dyDescent="0.2">
      <c r="N311" s="140"/>
    </row>
    <row r="312" spans="14:14" x14ac:dyDescent="0.2">
      <c r="N312" s="140"/>
    </row>
    <row r="313" spans="14:14" x14ac:dyDescent="0.2">
      <c r="N313" s="140"/>
    </row>
    <row r="314" spans="14:14" x14ac:dyDescent="0.2">
      <c r="N314" s="140"/>
    </row>
    <row r="315" spans="14:14" x14ac:dyDescent="0.2">
      <c r="N315" s="140"/>
    </row>
    <row r="316" spans="14:14" x14ac:dyDescent="0.2">
      <c r="N316" s="140"/>
    </row>
    <row r="317" spans="14:14" x14ac:dyDescent="0.2">
      <c r="N317" s="140"/>
    </row>
    <row r="318" spans="14:14" x14ac:dyDescent="0.2">
      <c r="N318" s="140"/>
    </row>
    <row r="319" spans="14:14" x14ac:dyDescent="0.2">
      <c r="N319" s="140"/>
    </row>
    <row r="320" spans="14:14" x14ac:dyDescent="0.2">
      <c r="N320" s="140"/>
    </row>
    <row r="321" spans="14:14" x14ac:dyDescent="0.2">
      <c r="N321" s="140"/>
    </row>
    <row r="322" spans="14:14" x14ac:dyDescent="0.2">
      <c r="N322" s="140"/>
    </row>
    <row r="323" spans="14:14" x14ac:dyDescent="0.2">
      <c r="N323" s="140"/>
    </row>
    <row r="324" spans="14:14" x14ac:dyDescent="0.2">
      <c r="N324" s="140"/>
    </row>
    <row r="325" spans="14:14" x14ac:dyDescent="0.2">
      <c r="N325" s="140"/>
    </row>
    <row r="326" spans="14:14" x14ac:dyDescent="0.2">
      <c r="N326" s="140"/>
    </row>
    <row r="327" spans="14:14" x14ac:dyDescent="0.2">
      <c r="N327" s="140"/>
    </row>
    <row r="328" spans="14:14" x14ac:dyDescent="0.2">
      <c r="N328" s="140"/>
    </row>
    <row r="329" spans="14:14" x14ac:dyDescent="0.2">
      <c r="N329" s="140"/>
    </row>
    <row r="330" spans="14:14" x14ac:dyDescent="0.2">
      <c r="N330" s="140"/>
    </row>
    <row r="331" spans="14:14" x14ac:dyDescent="0.2">
      <c r="N331" s="140"/>
    </row>
    <row r="332" spans="14:14" x14ac:dyDescent="0.2">
      <c r="N332" s="140"/>
    </row>
    <row r="333" spans="14:14" x14ac:dyDescent="0.2">
      <c r="N333" s="140"/>
    </row>
    <row r="334" spans="14:14" x14ac:dyDescent="0.2">
      <c r="N334" s="140"/>
    </row>
    <row r="335" spans="14:14" x14ac:dyDescent="0.2">
      <c r="N335" s="140"/>
    </row>
    <row r="336" spans="14:14" x14ac:dyDescent="0.2">
      <c r="N336" s="140"/>
    </row>
    <row r="337" spans="14:14" x14ac:dyDescent="0.2">
      <c r="N337" s="140"/>
    </row>
    <row r="338" spans="14:14" x14ac:dyDescent="0.2">
      <c r="N338" s="140"/>
    </row>
    <row r="339" spans="14:14" x14ac:dyDescent="0.2">
      <c r="N339" s="140"/>
    </row>
    <row r="340" spans="14:14" x14ac:dyDescent="0.2">
      <c r="N340" s="140"/>
    </row>
    <row r="341" spans="14:14" x14ac:dyDescent="0.2">
      <c r="N341" s="140"/>
    </row>
    <row r="342" spans="14:14" x14ac:dyDescent="0.2">
      <c r="N342" s="140"/>
    </row>
    <row r="343" spans="14:14" x14ac:dyDescent="0.2">
      <c r="N343" s="140"/>
    </row>
    <row r="344" spans="14:14" x14ac:dyDescent="0.2">
      <c r="N344" s="140"/>
    </row>
    <row r="345" spans="14:14" x14ac:dyDescent="0.2">
      <c r="N345" s="140"/>
    </row>
    <row r="346" spans="14:14" x14ac:dyDescent="0.2">
      <c r="N346" s="140"/>
    </row>
    <row r="347" spans="14:14" x14ac:dyDescent="0.2">
      <c r="N347" s="140"/>
    </row>
    <row r="348" spans="14:14" x14ac:dyDescent="0.2">
      <c r="N348" s="140"/>
    </row>
    <row r="349" spans="14:14" x14ac:dyDescent="0.2">
      <c r="N349" s="140"/>
    </row>
    <row r="350" spans="14:14" x14ac:dyDescent="0.2">
      <c r="N350" s="140"/>
    </row>
    <row r="351" spans="14:14" x14ac:dyDescent="0.2">
      <c r="N351" s="140"/>
    </row>
    <row r="352" spans="14:14" x14ac:dyDescent="0.2">
      <c r="N352" s="140"/>
    </row>
    <row r="353" spans="14:14" x14ac:dyDescent="0.2">
      <c r="N353" s="140"/>
    </row>
    <row r="354" spans="14:14" x14ac:dyDescent="0.2">
      <c r="N354" s="140"/>
    </row>
    <row r="355" spans="14:14" x14ac:dyDescent="0.2">
      <c r="N355" s="140"/>
    </row>
    <row r="356" spans="14:14" x14ac:dyDescent="0.2">
      <c r="N356" s="140"/>
    </row>
    <row r="357" spans="14:14" x14ac:dyDescent="0.2">
      <c r="N357" s="140"/>
    </row>
    <row r="358" spans="14:14" x14ac:dyDescent="0.2">
      <c r="N358" s="140"/>
    </row>
    <row r="359" spans="14:14" x14ac:dyDescent="0.2">
      <c r="N359" s="140"/>
    </row>
    <row r="360" spans="14:14" x14ac:dyDescent="0.2">
      <c r="N360" s="140"/>
    </row>
    <row r="361" spans="14:14" x14ac:dyDescent="0.2">
      <c r="N361" s="140"/>
    </row>
    <row r="362" spans="14:14" x14ac:dyDescent="0.2">
      <c r="N362" s="140"/>
    </row>
    <row r="363" spans="14:14" x14ac:dyDescent="0.2">
      <c r="N363" s="140"/>
    </row>
    <row r="364" spans="14:14" x14ac:dyDescent="0.2">
      <c r="N364" s="140"/>
    </row>
    <row r="365" spans="14:14" x14ac:dyDescent="0.2">
      <c r="N365" s="140"/>
    </row>
    <row r="366" spans="14:14" x14ac:dyDescent="0.2">
      <c r="N366" s="140"/>
    </row>
  </sheetData>
  <mergeCells count="7">
    <mergeCell ref="D8:N8"/>
    <mergeCell ref="D9:G9"/>
    <mergeCell ref="H9:K9"/>
    <mergeCell ref="L9:N9"/>
    <mergeCell ref="F10:G10"/>
    <mergeCell ref="J10:K10"/>
    <mergeCell ref="M10:N10"/>
  </mergeCells>
  <conditionalFormatting sqref="G12:G13">
    <cfRule type="cellIs" dxfId="1079" priority="1079" operator="greaterThan">
      <formula>0</formula>
    </cfRule>
    <cfRule type="cellIs" dxfId="1078" priority="1080" operator="lessThanOrEqual">
      <formula>0</formula>
    </cfRule>
  </conditionalFormatting>
  <conditionalFormatting sqref="G15:G16">
    <cfRule type="cellIs" dxfId="1077" priority="1077" operator="greaterThan">
      <formula>0</formula>
    </cfRule>
    <cfRule type="cellIs" dxfId="1076" priority="1078" operator="lessThanOrEqual">
      <formula>0</formula>
    </cfRule>
  </conditionalFormatting>
  <conditionalFormatting sqref="G18:G19">
    <cfRule type="cellIs" dxfId="1075" priority="1075" operator="greaterThan">
      <formula>0</formula>
    </cfRule>
    <cfRule type="cellIs" dxfId="1074" priority="1076" operator="lessThanOrEqual">
      <formula>0</formula>
    </cfRule>
  </conditionalFormatting>
  <conditionalFormatting sqref="G28:G29">
    <cfRule type="cellIs" dxfId="1073" priority="1073" operator="greaterThan">
      <formula>0</formula>
    </cfRule>
    <cfRule type="cellIs" dxfId="1072" priority="1074" operator="lessThanOrEqual">
      <formula>0</formula>
    </cfRule>
  </conditionalFormatting>
  <conditionalFormatting sqref="G21:G22">
    <cfRule type="cellIs" dxfId="1071" priority="1071" operator="greaterThan">
      <formula>0</formula>
    </cfRule>
    <cfRule type="cellIs" dxfId="1070" priority="1072" operator="lessThanOrEqual">
      <formula>0</formula>
    </cfRule>
  </conditionalFormatting>
  <conditionalFormatting sqref="G31:G32">
    <cfRule type="cellIs" dxfId="1069" priority="1069" operator="greaterThan">
      <formula>0</formula>
    </cfRule>
    <cfRule type="cellIs" dxfId="1068" priority="1070" operator="lessThanOrEqual">
      <formula>0</formula>
    </cfRule>
  </conditionalFormatting>
  <conditionalFormatting sqref="G34:G35">
    <cfRule type="cellIs" dxfId="1067" priority="1067" operator="greaterThan">
      <formula>0</formula>
    </cfRule>
    <cfRule type="cellIs" dxfId="1066" priority="1068" operator="lessThanOrEqual">
      <formula>0</formula>
    </cfRule>
  </conditionalFormatting>
  <conditionalFormatting sqref="G37:G38">
    <cfRule type="cellIs" dxfId="1065" priority="1065" operator="greaterThan">
      <formula>0</formula>
    </cfRule>
    <cfRule type="cellIs" dxfId="1064" priority="1066" operator="lessThanOrEqual">
      <formula>0</formula>
    </cfRule>
  </conditionalFormatting>
  <conditionalFormatting sqref="G47:G48">
    <cfRule type="cellIs" dxfId="1063" priority="1063" operator="greaterThan">
      <formula>0</formula>
    </cfRule>
    <cfRule type="cellIs" dxfId="1062" priority="1064" operator="lessThanOrEqual">
      <formula>0</formula>
    </cfRule>
  </conditionalFormatting>
  <conditionalFormatting sqref="G62:G63">
    <cfRule type="cellIs" dxfId="1061" priority="1061" operator="greaterThan">
      <formula>0</formula>
    </cfRule>
    <cfRule type="cellIs" dxfId="1060" priority="1062" operator="lessThanOrEqual">
      <formula>0</formula>
    </cfRule>
  </conditionalFormatting>
  <conditionalFormatting sqref="G52:G53">
    <cfRule type="cellIs" dxfId="1059" priority="1059" operator="greaterThan">
      <formula>0</formula>
    </cfRule>
    <cfRule type="cellIs" dxfId="1058" priority="1060" operator="lessThanOrEqual">
      <formula>0</formula>
    </cfRule>
  </conditionalFormatting>
  <conditionalFormatting sqref="G14">
    <cfRule type="cellIs" dxfId="1057" priority="1057" operator="greaterThan">
      <formula>0</formula>
    </cfRule>
    <cfRule type="cellIs" dxfId="1056" priority="1058" operator="lessThanOrEqual">
      <formula>0</formula>
    </cfRule>
  </conditionalFormatting>
  <conditionalFormatting sqref="G17">
    <cfRule type="cellIs" dxfId="1055" priority="1055" operator="greaterThan">
      <formula>0</formula>
    </cfRule>
    <cfRule type="cellIs" dxfId="1054" priority="1056" operator="lessThanOrEqual">
      <formula>0</formula>
    </cfRule>
  </conditionalFormatting>
  <conditionalFormatting sqref="G20">
    <cfRule type="cellIs" dxfId="1053" priority="1053" operator="greaterThan">
      <formula>0</formula>
    </cfRule>
    <cfRule type="cellIs" dxfId="1052" priority="1054" operator="lessThanOrEqual">
      <formula>0</formula>
    </cfRule>
  </conditionalFormatting>
  <conditionalFormatting sqref="G30">
    <cfRule type="cellIs" dxfId="1051" priority="1051" operator="greaterThan">
      <formula>0</formula>
    </cfRule>
    <cfRule type="cellIs" dxfId="1050" priority="1052" operator="lessThanOrEqual">
      <formula>0</formula>
    </cfRule>
  </conditionalFormatting>
  <conditionalFormatting sqref="G23">
    <cfRule type="cellIs" dxfId="1049" priority="1049" operator="greaterThan">
      <formula>0</formula>
    </cfRule>
    <cfRule type="cellIs" dxfId="1048" priority="1050" operator="lessThanOrEqual">
      <formula>0</formula>
    </cfRule>
  </conditionalFormatting>
  <conditionalFormatting sqref="G33">
    <cfRule type="cellIs" dxfId="1047" priority="1047" operator="greaterThan">
      <formula>0</formula>
    </cfRule>
    <cfRule type="cellIs" dxfId="1046" priority="1048" operator="lessThanOrEqual">
      <formula>0</formula>
    </cfRule>
  </conditionalFormatting>
  <conditionalFormatting sqref="G36">
    <cfRule type="cellIs" dxfId="1045" priority="1045" operator="greaterThan">
      <formula>0</formula>
    </cfRule>
    <cfRule type="cellIs" dxfId="1044" priority="1046" operator="lessThanOrEqual">
      <formula>0</formula>
    </cfRule>
  </conditionalFormatting>
  <conditionalFormatting sqref="G39">
    <cfRule type="cellIs" dxfId="1043" priority="1043" operator="greaterThan">
      <formula>0</formula>
    </cfRule>
    <cfRule type="cellIs" dxfId="1042" priority="1044" operator="lessThanOrEqual">
      <formula>0</formula>
    </cfRule>
  </conditionalFormatting>
  <conditionalFormatting sqref="G25">
    <cfRule type="cellIs" dxfId="1041" priority="1041" operator="greaterThan">
      <formula>0</formula>
    </cfRule>
    <cfRule type="cellIs" dxfId="1040" priority="1042" operator="lessThanOrEqual">
      <formula>0</formula>
    </cfRule>
  </conditionalFormatting>
  <conditionalFormatting sqref="G65 G67 G70">
    <cfRule type="cellIs" dxfId="1039" priority="1039" operator="greaterThan">
      <formula>0</formula>
    </cfRule>
    <cfRule type="cellIs" dxfId="1038" priority="1040" operator="lessThanOrEqual">
      <formula>0</formula>
    </cfRule>
  </conditionalFormatting>
  <conditionalFormatting sqref="F12:F13 F15:F16 F18:F19 F21:F22 F28:F29 F31:F32 F34:F35 F37:F38 F47:F48 F52:F53">
    <cfRule type="cellIs" dxfId="1037" priority="1037" operator="lessThan">
      <formula>0</formula>
    </cfRule>
    <cfRule type="cellIs" dxfId="1036" priority="1038" operator="greaterThanOrEqual">
      <formula>0</formula>
    </cfRule>
  </conditionalFormatting>
  <conditionalFormatting sqref="F14 F17 F20 F23 F25 F30 F33 F36 F39">
    <cfRule type="cellIs" dxfId="1035" priority="1036" operator="greaterThanOrEqual">
      <formula>0</formula>
    </cfRule>
  </conditionalFormatting>
  <conditionalFormatting sqref="F14 F17 F20 F23 F25 F30 F33 F36 F39">
    <cfRule type="cellIs" dxfId="1034" priority="1035" operator="lessThan">
      <formula>0</formula>
    </cfRule>
  </conditionalFormatting>
  <conditionalFormatting sqref="G72">
    <cfRule type="cellIs" dxfId="1033" priority="1033" operator="greaterThan">
      <formula>0</formula>
    </cfRule>
    <cfRule type="cellIs" dxfId="1032" priority="1034" operator="lessThanOrEqual">
      <formula>0</formula>
    </cfRule>
  </conditionalFormatting>
  <conditionalFormatting sqref="G66">
    <cfRule type="cellIs" dxfId="1031" priority="1031" operator="greaterThan">
      <formula>0</formula>
    </cfRule>
    <cfRule type="cellIs" dxfId="1030" priority="1032" operator="lessThanOrEqual">
      <formula>0</formula>
    </cfRule>
  </conditionalFormatting>
  <conditionalFormatting sqref="F66">
    <cfRule type="cellIs" dxfId="1029" priority="1029" operator="greaterThanOrEqual">
      <formula>0</formula>
    </cfRule>
    <cfRule type="cellIs" dxfId="1028" priority="1030" operator="lessThan">
      <formula>0</formula>
    </cfRule>
  </conditionalFormatting>
  <conditionalFormatting sqref="M12:M13 M15:M16 M18:M19 M21:M22 M28:M29 M31:M32 M34:M35 M37:M38 M47:M48">
    <cfRule type="cellIs" dxfId="1027" priority="1027" operator="lessThan">
      <formula>0</formula>
    </cfRule>
    <cfRule type="cellIs" dxfId="1026" priority="1028" operator="greaterThanOrEqual">
      <formula>0</formula>
    </cfRule>
  </conditionalFormatting>
  <conditionalFormatting sqref="M14 M23 M17 M20 M30 M33 M36 M39">
    <cfRule type="cellIs" dxfId="1025" priority="1026" operator="greaterThanOrEqual">
      <formula>0</formula>
    </cfRule>
  </conditionalFormatting>
  <conditionalFormatting sqref="M14 M23 M17 M20 M30 M33 M36 M39">
    <cfRule type="cellIs" dxfId="1024" priority="1025" operator="lessThan">
      <formula>0</formula>
    </cfRule>
  </conditionalFormatting>
  <conditionalFormatting sqref="M70 M72">
    <cfRule type="cellIs" dxfId="1023" priority="1023" operator="lessThan">
      <formula>0</formula>
    </cfRule>
    <cfRule type="cellIs" dxfId="1022" priority="1024" operator="greaterThanOrEqual">
      <formula>0</formula>
    </cfRule>
  </conditionalFormatting>
  <conditionalFormatting sqref="M66">
    <cfRule type="cellIs" dxfId="1021" priority="1021" operator="greaterThanOrEqual">
      <formula>0</formula>
    </cfRule>
    <cfRule type="cellIs" dxfId="1020" priority="1022" operator="lessThan">
      <formula>0</formula>
    </cfRule>
  </conditionalFormatting>
  <conditionalFormatting sqref="N12:N13">
    <cfRule type="cellIs" dxfId="1019" priority="1019" operator="greaterThan">
      <formula>0</formula>
    </cfRule>
    <cfRule type="cellIs" dxfId="1018" priority="1020" operator="lessThanOrEqual">
      <formula>0</formula>
    </cfRule>
  </conditionalFormatting>
  <conditionalFormatting sqref="N67">
    <cfRule type="cellIs" dxfId="1017" priority="1017" operator="lessThan">
      <formula>0</formula>
    </cfRule>
    <cfRule type="cellIs" dxfId="1016" priority="1018" operator="greaterThanOrEqual">
      <formula>0</formula>
    </cfRule>
  </conditionalFormatting>
  <conditionalFormatting sqref="N14 N23 N17 N20 N30 N33 N36 N39">
    <cfRule type="cellIs" dxfId="1015" priority="1016" operator="greaterThanOrEqual">
      <formula>0</formula>
    </cfRule>
  </conditionalFormatting>
  <conditionalFormatting sqref="N14 N23 N17 N20 N30 N33 N36 N39">
    <cfRule type="cellIs" dxfId="1014" priority="1015" operator="lessThan">
      <formula>0</formula>
    </cfRule>
  </conditionalFormatting>
  <conditionalFormatting sqref="M67">
    <cfRule type="cellIs" dxfId="1013" priority="1013" operator="lessThan">
      <formula>0</formula>
    </cfRule>
    <cfRule type="cellIs" dxfId="1012" priority="1014" operator="greaterThanOrEqual">
      <formula>0</formula>
    </cfRule>
  </conditionalFormatting>
  <conditionalFormatting sqref="N70 N72">
    <cfRule type="cellIs" dxfId="1011" priority="1011" operator="lessThan">
      <formula>0</formula>
    </cfRule>
    <cfRule type="cellIs" dxfId="1010" priority="1012" operator="greaterThanOrEqual">
      <formula>0</formula>
    </cfRule>
  </conditionalFormatting>
  <conditionalFormatting sqref="N66">
    <cfRule type="cellIs" dxfId="1009" priority="1009" operator="lessThan">
      <formula>0</formula>
    </cfRule>
    <cfRule type="cellIs" dxfId="1008" priority="1010" operator="greaterThanOrEqual">
      <formula>0</formula>
    </cfRule>
  </conditionalFormatting>
  <conditionalFormatting sqref="F61">
    <cfRule type="cellIs" dxfId="1007" priority="990" operator="greaterThanOrEqual">
      <formula>0</formula>
    </cfRule>
  </conditionalFormatting>
  <conditionalFormatting sqref="F61">
    <cfRule type="cellIs" dxfId="1006" priority="989" operator="lessThan">
      <formula>0</formula>
    </cfRule>
  </conditionalFormatting>
  <conditionalFormatting sqref="G43">
    <cfRule type="cellIs" dxfId="1005" priority="999" operator="greaterThan">
      <formula>0</formula>
    </cfRule>
    <cfRule type="cellIs" dxfId="1004" priority="1000" operator="lessThanOrEqual">
      <formula>0</formula>
    </cfRule>
  </conditionalFormatting>
  <conditionalFormatting sqref="G46">
    <cfRule type="cellIs" dxfId="1003" priority="997" operator="greaterThan">
      <formula>0</formula>
    </cfRule>
    <cfRule type="cellIs" dxfId="1002" priority="998" operator="lessThanOrEqual">
      <formula>0</formula>
    </cfRule>
  </conditionalFormatting>
  <conditionalFormatting sqref="G49">
    <cfRule type="cellIs" dxfId="1001" priority="995" operator="greaterThan">
      <formula>0</formula>
    </cfRule>
    <cfRule type="cellIs" dxfId="1000" priority="996" operator="lessThanOrEqual">
      <formula>0</formula>
    </cfRule>
  </conditionalFormatting>
  <conditionalFormatting sqref="G27">
    <cfRule type="cellIs" dxfId="999" priority="1007" operator="greaterThan">
      <formula>0</formula>
    </cfRule>
    <cfRule type="cellIs" dxfId="998" priority="1008" operator="lessThanOrEqual">
      <formula>0</formula>
    </cfRule>
  </conditionalFormatting>
  <conditionalFormatting sqref="G40">
    <cfRule type="cellIs" dxfId="997" priority="1005" operator="greaterThan">
      <formula>0</formula>
    </cfRule>
    <cfRule type="cellIs" dxfId="996" priority="1006" operator="lessThanOrEqual">
      <formula>0</formula>
    </cfRule>
  </conditionalFormatting>
  <conditionalFormatting sqref="J181">
    <cfRule type="cellIs" dxfId="995" priority="794" operator="greaterThanOrEqual">
      <formula>0</formula>
    </cfRule>
  </conditionalFormatting>
  <conditionalFormatting sqref="J181">
    <cfRule type="cellIs" dxfId="994" priority="793" operator="lessThan">
      <formula>0</formula>
    </cfRule>
  </conditionalFormatting>
  <conditionalFormatting sqref="G41:G42 G44:G45">
    <cfRule type="cellIs" dxfId="993" priority="1003" operator="greaterThan">
      <formula>0</formula>
    </cfRule>
    <cfRule type="cellIs" dxfId="992" priority="1004" operator="lessThanOrEqual">
      <formula>0</formula>
    </cfRule>
  </conditionalFormatting>
  <conditionalFormatting sqref="G56:G57 G59:G60">
    <cfRule type="cellIs" dxfId="991" priority="1001" operator="greaterThan">
      <formula>0</formula>
    </cfRule>
    <cfRule type="cellIs" dxfId="990" priority="1002" operator="lessThanOrEqual">
      <formula>0</formula>
    </cfRule>
  </conditionalFormatting>
  <conditionalFormatting sqref="G58">
    <cfRule type="cellIs" dxfId="989" priority="993" operator="greaterThan">
      <formula>0</formula>
    </cfRule>
    <cfRule type="cellIs" dxfId="988" priority="994" operator="lessThanOrEqual">
      <formula>0</formula>
    </cfRule>
  </conditionalFormatting>
  <conditionalFormatting sqref="G61">
    <cfRule type="cellIs" dxfId="987" priority="991" operator="greaterThan">
      <formula>0</formula>
    </cfRule>
    <cfRule type="cellIs" dxfId="986" priority="992" operator="lessThanOrEqual">
      <formula>0</formula>
    </cfRule>
  </conditionalFormatting>
  <conditionalFormatting sqref="G64">
    <cfRule type="cellIs" dxfId="985" priority="987" operator="greaterThan">
      <formula>0</formula>
    </cfRule>
    <cfRule type="cellIs" dxfId="984" priority="988" operator="lessThanOrEqual">
      <formula>0</formula>
    </cfRule>
  </conditionalFormatting>
  <conditionalFormatting sqref="K46">
    <cfRule type="cellIs" dxfId="983" priority="657" operator="greaterThan">
      <formula>0</formula>
    </cfRule>
    <cfRule type="cellIs" dxfId="982" priority="658" operator="lessThanOrEqual">
      <formula>0</formula>
    </cfRule>
  </conditionalFormatting>
  <conditionalFormatting sqref="K58">
    <cfRule type="cellIs" dxfId="981" priority="653" operator="greaterThan">
      <formula>0</formula>
    </cfRule>
    <cfRule type="cellIs" dxfId="980" priority="654" operator="lessThanOrEqual">
      <formula>0</formula>
    </cfRule>
  </conditionalFormatting>
  <conditionalFormatting sqref="J61">
    <cfRule type="cellIs" dxfId="979" priority="650" operator="greaterThanOrEqual">
      <formula>0</formula>
    </cfRule>
  </conditionalFormatting>
  <conditionalFormatting sqref="J61">
    <cfRule type="cellIs" dxfId="978" priority="649" operator="lessThan">
      <formula>0</formula>
    </cfRule>
  </conditionalFormatting>
  <conditionalFormatting sqref="G133">
    <cfRule type="cellIs" dxfId="977" priority="985" operator="greaterThan">
      <formula>0</formula>
    </cfRule>
    <cfRule type="cellIs" dxfId="976" priority="986" operator="lessThanOrEqual">
      <formula>0</formula>
    </cfRule>
  </conditionalFormatting>
  <conditionalFormatting sqref="G135:G136">
    <cfRule type="cellIs" dxfId="975" priority="983" operator="greaterThan">
      <formula>0</formula>
    </cfRule>
    <cfRule type="cellIs" dxfId="974" priority="984" operator="lessThanOrEqual">
      <formula>0</formula>
    </cfRule>
  </conditionalFormatting>
  <conditionalFormatting sqref="G172:G173">
    <cfRule type="cellIs" dxfId="973" priority="965" operator="greaterThan">
      <formula>0</formula>
    </cfRule>
    <cfRule type="cellIs" dxfId="972" priority="966" operator="lessThanOrEqual">
      <formula>0</formula>
    </cfRule>
  </conditionalFormatting>
  <conditionalFormatting sqref="G143">
    <cfRule type="cellIs" dxfId="971" priority="955" operator="greaterThan">
      <formula>0</formula>
    </cfRule>
    <cfRule type="cellIs" dxfId="970" priority="956" operator="lessThanOrEqual">
      <formula>0</formula>
    </cfRule>
  </conditionalFormatting>
  <conditionalFormatting sqref="G153">
    <cfRule type="cellIs" dxfId="969" priority="953" operator="greaterThan">
      <formula>0</formula>
    </cfRule>
    <cfRule type="cellIs" dxfId="968" priority="954" operator="lessThanOrEqual">
      <formula>0</formula>
    </cfRule>
  </conditionalFormatting>
  <conditionalFormatting sqref="G156">
    <cfRule type="cellIs" dxfId="967" priority="951" operator="greaterThan">
      <formula>0</formula>
    </cfRule>
    <cfRule type="cellIs" dxfId="966" priority="952" operator="lessThanOrEqual">
      <formula>0</formula>
    </cfRule>
  </conditionalFormatting>
  <conditionalFormatting sqref="F163">
    <cfRule type="cellIs" dxfId="965" priority="836" operator="greaterThanOrEqual">
      <formula>0</formula>
    </cfRule>
  </conditionalFormatting>
  <conditionalFormatting sqref="F163">
    <cfRule type="cellIs" dxfId="964" priority="835" operator="lessThan">
      <formula>0</formula>
    </cfRule>
  </conditionalFormatting>
  <conditionalFormatting sqref="G163">
    <cfRule type="cellIs" dxfId="963" priority="837" operator="greaterThan">
      <formula>0</formula>
    </cfRule>
    <cfRule type="cellIs" dxfId="962" priority="838" operator="lessThanOrEqual">
      <formula>0</formula>
    </cfRule>
  </conditionalFormatting>
  <conditionalFormatting sqref="J184">
    <cfRule type="cellIs" dxfId="961" priority="784" operator="greaterThanOrEqual">
      <formula>0</formula>
    </cfRule>
  </conditionalFormatting>
  <conditionalFormatting sqref="J184">
    <cfRule type="cellIs" dxfId="960" priority="783" operator="lessThan">
      <formula>0</formula>
    </cfRule>
  </conditionalFormatting>
  <conditionalFormatting sqref="N144">
    <cfRule type="cellIs" dxfId="959" priority="882" operator="greaterThanOrEqual">
      <formula>0</formula>
    </cfRule>
  </conditionalFormatting>
  <conditionalFormatting sqref="N144">
    <cfRule type="cellIs" dxfId="958" priority="881" operator="lessThan">
      <formula>0</formula>
    </cfRule>
  </conditionalFormatting>
  <conditionalFormatting sqref="J159 J185">
    <cfRule type="cellIs" dxfId="957" priority="934" operator="greaterThanOrEqual">
      <formula>0</formula>
    </cfRule>
  </conditionalFormatting>
  <conditionalFormatting sqref="J159 J185">
    <cfRule type="cellIs" dxfId="956" priority="933" operator="lessThan">
      <formula>0</formula>
    </cfRule>
  </conditionalFormatting>
  <conditionalFormatting sqref="G170">
    <cfRule type="cellIs" dxfId="955" priority="863" operator="greaterThan">
      <formula>0</formula>
    </cfRule>
    <cfRule type="cellIs" dxfId="954" priority="864" operator="lessThanOrEqual">
      <formula>0</formula>
    </cfRule>
  </conditionalFormatting>
  <conditionalFormatting sqref="F170">
    <cfRule type="cellIs" dxfId="953" priority="862" operator="greaterThanOrEqual">
      <formula>0</formula>
    </cfRule>
  </conditionalFormatting>
  <conditionalFormatting sqref="F170">
    <cfRule type="cellIs" dxfId="952" priority="861" operator="lessThan">
      <formula>0</formula>
    </cfRule>
  </conditionalFormatting>
  <conditionalFormatting sqref="N166">
    <cfRule type="cellIs" dxfId="951" priority="820" operator="greaterThanOrEqual">
      <formula>0</formula>
    </cfRule>
  </conditionalFormatting>
  <conditionalFormatting sqref="N166">
    <cfRule type="cellIs" dxfId="950" priority="819" operator="lessThan">
      <formula>0</formula>
    </cfRule>
  </conditionalFormatting>
  <conditionalFormatting sqref="G138:G139">
    <cfRule type="cellIs" dxfId="949" priority="981" operator="greaterThan">
      <formula>0</formula>
    </cfRule>
    <cfRule type="cellIs" dxfId="948" priority="982" operator="lessThanOrEqual">
      <formula>0</formula>
    </cfRule>
  </conditionalFormatting>
  <conditionalFormatting sqref="G148:G149">
    <cfRule type="cellIs" dxfId="947" priority="979" operator="greaterThan">
      <formula>0</formula>
    </cfRule>
    <cfRule type="cellIs" dxfId="946" priority="980" operator="lessThanOrEqual">
      <formula>0</formula>
    </cfRule>
  </conditionalFormatting>
  <conditionalFormatting sqref="G141:G142">
    <cfRule type="cellIs" dxfId="945" priority="977" operator="greaterThan">
      <formula>0</formula>
    </cfRule>
    <cfRule type="cellIs" dxfId="944" priority="978" operator="lessThanOrEqual">
      <formula>0</formula>
    </cfRule>
  </conditionalFormatting>
  <conditionalFormatting sqref="G151:G152">
    <cfRule type="cellIs" dxfId="943" priority="975" operator="greaterThan">
      <formula>0</formula>
    </cfRule>
    <cfRule type="cellIs" dxfId="942" priority="976" operator="lessThanOrEqual">
      <formula>0</formula>
    </cfRule>
  </conditionalFormatting>
  <conditionalFormatting sqref="G154:G155">
    <cfRule type="cellIs" dxfId="941" priority="973" operator="greaterThan">
      <formula>0</formula>
    </cfRule>
    <cfRule type="cellIs" dxfId="940" priority="974" operator="lessThanOrEqual">
      <formula>0</formula>
    </cfRule>
  </conditionalFormatting>
  <conditionalFormatting sqref="G157:G158">
    <cfRule type="cellIs" dxfId="939" priority="971" operator="greaterThan">
      <formula>0</formula>
    </cfRule>
    <cfRule type="cellIs" dxfId="938" priority="972" operator="lessThanOrEqual">
      <formula>0</formula>
    </cfRule>
  </conditionalFormatting>
  <conditionalFormatting sqref="G167:G168">
    <cfRule type="cellIs" dxfId="937" priority="969" operator="greaterThan">
      <formula>0</formula>
    </cfRule>
    <cfRule type="cellIs" dxfId="936" priority="970" operator="lessThanOrEqual">
      <formula>0</formula>
    </cfRule>
  </conditionalFormatting>
  <conditionalFormatting sqref="G182:G183">
    <cfRule type="cellIs" dxfId="935" priority="967" operator="greaterThan">
      <formula>0</formula>
    </cfRule>
    <cfRule type="cellIs" dxfId="934" priority="968" operator="lessThanOrEqual">
      <formula>0</formula>
    </cfRule>
  </conditionalFormatting>
  <conditionalFormatting sqref="G134">
    <cfRule type="cellIs" dxfId="933" priority="963" operator="greaterThan">
      <formula>0</formula>
    </cfRule>
    <cfRule type="cellIs" dxfId="932" priority="964" operator="lessThanOrEqual">
      <formula>0</formula>
    </cfRule>
  </conditionalFormatting>
  <conditionalFormatting sqref="G137">
    <cfRule type="cellIs" dxfId="931" priority="961" operator="greaterThan">
      <formula>0</formula>
    </cfRule>
    <cfRule type="cellIs" dxfId="930" priority="962" operator="lessThanOrEqual">
      <formula>0</formula>
    </cfRule>
  </conditionalFormatting>
  <conditionalFormatting sqref="G140">
    <cfRule type="cellIs" dxfId="929" priority="959" operator="greaterThan">
      <formula>0</formula>
    </cfRule>
    <cfRule type="cellIs" dxfId="928" priority="960" operator="lessThanOrEqual">
      <formula>0</formula>
    </cfRule>
  </conditionalFormatting>
  <conditionalFormatting sqref="G150">
    <cfRule type="cellIs" dxfId="927" priority="957" operator="greaterThan">
      <formula>0</formula>
    </cfRule>
    <cfRule type="cellIs" dxfId="926" priority="958" operator="lessThanOrEqual">
      <formula>0</formula>
    </cfRule>
  </conditionalFormatting>
  <conditionalFormatting sqref="G159">
    <cfRule type="cellIs" dxfId="925" priority="949" operator="greaterThan">
      <formula>0</formula>
    </cfRule>
    <cfRule type="cellIs" dxfId="924" priority="950" operator="lessThanOrEqual">
      <formula>0</formula>
    </cfRule>
  </conditionalFormatting>
  <conditionalFormatting sqref="G145">
    <cfRule type="cellIs" dxfId="923" priority="947" operator="greaterThan">
      <formula>0</formula>
    </cfRule>
    <cfRule type="cellIs" dxfId="922" priority="948" operator="lessThanOrEqual">
      <formula>0</formula>
    </cfRule>
  </conditionalFormatting>
  <conditionalFormatting sqref="G185">
    <cfRule type="cellIs" dxfId="921" priority="945" operator="greaterThan">
      <formula>0</formula>
    </cfRule>
    <cfRule type="cellIs" dxfId="920" priority="946" operator="lessThanOrEqual">
      <formula>0</formula>
    </cfRule>
  </conditionalFormatting>
  <conditionalFormatting sqref="F132:F133 F135:F136 F138:F139 F148:F149 F141:F142 F151:F152 F154:F155 F157:F158 F167:F168 F182:F183 F172:F173 J182:J183 J172:J173 M182:N183 M172:N173">
    <cfRule type="cellIs" dxfId="919" priority="943" operator="lessThan">
      <formula>0</formula>
    </cfRule>
    <cfRule type="cellIs" dxfId="918" priority="944" operator="greaterThanOrEqual">
      <formula>0</formula>
    </cfRule>
  </conditionalFormatting>
  <conditionalFormatting sqref="F134 F137 F140 F153 F156 F159 F185 J145 M145:N145 F150 F143 F145">
    <cfRule type="cellIs" dxfId="917" priority="942" operator="greaterThanOrEqual">
      <formula>0</formula>
    </cfRule>
  </conditionalFormatting>
  <conditionalFormatting sqref="F134 F137 F140 F153 F156 F159 F185 J145 M145:N145 F150 F143 F145">
    <cfRule type="cellIs" dxfId="916" priority="941" operator="lessThan">
      <formula>0</formula>
    </cfRule>
  </conditionalFormatting>
  <conditionalFormatting sqref="J132:J133 J135:J136 J138:J139 J148:J149 J141:J142 J151:J152 J154:J155">
    <cfRule type="cellIs" dxfId="915" priority="939" operator="lessThan">
      <formula>0</formula>
    </cfRule>
    <cfRule type="cellIs" dxfId="914" priority="940" operator="greaterThanOrEqual">
      <formula>0</formula>
    </cfRule>
  </conditionalFormatting>
  <conditionalFormatting sqref="J134 J137 J140 J150 J143 J153 J156">
    <cfRule type="cellIs" dxfId="913" priority="938" operator="greaterThanOrEqual">
      <formula>0</formula>
    </cfRule>
  </conditionalFormatting>
  <conditionalFormatting sqref="J134 J137 J140 J150 J143 J153 J156">
    <cfRule type="cellIs" dxfId="912" priority="937" operator="lessThan">
      <formula>0</formula>
    </cfRule>
  </conditionalFormatting>
  <conditionalFormatting sqref="J157:J158 J167:J168">
    <cfRule type="cellIs" dxfId="911" priority="935" operator="lessThan">
      <formula>0</formula>
    </cfRule>
    <cfRule type="cellIs" dxfId="910" priority="936" operator="greaterThanOrEqual">
      <formula>0</formula>
    </cfRule>
  </conditionalFormatting>
  <conditionalFormatting sqref="G186">
    <cfRule type="cellIs" dxfId="909" priority="931" operator="greaterThan">
      <formula>0</formula>
    </cfRule>
    <cfRule type="cellIs" dxfId="908" priority="932" operator="lessThanOrEqual">
      <formula>0</formula>
    </cfRule>
  </conditionalFormatting>
  <conditionalFormatting sqref="J186">
    <cfRule type="cellIs" dxfId="907" priority="929" operator="greaterThanOrEqual">
      <formula>0</formula>
    </cfRule>
    <cfRule type="cellIs" dxfId="906" priority="930" operator="lessThan">
      <formula>0</formula>
    </cfRule>
  </conditionalFormatting>
  <conditionalFormatting sqref="F186">
    <cfRule type="cellIs" dxfId="905" priority="927" operator="greaterThanOrEqual">
      <formula>0</formula>
    </cfRule>
    <cfRule type="cellIs" dxfId="904" priority="928" operator="lessThan">
      <formula>0</formula>
    </cfRule>
  </conditionalFormatting>
  <conditionalFormatting sqref="M132:M133 M135:M136 M138:M139 M148:M149 M141:M142 M151:M152 M154:M155 M157:M158 M167:M168">
    <cfRule type="cellIs" dxfId="903" priority="925" operator="lessThan">
      <formula>0</formula>
    </cfRule>
    <cfRule type="cellIs" dxfId="902" priority="926" operator="greaterThanOrEqual">
      <formula>0</formula>
    </cfRule>
  </conditionalFormatting>
  <conditionalFormatting sqref="M134 M137 M140 M150 M143 M153 M156 M159 M185">
    <cfRule type="cellIs" dxfId="901" priority="924" operator="greaterThanOrEqual">
      <formula>0</formula>
    </cfRule>
  </conditionalFormatting>
  <conditionalFormatting sqref="M134 M137 M140 M150 M143 M153 M156 M159 M185">
    <cfRule type="cellIs" dxfId="900" priority="923" operator="lessThan">
      <formula>0</formula>
    </cfRule>
  </conditionalFormatting>
  <conditionalFormatting sqref="M186">
    <cfRule type="cellIs" dxfId="899" priority="921" operator="greaterThanOrEqual">
      <formula>0</formula>
    </cfRule>
    <cfRule type="cellIs" dxfId="898" priority="922" operator="lessThan">
      <formula>0</formula>
    </cfRule>
  </conditionalFormatting>
  <conditionalFormatting sqref="N132:N133">
    <cfRule type="cellIs" dxfId="897" priority="919" operator="greaterThan">
      <formula>0</formula>
    </cfRule>
    <cfRule type="cellIs" dxfId="896" priority="920" operator="lessThanOrEqual">
      <formula>0</formula>
    </cfRule>
  </conditionalFormatting>
  <conditionalFormatting sqref="N135:N136">
    <cfRule type="cellIs" dxfId="895" priority="917" operator="greaterThan">
      <formula>0</formula>
    </cfRule>
    <cfRule type="cellIs" dxfId="894" priority="918" operator="lessThanOrEqual">
      <formula>0</formula>
    </cfRule>
  </conditionalFormatting>
  <conditionalFormatting sqref="N138:N139">
    <cfRule type="cellIs" dxfId="893" priority="915" operator="greaterThan">
      <formula>0</formula>
    </cfRule>
    <cfRule type="cellIs" dxfId="892" priority="916" operator="lessThanOrEqual">
      <formula>0</formula>
    </cfRule>
  </conditionalFormatting>
  <conditionalFormatting sqref="N148:N149">
    <cfRule type="cellIs" dxfId="891" priority="913" operator="greaterThan">
      <formula>0</formula>
    </cfRule>
    <cfRule type="cellIs" dxfId="890" priority="914" operator="lessThanOrEqual">
      <formula>0</formula>
    </cfRule>
  </conditionalFormatting>
  <conditionalFormatting sqref="N141:N142">
    <cfRule type="cellIs" dxfId="889" priority="911" operator="greaterThan">
      <formula>0</formula>
    </cfRule>
    <cfRule type="cellIs" dxfId="888" priority="912" operator="lessThanOrEqual">
      <formula>0</formula>
    </cfRule>
  </conditionalFormatting>
  <conditionalFormatting sqref="N151:N152">
    <cfRule type="cellIs" dxfId="887" priority="909" operator="greaterThan">
      <formula>0</formula>
    </cfRule>
    <cfRule type="cellIs" dxfId="886" priority="910" operator="lessThanOrEqual">
      <formula>0</formula>
    </cfRule>
  </conditionalFormatting>
  <conditionalFormatting sqref="N154:N155">
    <cfRule type="cellIs" dxfId="885" priority="907" operator="greaterThan">
      <formula>0</formula>
    </cfRule>
    <cfRule type="cellIs" dxfId="884" priority="908" operator="lessThanOrEqual">
      <formula>0</formula>
    </cfRule>
  </conditionalFormatting>
  <conditionalFormatting sqref="N157:N158 N167:N168">
    <cfRule type="cellIs" dxfId="883" priority="905" operator="lessThan">
      <formula>0</formula>
    </cfRule>
    <cfRule type="cellIs" dxfId="882" priority="906" operator="greaterThanOrEqual">
      <formula>0</formula>
    </cfRule>
  </conditionalFormatting>
  <conditionalFormatting sqref="N134 N137 N140 N150 N143 N153 N156 N159 N185">
    <cfRule type="cellIs" dxfId="881" priority="904" operator="greaterThanOrEqual">
      <formula>0</formula>
    </cfRule>
  </conditionalFormatting>
  <conditionalFormatting sqref="N134 N137 N140 N150 N143 N153 N156 N159 N185">
    <cfRule type="cellIs" dxfId="880" priority="903" operator="lessThan">
      <formula>0</formula>
    </cfRule>
  </conditionalFormatting>
  <conditionalFormatting sqref="N186">
    <cfRule type="cellIs" dxfId="879" priority="901" operator="lessThan">
      <formula>0</formula>
    </cfRule>
    <cfRule type="cellIs" dxfId="878" priority="902" operator="greaterThanOrEqual">
      <formula>0</formula>
    </cfRule>
  </conditionalFormatting>
  <conditionalFormatting sqref="G171">
    <cfRule type="cellIs" dxfId="877" priority="899" operator="greaterThan">
      <formula>0</formula>
    </cfRule>
    <cfRule type="cellIs" dxfId="876" priority="900" operator="lessThanOrEqual">
      <formula>0</formula>
    </cfRule>
  </conditionalFormatting>
  <conditionalFormatting sqref="F171">
    <cfRule type="cellIs" dxfId="875" priority="898" operator="greaterThanOrEqual">
      <formula>0</formula>
    </cfRule>
  </conditionalFormatting>
  <conditionalFormatting sqref="F171">
    <cfRule type="cellIs" dxfId="874" priority="897" operator="lessThan">
      <formula>0</formula>
    </cfRule>
  </conditionalFormatting>
  <conditionalFormatting sqref="J171">
    <cfRule type="cellIs" dxfId="873" priority="896" operator="greaterThanOrEqual">
      <formula>0</formula>
    </cfRule>
  </conditionalFormatting>
  <conditionalFormatting sqref="J171">
    <cfRule type="cellIs" dxfId="872" priority="895" operator="lessThan">
      <formula>0</formula>
    </cfRule>
  </conditionalFormatting>
  <conditionalFormatting sqref="M171">
    <cfRule type="cellIs" dxfId="871" priority="894" operator="greaterThanOrEqual">
      <formula>0</formula>
    </cfRule>
  </conditionalFormatting>
  <conditionalFormatting sqref="M171">
    <cfRule type="cellIs" dxfId="870" priority="893" operator="lessThan">
      <formula>0</formula>
    </cfRule>
  </conditionalFormatting>
  <conditionalFormatting sqref="N171">
    <cfRule type="cellIs" dxfId="869" priority="892" operator="greaterThanOrEqual">
      <formula>0</formula>
    </cfRule>
  </conditionalFormatting>
  <conditionalFormatting sqref="N171">
    <cfRule type="cellIs" dxfId="868" priority="891" operator="lessThan">
      <formula>0</formula>
    </cfRule>
  </conditionalFormatting>
  <conditionalFormatting sqref="F160">
    <cfRule type="cellIs" dxfId="867" priority="870" operator="greaterThanOrEqual">
      <formula>0</formula>
    </cfRule>
  </conditionalFormatting>
  <conditionalFormatting sqref="F160">
    <cfRule type="cellIs" dxfId="866" priority="869" operator="lessThan">
      <formula>0</formula>
    </cfRule>
  </conditionalFormatting>
  <conditionalFormatting sqref="G144">
    <cfRule type="cellIs" dxfId="865" priority="889" operator="greaterThan">
      <formula>0</formula>
    </cfRule>
    <cfRule type="cellIs" dxfId="864" priority="890" operator="lessThanOrEqual">
      <formula>0</formula>
    </cfRule>
  </conditionalFormatting>
  <conditionalFormatting sqref="F144">
    <cfRule type="cellIs" dxfId="863" priority="888" operator="greaterThanOrEqual">
      <formula>0</formula>
    </cfRule>
  </conditionalFormatting>
  <conditionalFormatting sqref="F144">
    <cfRule type="cellIs" dxfId="862" priority="887" operator="lessThan">
      <formula>0</formula>
    </cfRule>
  </conditionalFormatting>
  <conditionalFormatting sqref="J144">
    <cfRule type="cellIs" dxfId="861" priority="886" operator="greaterThanOrEqual">
      <formula>0</formula>
    </cfRule>
  </conditionalFormatting>
  <conditionalFormatting sqref="J144">
    <cfRule type="cellIs" dxfId="860" priority="885" operator="lessThan">
      <formula>0</formula>
    </cfRule>
  </conditionalFormatting>
  <conditionalFormatting sqref="M144">
    <cfRule type="cellIs" dxfId="859" priority="884" operator="greaterThanOrEqual">
      <formula>0</formula>
    </cfRule>
  </conditionalFormatting>
  <conditionalFormatting sqref="M144">
    <cfRule type="cellIs" dxfId="858" priority="883" operator="lessThan">
      <formula>0</formula>
    </cfRule>
  </conditionalFormatting>
  <conditionalFormatting sqref="J147">
    <cfRule type="cellIs" dxfId="857" priority="876" operator="greaterThanOrEqual">
      <formula>0</formula>
    </cfRule>
  </conditionalFormatting>
  <conditionalFormatting sqref="J147">
    <cfRule type="cellIs" dxfId="856" priority="875" operator="lessThan">
      <formula>0</formula>
    </cfRule>
  </conditionalFormatting>
  <conditionalFormatting sqref="M163">
    <cfRule type="cellIs" dxfId="855" priority="832" operator="greaterThanOrEqual">
      <formula>0</formula>
    </cfRule>
  </conditionalFormatting>
  <conditionalFormatting sqref="M163">
    <cfRule type="cellIs" dxfId="854" priority="831" operator="lessThan">
      <formula>0</formula>
    </cfRule>
  </conditionalFormatting>
  <conditionalFormatting sqref="M147:N147">
    <cfRule type="cellIs" dxfId="853" priority="874" operator="greaterThanOrEqual">
      <formula>0</formula>
    </cfRule>
  </conditionalFormatting>
  <conditionalFormatting sqref="M147:N147">
    <cfRule type="cellIs" dxfId="852" priority="873" operator="lessThan">
      <formula>0</formula>
    </cfRule>
  </conditionalFormatting>
  <conditionalFormatting sqref="G166">
    <cfRule type="cellIs" dxfId="851" priority="827" operator="greaterThan">
      <formula>0</formula>
    </cfRule>
    <cfRule type="cellIs" dxfId="850" priority="828" operator="lessThanOrEqual">
      <formula>0</formula>
    </cfRule>
  </conditionalFormatting>
  <conditionalFormatting sqref="F166">
    <cfRule type="cellIs" dxfId="849" priority="826" operator="greaterThanOrEqual">
      <formula>0</formula>
    </cfRule>
  </conditionalFormatting>
  <conditionalFormatting sqref="F166">
    <cfRule type="cellIs" dxfId="848" priority="825" operator="lessThan">
      <formula>0</formula>
    </cfRule>
  </conditionalFormatting>
  <conditionalFormatting sqref="G169">
    <cfRule type="cellIs" dxfId="847" priority="817" operator="greaterThan">
      <formula>0</formula>
    </cfRule>
    <cfRule type="cellIs" dxfId="846" priority="818" operator="lessThanOrEqual">
      <formula>0</formula>
    </cfRule>
  </conditionalFormatting>
  <conditionalFormatting sqref="F169">
    <cfRule type="cellIs" dxfId="845" priority="816" operator="greaterThanOrEqual">
      <formula>0</formula>
    </cfRule>
  </conditionalFormatting>
  <conditionalFormatting sqref="F169">
    <cfRule type="cellIs" dxfId="844" priority="815" operator="lessThan">
      <formula>0</formula>
    </cfRule>
  </conditionalFormatting>
  <conditionalFormatting sqref="M170:N170">
    <cfRule type="cellIs" dxfId="843" priority="858" operator="greaterThanOrEqual">
      <formula>0</formula>
    </cfRule>
  </conditionalFormatting>
  <conditionalFormatting sqref="M170:N170">
    <cfRule type="cellIs" dxfId="842" priority="857" operator="lessThan">
      <formula>0</formula>
    </cfRule>
  </conditionalFormatting>
  <conditionalFormatting sqref="F178">
    <cfRule type="cellIs" dxfId="841" priority="806" operator="greaterThanOrEqual">
      <formula>0</formula>
    </cfRule>
  </conditionalFormatting>
  <conditionalFormatting sqref="F178">
    <cfRule type="cellIs" dxfId="840" priority="805" operator="lessThan">
      <formula>0</formula>
    </cfRule>
  </conditionalFormatting>
  <conditionalFormatting sqref="G147">
    <cfRule type="cellIs" dxfId="839" priority="879" operator="greaterThan">
      <formula>0</formula>
    </cfRule>
    <cfRule type="cellIs" dxfId="838" priority="880" operator="lessThanOrEqual">
      <formula>0</formula>
    </cfRule>
  </conditionalFormatting>
  <conditionalFormatting sqref="F147">
    <cfRule type="cellIs" dxfId="837" priority="878" operator="greaterThanOrEqual">
      <formula>0</formula>
    </cfRule>
  </conditionalFormatting>
  <conditionalFormatting sqref="F147">
    <cfRule type="cellIs" dxfId="836" priority="877" operator="lessThan">
      <formula>0</formula>
    </cfRule>
  </conditionalFormatting>
  <conditionalFormatting sqref="J160">
    <cfRule type="cellIs" dxfId="835" priority="868" operator="greaterThanOrEqual">
      <formula>0</formula>
    </cfRule>
  </conditionalFormatting>
  <conditionalFormatting sqref="J160">
    <cfRule type="cellIs" dxfId="834" priority="867" operator="lessThan">
      <formula>0</formula>
    </cfRule>
  </conditionalFormatting>
  <conditionalFormatting sqref="M160:N160">
    <cfRule type="cellIs" dxfId="833" priority="866" operator="greaterThanOrEqual">
      <formula>0</formula>
    </cfRule>
  </conditionalFormatting>
  <conditionalFormatting sqref="M160:N160">
    <cfRule type="cellIs" dxfId="832" priority="865" operator="lessThan">
      <formula>0</formula>
    </cfRule>
  </conditionalFormatting>
  <conditionalFormatting sqref="G160">
    <cfRule type="cellIs" dxfId="831" priority="871" operator="greaterThan">
      <formula>0</formula>
    </cfRule>
    <cfRule type="cellIs" dxfId="830" priority="872" operator="lessThanOrEqual">
      <formula>0</formula>
    </cfRule>
  </conditionalFormatting>
  <conditionalFormatting sqref="J170">
    <cfRule type="cellIs" dxfId="829" priority="860" operator="greaterThanOrEqual">
      <formula>0</formula>
    </cfRule>
  </conditionalFormatting>
  <conditionalFormatting sqref="J170">
    <cfRule type="cellIs" dxfId="828" priority="859" operator="lessThan">
      <formula>0</formula>
    </cfRule>
  </conditionalFormatting>
  <conditionalFormatting sqref="N163">
    <cfRule type="cellIs" dxfId="827" priority="829" operator="lessThan">
      <formula>0</formula>
    </cfRule>
  </conditionalFormatting>
  <conditionalFormatting sqref="N169">
    <cfRule type="cellIs" dxfId="826" priority="809" operator="lessThan">
      <formula>0</formula>
    </cfRule>
  </conditionalFormatting>
  <conditionalFormatting sqref="J163">
    <cfRule type="cellIs" dxfId="825" priority="834" operator="greaterThanOrEqual">
      <formula>0</formula>
    </cfRule>
  </conditionalFormatting>
  <conditionalFormatting sqref="J163">
    <cfRule type="cellIs" dxfId="824" priority="833" operator="lessThan">
      <formula>0</formula>
    </cfRule>
  </conditionalFormatting>
  <conditionalFormatting sqref="N163">
    <cfRule type="cellIs" dxfId="823" priority="830" operator="greaterThanOrEqual">
      <formula>0</formula>
    </cfRule>
  </conditionalFormatting>
  <conditionalFormatting sqref="N178">
    <cfRule type="cellIs" dxfId="822" priority="799" operator="lessThan">
      <formula>0</formula>
    </cfRule>
  </conditionalFormatting>
  <conditionalFormatting sqref="G161:G162 G164:G165">
    <cfRule type="cellIs" dxfId="821" priority="855" operator="greaterThan">
      <formula>0</formula>
    </cfRule>
    <cfRule type="cellIs" dxfId="820" priority="856" operator="lessThanOrEqual">
      <formula>0</formula>
    </cfRule>
  </conditionalFormatting>
  <conditionalFormatting sqref="F161:F162 F164:F165">
    <cfRule type="cellIs" dxfId="819" priority="853" operator="lessThan">
      <formula>0</formula>
    </cfRule>
    <cfRule type="cellIs" dxfId="818" priority="854" operator="greaterThanOrEqual">
      <formula>0</formula>
    </cfRule>
  </conditionalFormatting>
  <conditionalFormatting sqref="J161:J162 J164:J165">
    <cfRule type="cellIs" dxfId="817" priority="851" operator="lessThan">
      <formula>0</formula>
    </cfRule>
    <cfRule type="cellIs" dxfId="816" priority="852" operator="greaterThanOrEqual">
      <formula>0</formula>
    </cfRule>
  </conditionalFormatting>
  <conditionalFormatting sqref="M161:M162 M164:M165">
    <cfRule type="cellIs" dxfId="815" priority="849" operator="lessThan">
      <formula>0</formula>
    </cfRule>
    <cfRule type="cellIs" dxfId="814" priority="850" operator="greaterThanOrEqual">
      <formula>0</formula>
    </cfRule>
  </conditionalFormatting>
  <conditionalFormatting sqref="N161:N162 N164:N165">
    <cfRule type="cellIs" dxfId="813" priority="847" operator="lessThan">
      <formula>0</formula>
    </cfRule>
    <cfRule type="cellIs" dxfId="812" priority="848" operator="greaterThanOrEqual">
      <formula>0</formula>
    </cfRule>
  </conditionalFormatting>
  <conditionalFormatting sqref="J176:J177 J179:J180">
    <cfRule type="cellIs" dxfId="811" priority="841" operator="lessThan">
      <formula>0</formula>
    </cfRule>
    <cfRule type="cellIs" dxfId="810" priority="842" operator="greaterThanOrEqual">
      <formula>0</formula>
    </cfRule>
  </conditionalFormatting>
  <conditionalFormatting sqref="M176:N177 M179:N180">
    <cfRule type="cellIs" dxfId="809" priority="839" operator="lessThan">
      <formula>0</formula>
    </cfRule>
    <cfRule type="cellIs" dxfId="808" priority="840" operator="greaterThanOrEqual">
      <formula>0</formula>
    </cfRule>
  </conditionalFormatting>
  <conditionalFormatting sqref="G176:G177 G179:G180">
    <cfRule type="cellIs" dxfId="807" priority="845" operator="greaterThan">
      <formula>0</formula>
    </cfRule>
    <cfRule type="cellIs" dxfId="806" priority="846" operator="lessThanOrEqual">
      <formula>0</formula>
    </cfRule>
  </conditionalFormatting>
  <conditionalFormatting sqref="F176:F177 F179:F180">
    <cfRule type="cellIs" dxfId="805" priority="843" operator="lessThan">
      <formula>0</formula>
    </cfRule>
    <cfRule type="cellIs" dxfId="804" priority="844" operator="greaterThanOrEqual">
      <formula>0</formula>
    </cfRule>
  </conditionalFormatting>
  <conditionalFormatting sqref="G178">
    <cfRule type="cellIs" dxfId="803" priority="807" operator="greaterThan">
      <formula>0</formula>
    </cfRule>
    <cfRule type="cellIs" dxfId="802" priority="808" operator="lessThanOrEqual">
      <formula>0</formula>
    </cfRule>
  </conditionalFormatting>
  <conditionalFormatting sqref="F181">
    <cfRule type="cellIs" dxfId="801" priority="796" operator="greaterThanOrEqual">
      <formula>0</formula>
    </cfRule>
  </conditionalFormatting>
  <conditionalFormatting sqref="F181">
    <cfRule type="cellIs" dxfId="800" priority="795" operator="lessThan">
      <formula>0</formula>
    </cfRule>
  </conditionalFormatting>
  <conditionalFormatting sqref="J166">
    <cfRule type="cellIs" dxfId="799" priority="824" operator="greaterThanOrEqual">
      <formula>0</formula>
    </cfRule>
  </conditionalFormatting>
  <conditionalFormatting sqref="J166">
    <cfRule type="cellIs" dxfId="798" priority="823" operator="lessThan">
      <formula>0</formula>
    </cfRule>
  </conditionalFormatting>
  <conditionalFormatting sqref="M166">
    <cfRule type="cellIs" dxfId="797" priority="822" operator="greaterThanOrEqual">
      <formula>0</formula>
    </cfRule>
  </conditionalFormatting>
  <conditionalFormatting sqref="M166">
    <cfRule type="cellIs" dxfId="796" priority="821" operator="lessThan">
      <formula>0</formula>
    </cfRule>
  </conditionalFormatting>
  <conditionalFormatting sqref="N181">
    <cfRule type="cellIs" dxfId="795" priority="789" operator="lessThan">
      <formula>0</formula>
    </cfRule>
  </conditionalFormatting>
  <conditionalFormatting sqref="G181">
    <cfRule type="cellIs" dxfId="794" priority="797" operator="greaterThan">
      <formula>0</formula>
    </cfRule>
    <cfRule type="cellIs" dxfId="793" priority="798" operator="lessThanOrEqual">
      <formula>0</formula>
    </cfRule>
  </conditionalFormatting>
  <conditionalFormatting sqref="F184">
    <cfRule type="cellIs" dxfId="792" priority="786" operator="greaterThanOrEqual">
      <formula>0</formula>
    </cfRule>
  </conditionalFormatting>
  <conditionalFormatting sqref="F184">
    <cfRule type="cellIs" dxfId="791" priority="785" operator="lessThan">
      <formula>0</formula>
    </cfRule>
  </conditionalFormatting>
  <conditionalFormatting sqref="M169">
    <cfRule type="cellIs" dxfId="790" priority="812" operator="greaterThanOrEqual">
      <formula>0</formula>
    </cfRule>
  </conditionalFormatting>
  <conditionalFormatting sqref="M169">
    <cfRule type="cellIs" dxfId="789" priority="811" operator="lessThan">
      <formula>0</formula>
    </cfRule>
  </conditionalFormatting>
  <conditionalFormatting sqref="N184">
    <cfRule type="cellIs" dxfId="788" priority="779" operator="lessThan">
      <formula>0</formula>
    </cfRule>
  </conditionalFormatting>
  <conditionalFormatting sqref="J169">
    <cfRule type="cellIs" dxfId="787" priority="814" operator="greaterThanOrEqual">
      <formula>0</formula>
    </cfRule>
  </conditionalFormatting>
  <conditionalFormatting sqref="J169">
    <cfRule type="cellIs" dxfId="786" priority="813" operator="lessThan">
      <formula>0</formula>
    </cfRule>
  </conditionalFormatting>
  <conditionalFormatting sqref="N169">
    <cfRule type="cellIs" dxfId="785" priority="810" operator="greaterThanOrEqual">
      <formula>0</formula>
    </cfRule>
  </conditionalFormatting>
  <conditionalFormatting sqref="G184">
    <cfRule type="cellIs" dxfId="784" priority="787" operator="greaterThan">
      <formula>0</formula>
    </cfRule>
    <cfRule type="cellIs" dxfId="783" priority="788" operator="lessThanOrEqual">
      <formula>0</formula>
    </cfRule>
  </conditionalFormatting>
  <conditionalFormatting sqref="J178">
    <cfRule type="cellIs" dxfId="782" priority="804" operator="greaterThanOrEqual">
      <formula>0</formula>
    </cfRule>
  </conditionalFormatting>
  <conditionalFormatting sqref="J178">
    <cfRule type="cellIs" dxfId="781" priority="803" operator="lessThan">
      <formula>0</formula>
    </cfRule>
  </conditionalFormatting>
  <conditionalFormatting sqref="M178">
    <cfRule type="cellIs" dxfId="780" priority="802" operator="greaterThanOrEqual">
      <formula>0</formula>
    </cfRule>
  </conditionalFormatting>
  <conditionalFormatting sqref="M178">
    <cfRule type="cellIs" dxfId="779" priority="801" operator="lessThan">
      <formula>0</formula>
    </cfRule>
  </conditionalFormatting>
  <conditionalFormatting sqref="N178">
    <cfRule type="cellIs" dxfId="778" priority="800" operator="greaterThanOrEqual">
      <formula>0</formula>
    </cfRule>
  </conditionalFormatting>
  <conditionalFormatting sqref="M181">
    <cfRule type="cellIs" dxfId="777" priority="792" operator="greaterThanOrEqual">
      <formula>0</formula>
    </cfRule>
  </conditionalFormatting>
  <conditionalFormatting sqref="M181">
    <cfRule type="cellIs" dxfId="776" priority="791" operator="lessThan">
      <formula>0</formula>
    </cfRule>
  </conditionalFormatting>
  <conditionalFormatting sqref="N181">
    <cfRule type="cellIs" dxfId="775" priority="790" operator="greaterThanOrEqual">
      <formula>0</formula>
    </cfRule>
  </conditionalFormatting>
  <conditionalFormatting sqref="M184">
    <cfRule type="cellIs" dxfId="774" priority="782" operator="greaterThanOrEqual">
      <formula>0</formula>
    </cfRule>
  </conditionalFormatting>
  <conditionalFormatting sqref="M184">
    <cfRule type="cellIs" dxfId="773" priority="781" operator="lessThan">
      <formula>0</formula>
    </cfRule>
  </conditionalFormatting>
  <conditionalFormatting sqref="N184">
    <cfRule type="cellIs" dxfId="772" priority="780" operator="greaterThanOrEqual">
      <formula>0</formula>
    </cfRule>
  </conditionalFormatting>
  <conditionalFormatting sqref="G24">
    <cfRule type="cellIs" dxfId="771" priority="777" operator="greaterThan">
      <formula>0</formula>
    </cfRule>
    <cfRule type="cellIs" dxfId="770" priority="778" operator="lessThanOrEqual">
      <formula>0</formula>
    </cfRule>
  </conditionalFormatting>
  <conditionalFormatting sqref="N51">
    <cfRule type="cellIs" dxfId="769" priority="765" operator="lessThan">
      <formula>0</formula>
    </cfRule>
  </conditionalFormatting>
  <conditionalFormatting sqref="G55">
    <cfRule type="cellIs" dxfId="768" priority="775" operator="greaterThan">
      <formula>0</formula>
    </cfRule>
    <cfRule type="cellIs" dxfId="767" priority="776" operator="lessThanOrEqual">
      <formula>0</formula>
    </cfRule>
  </conditionalFormatting>
  <conditionalFormatting sqref="F55">
    <cfRule type="cellIs" dxfId="766" priority="774" operator="greaterThanOrEqual">
      <formula>0</formula>
    </cfRule>
  </conditionalFormatting>
  <conditionalFormatting sqref="F55">
    <cfRule type="cellIs" dxfId="765" priority="773" operator="lessThan">
      <formula>0</formula>
    </cfRule>
  </conditionalFormatting>
  <conditionalFormatting sqref="G51">
    <cfRule type="cellIs" dxfId="764" priority="771" operator="greaterThan">
      <formula>0</formula>
    </cfRule>
    <cfRule type="cellIs" dxfId="763" priority="772" operator="lessThanOrEqual">
      <formula>0</formula>
    </cfRule>
  </conditionalFormatting>
  <conditionalFormatting sqref="F51">
    <cfRule type="cellIs" dxfId="762" priority="770" operator="greaterThanOrEqual">
      <formula>0</formula>
    </cfRule>
  </conditionalFormatting>
  <conditionalFormatting sqref="F51">
    <cfRule type="cellIs" dxfId="761" priority="769" operator="lessThan">
      <formula>0</formula>
    </cfRule>
  </conditionalFormatting>
  <conditionalFormatting sqref="M51">
    <cfRule type="cellIs" dxfId="760" priority="768" operator="greaterThanOrEqual">
      <formula>0</formula>
    </cfRule>
  </conditionalFormatting>
  <conditionalFormatting sqref="M51">
    <cfRule type="cellIs" dxfId="759" priority="767" operator="lessThan">
      <formula>0</formula>
    </cfRule>
  </conditionalFormatting>
  <conditionalFormatting sqref="N51">
    <cfRule type="cellIs" dxfId="758" priority="766" operator="greaterThanOrEqual">
      <formula>0</formula>
    </cfRule>
  </conditionalFormatting>
  <conditionalFormatting sqref="G68">
    <cfRule type="cellIs" dxfId="757" priority="763" operator="greaterThan">
      <formula>0</formula>
    </cfRule>
    <cfRule type="cellIs" dxfId="756" priority="764" operator="lessThanOrEqual">
      <formula>0</formula>
    </cfRule>
  </conditionalFormatting>
  <conditionalFormatting sqref="M68">
    <cfRule type="cellIs" dxfId="755" priority="761" operator="lessThan">
      <formula>0</formula>
    </cfRule>
    <cfRule type="cellIs" dxfId="754" priority="762" operator="greaterThanOrEqual">
      <formula>0</formula>
    </cfRule>
  </conditionalFormatting>
  <conditionalFormatting sqref="N68">
    <cfRule type="cellIs" dxfId="753" priority="759" operator="lessThan">
      <formula>0</formula>
    </cfRule>
    <cfRule type="cellIs" dxfId="752" priority="760" operator="greaterThanOrEqual">
      <formula>0</formula>
    </cfRule>
  </conditionalFormatting>
  <conditionalFormatting sqref="G69">
    <cfRule type="cellIs" dxfId="751" priority="757" operator="greaterThan">
      <formula>0</formula>
    </cfRule>
    <cfRule type="cellIs" dxfId="750" priority="758" operator="lessThanOrEqual">
      <formula>0</formula>
    </cfRule>
  </conditionalFormatting>
  <conditionalFormatting sqref="M71">
    <cfRule type="cellIs" dxfId="749" priority="755" operator="lessThan">
      <formula>0</formula>
    </cfRule>
    <cfRule type="cellIs" dxfId="748" priority="756" operator="greaterThanOrEqual">
      <formula>0</formula>
    </cfRule>
  </conditionalFormatting>
  <conditionalFormatting sqref="G71">
    <cfRule type="cellIs" dxfId="747" priority="753" operator="greaterThan">
      <formula>0</formula>
    </cfRule>
    <cfRule type="cellIs" dxfId="746" priority="754" operator="lessThanOrEqual">
      <formula>0</formula>
    </cfRule>
  </conditionalFormatting>
  <conditionalFormatting sqref="F24">
    <cfRule type="cellIs" dxfId="745" priority="752" operator="greaterThanOrEqual">
      <formula>0</formula>
    </cfRule>
  </conditionalFormatting>
  <conditionalFormatting sqref="F24">
    <cfRule type="cellIs" dxfId="744" priority="751" operator="lessThan">
      <formula>0</formula>
    </cfRule>
  </conditionalFormatting>
  <conditionalFormatting sqref="F27">
    <cfRule type="cellIs" dxfId="743" priority="750" operator="greaterThanOrEqual">
      <formula>0</formula>
    </cfRule>
  </conditionalFormatting>
  <conditionalFormatting sqref="F27">
    <cfRule type="cellIs" dxfId="742" priority="749" operator="lessThan">
      <formula>0</formula>
    </cfRule>
  </conditionalFormatting>
  <conditionalFormatting sqref="F40">
    <cfRule type="cellIs" dxfId="741" priority="748" operator="greaterThanOrEqual">
      <formula>0</formula>
    </cfRule>
  </conditionalFormatting>
  <conditionalFormatting sqref="F40">
    <cfRule type="cellIs" dxfId="740" priority="747" operator="lessThan">
      <formula>0</formula>
    </cfRule>
  </conditionalFormatting>
  <conditionalFormatting sqref="F43">
    <cfRule type="cellIs" dxfId="739" priority="746" operator="greaterThanOrEqual">
      <formula>0</formula>
    </cfRule>
  </conditionalFormatting>
  <conditionalFormatting sqref="F43">
    <cfRule type="cellIs" dxfId="738" priority="745" operator="lessThan">
      <formula>0</formula>
    </cfRule>
  </conditionalFormatting>
  <conditionalFormatting sqref="F46">
    <cfRule type="cellIs" dxfId="737" priority="744" operator="greaterThanOrEqual">
      <formula>0</formula>
    </cfRule>
  </conditionalFormatting>
  <conditionalFormatting sqref="F46">
    <cfRule type="cellIs" dxfId="736" priority="743" operator="lessThan">
      <formula>0</formula>
    </cfRule>
  </conditionalFormatting>
  <conditionalFormatting sqref="F49">
    <cfRule type="cellIs" dxfId="735" priority="742" operator="greaterThanOrEqual">
      <formula>0</formula>
    </cfRule>
  </conditionalFormatting>
  <conditionalFormatting sqref="F49">
    <cfRule type="cellIs" dxfId="734" priority="741" operator="lessThan">
      <formula>0</formula>
    </cfRule>
  </conditionalFormatting>
  <conditionalFormatting sqref="F50">
    <cfRule type="cellIs" dxfId="733" priority="740" operator="greaterThanOrEqual">
      <formula>0</formula>
    </cfRule>
  </conditionalFormatting>
  <conditionalFormatting sqref="F50">
    <cfRule type="cellIs" dxfId="732" priority="739" operator="lessThan">
      <formula>0</formula>
    </cfRule>
  </conditionalFormatting>
  <conditionalFormatting sqref="F58">
    <cfRule type="cellIs" dxfId="731" priority="738" operator="greaterThanOrEqual">
      <formula>0</formula>
    </cfRule>
  </conditionalFormatting>
  <conditionalFormatting sqref="F58">
    <cfRule type="cellIs" dxfId="730" priority="737" operator="lessThan">
      <formula>0</formula>
    </cfRule>
  </conditionalFormatting>
  <conditionalFormatting sqref="F64">
    <cfRule type="cellIs" dxfId="729" priority="736" operator="greaterThanOrEqual">
      <formula>0</formula>
    </cfRule>
  </conditionalFormatting>
  <conditionalFormatting sqref="F64">
    <cfRule type="cellIs" dxfId="728" priority="735" operator="lessThan">
      <formula>0</formula>
    </cfRule>
  </conditionalFormatting>
  <conditionalFormatting sqref="F65">
    <cfRule type="cellIs" dxfId="727" priority="734" operator="greaterThanOrEqual">
      <formula>0</formula>
    </cfRule>
  </conditionalFormatting>
  <conditionalFormatting sqref="F65">
    <cfRule type="cellIs" dxfId="726" priority="733" operator="lessThan">
      <formula>0</formula>
    </cfRule>
  </conditionalFormatting>
  <conditionalFormatting sqref="F67:F69">
    <cfRule type="cellIs" dxfId="725" priority="731" operator="lessThan">
      <formula>0</formula>
    </cfRule>
    <cfRule type="cellIs" dxfId="724" priority="732" operator="greaterThanOrEqual">
      <formula>0</formula>
    </cfRule>
  </conditionalFormatting>
  <conditionalFormatting sqref="F70:F71">
    <cfRule type="cellIs" dxfId="723" priority="730" operator="greaterThanOrEqual">
      <formula>0</formula>
    </cfRule>
  </conditionalFormatting>
  <conditionalFormatting sqref="F70:F71">
    <cfRule type="cellIs" dxfId="722" priority="729" operator="lessThan">
      <formula>0</formula>
    </cfRule>
  </conditionalFormatting>
  <conditionalFormatting sqref="F72">
    <cfRule type="cellIs" dxfId="721" priority="728" operator="greaterThanOrEqual">
      <formula>0</formula>
    </cfRule>
  </conditionalFormatting>
  <conditionalFormatting sqref="F72">
    <cfRule type="cellIs" dxfId="720" priority="727" operator="lessThan">
      <formula>0</formula>
    </cfRule>
  </conditionalFormatting>
  <conditionalFormatting sqref="F41:F42">
    <cfRule type="cellIs" dxfId="719" priority="725" operator="lessThan">
      <formula>0</formula>
    </cfRule>
    <cfRule type="cellIs" dxfId="718" priority="726" operator="greaterThanOrEqual">
      <formula>0</formula>
    </cfRule>
  </conditionalFormatting>
  <conditionalFormatting sqref="F44:F45">
    <cfRule type="cellIs" dxfId="717" priority="723" operator="lessThan">
      <formula>0</formula>
    </cfRule>
    <cfRule type="cellIs" dxfId="716" priority="724" operator="greaterThanOrEqual">
      <formula>0</formula>
    </cfRule>
  </conditionalFormatting>
  <conditionalFormatting sqref="F56:F57">
    <cfRule type="cellIs" dxfId="715" priority="721" operator="lessThan">
      <formula>0</formula>
    </cfRule>
    <cfRule type="cellIs" dxfId="714" priority="722" operator="greaterThanOrEqual">
      <formula>0</formula>
    </cfRule>
  </conditionalFormatting>
  <conditionalFormatting sqref="F59:F60">
    <cfRule type="cellIs" dxfId="713" priority="719" operator="lessThan">
      <formula>0</formula>
    </cfRule>
    <cfRule type="cellIs" dxfId="712" priority="720" operator="greaterThanOrEqual">
      <formula>0</formula>
    </cfRule>
  </conditionalFormatting>
  <conditionalFormatting sqref="F62:F63">
    <cfRule type="cellIs" dxfId="711" priority="717" operator="lessThan">
      <formula>0</formula>
    </cfRule>
    <cfRule type="cellIs" dxfId="710" priority="718" operator="greaterThanOrEqual">
      <formula>0</formula>
    </cfRule>
  </conditionalFormatting>
  <conditionalFormatting sqref="K12:K13">
    <cfRule type="cellIs" dxfId="709" priority="715" operator="greaterThan">
      <formula>0</formula>
    </cfRule>
    <cfRule type="cellIs" dxfId="708" priority="716" operator="lessThanOrEqual">
      <formula>0</formula>
    </cfRule>
  </conditionalFormatting>
  <conditionalFormatting sqref="K15:K16">
    <cfRule type="cellIs" dxfId="707" priority="713" operator="greaterThan">
      <formula>0</formula>
    </cfRule>
    <cfRule type="cellIs" dxfId="706" priority="714" operator="lessThanOrEqual">
      <formula>0</formula>
    </cfRule>
  </conditionalFormatting>
  <conditionalFormatting sqref="K18:K19">
    <cfRule type="cellIs" dxfId="705" priority="711" operator="greaterThan">
      <formula>0</formula>
    </cfRule>
    <cfRule type="cellIs" dxfId="704" priority="712" operator="lessThanOrEqual">
      <formula>0</formula>
    </cfRule>
  </conditionalFormatting>
  <conditionalFormatting sqref="K28:K29">
    <cfRule type="cellIs" dxfId="703" priority="709" operator="greaterThan">
      <formula>0</formula>
    </cfRule>
    <cfRule type="cellIs" dxfId="702" priority="710" operator="lessThanOrEqual">
      <formula>0</formula>
    </cfRule>
  </conditionalFormatting>
  <conditionalFormatting sqref="K21:K22">
    <cfRule type="cellIs" dxfId="701" priority="707" operator="greaterThan">
      <formula>0</formula>
    </cfRule>
    <cfRule type="cellIs" dxfId="700" priority="708" operator="lessThanOrEqual">
      <formula>0</formula>
    </cfRule>
  </conditionalFormatting>
  <conditionalFormatting sqref="K31:K32">
    <cfRule type="cellIs" dxfId="699" priority="705" operator="greaterThan">
      <formula>0</formula>
    </cfRule>
    <cfRule type="cellIs" dxfId="698" priority="706" operator="lessThanOrEqual">
      <formula>0</formula>
    </cfRule>
  </conditionalFormatting>
  <conditionalFormatting sqref="K34:K35">
    <cfRule type="cellIs" dxfId="697" priority="703" operator="greaterThan">
      <formula>0</formula>
    </cfRule>
    <cfRule type="cellIs" dxfId="696" priority="704" operator="lessThanOrEqual">
      <formula>0</formula>
    </cfRule>
  </conditionalFormatting>
  <conditionalFormatting sqref="K37:K38">
    <cfRule type="cellIs" dxfId="695" priority="701" operator="greaterThan">
      <formula>0</formula>
    </cfRule>
    <cfRule type="cellIs" dxfId="694" priority="702" operator="lessThanOrEqual">
      <formula>0</formula>
    </cfRule>
  </conditionalFormatting>
  <conditionalFormatting sqref="K47:K48">
    <cfRule type="cellIs" dxfId="693" priority="699" operator="greaterThan">
      <formula>0</formula>
    </cfRule>
    <cfRule type="cellIs" dxfId="692" priority="700" operator="lessThanOrEqual">
      <formula>0</formula>
    </cfRule>
  </conditionalFormatting>
  <conditionalFormatting sqref="K62:K63">
    <cfRule type="cellIs" dxfId="691" priority="697" operator="greaterThan">
      <formula>0</formula>
    </cfRule>
    <cfRule type="cellIs" dxfId="690" priority="698" operator="lessThanOrEqual">
      <formula>0</formula>
    </cfRule>
  </conditionalFormatting>
  <conditionalFormatting sqref="K52:K53">
    <cfRule type="cellIs" dxfId="689" priority="695" operator="greaterThan">
      <formula>0</formula>
    </cfRule>
    <cfRule type="cellIs" dxfId="688" priority="696" operator="lessThanOrEqual">
      <formula>0</formula>
    </cfRule>
  </conditionalFormatting>
  <conditionalFormatting sqref="K14">
    <cfRule type="cellIs" dxfId="687" priority="693" operator="greaterThan">
      <formula>0</formula>
    </cfRule>
    <cfRule type="cellIs" dxfId="686" priority="694" operator="lessThanOrEqual">
      <formula>0</formula>
    </cfRule>
  </conditionalFormatting>
  <conditionalFormatting sqref="K17">
    <cfRule type="cellIs" dxfId="685" priority="691" operator="greaterThan">
      <formula>0</formula>
    </cfRule>
    <cfRule type="cellIs" dxfId="684" priority="692" operator="lessThanOrEqual">
      <formula>0</formula>
    </cfRule>
  </conditionalFormatting>
  <conditionalFormatting sqref="K20">
    <cfRule type="cellIs" dxfId="683" priority="689" operator="greaterThan">
      <formula>0</formula>
    </cfRule>
    <cfRule type="cellIs" dxfId="682" priority="690" operator="lessThanOrEqual">
      <formula>0</formula>
    </cfRule>
  </conditionalFormatting>
  <conditionalFormatting sqref="K30">
    <cfRule type="cellIs" dxfId="681" priority="687" operator="greaterThan">
      <formula>0</formula>
    </cfRule>
    <cfRule type="cellIs" dxfId="680" priority="688" operator="lessThanOrEqual">
      <formula>0</formula>
    </cfRule>
  </conditionalFormatting>
  <conditionalFormatting sqref="K23">
    <cfRule type="cellIs" dxfId="679" priority="685" operator="greaterThan">
      <formula>0</formula>
    </cfRule>
    <cfRule type="cellIs" dxfId="678" priority="686" operator="lessThanOrEqual">
      <formula>0</formula>
    </cfRule>
  </conditionalFormatting>
  <conditionalFormatting sqref="K33">
    <cfRule type="cellIs" dxfId="677" priority="683" operator="greaterThan">
      <formula>0</formula>
    </cfRule>
    <cfRule type="cellIs" dxfId="676" priority="684" operator="lessThanOrEqual">
      <formula>0</formula>
    </cfRule>
  </conditionalFormatting>
  <conditionalFormatting sqref="K36">
    <cfRule type="cellIs" dxfId="675" priority="681" operator="greaterThan">
      <formula>0</formula>
    </cfRule>
    <cfRule type="cellIs" dxfId="674" priority="682" operator="lessThanOrEqual">
      <formula>0</formula>
    </cfRule>
  </conditionalFormatting>
  <conditionalFormatting sqref="K39">
    <cfRule type="cellIs" dxfId="673" priority="679" operator="greaterThan">
      <formula>0</formula>
    </cfRule>
    <cfRule type="cellIs" dxfId="672" priority="680" operator="lessThanOrEqual">
      <formula>0</formula>
    </cfRule>
  </conditionalFormatting>
  <conditionalFormatting sqref="K25">
    <cfRule type="cellIs" dxfId="671" priority="677" operator="greaterThan">
      <formula>0</formula>
    </cfRule>
    <cfRule type="cellIs" dxfId="670" priority="678" operator="lessThanOrEqual">
      <formula>0</formula>
    </cfRule>
  </conditionalFormatting>
  <conditionalFormatting sqref="K65">
    <cfRule type="cellIs" dxfId="669" priority="675" operator="greaterThan">
      <formula>0</formula>
    </cfRule>
    <cfRule type="cellIs" dxfId="668" priority="676" operator="lessThanOrEqual">
      <formula>0</formula>
    </cfRule>
  </conditionalFormatting>
  <conditionalFormatting sqref="J12:J13 J15:J16 J18:J19 J21:J22 J28:J29 J31:J32 J34:J35 J37:J38 J47:J48 J52:J53">
    <cfRule type="cellIs" dxfId="667" priority="673" operator="lessThan">
      <formula>0</formula>
    </cfRule>
    <cfRule type="cellIs" dxfId="666" priority="674" operator="greaterThanOrEqual">
      <formula>0</formula>
    </cfRule>
  </conditionalFormatting>
  <conditionalFormatting sqref="J14 J17 J20 J23 J25 J30 J33 J36 J39">
    <cfRule type="cellIs" dxfId="665" priority="672" operator="greaterThanOrEqual">
      <formula>0</formula>
    </cfRule>
  </conditionalFormatting>
  <conditionalFormatting sqref="J14 J17 J20 J23 J25 J30 J33 J36 J39">
    <cfRule type="cellIs" dxfId="664" priority="671" operator="lessThan">
      <formula>0</formula>
    </cfRule>
  </conditionalFormatting>
  <conditionalFormatting sqref="K50">
    <cfRule type="cellIs" dxfId="663" priority="665" operator="greaterThan">
      <formula>0</formula>
    </cfRule>
    <cfRule type="cellIs" dxfId="662" priority="666" operator="lessThanOrEqual">
      <formula>0</formula>
    </cfRule>
  </conditionalFormatting>
  <conditionalFormatting sqref="K43">
    <cfRule type="cellIs" dxfId="661" priority="659" operator="greaterThan">
      <formula>0</formula>
    </cfRule>
    <cfRule type="cellIs" dxfId="660" priority="660" operator="lessThanOrEqual">
      <formula>0</formula>
    </cfRule>
  </conditionalFormatting>
  <conditionalFormatting sqref="K49">
    <cfRule type="cellIs" dxfId="659" priority="655" operator="greaterThan">
      <formula>0</formula>
    </cfRule>
    <cfRule type="cellIs" dxfId="658" priority="656" operator="lessThanOrEqual">
      <formula>0</formula>
    </cfRule>
  </conditionalFormatting>
  <conditionalFormatting sqref="K27">
    <cfRule type="cellIs" dxfId="657" priority="669" operator="greaterThan">
      <formula>0</formula>
    </cfRule>
    <cfRule type="cellIs" dxfId="656" priority="670" operator="lessThanOrEqual">
      <formula>0</formula>
    </cfRule>
  </conditionalFormatting>
  <conditionalFormatting sqref="K40">
    <cfRule type="cellIs" dxfId="655" priority="667" operator="greaterThan">
      <formula>0</formula>
    </cfRule>
    <cfRule type="cellIs" dxfId="654" priority="668" operator="lessThanOrEqual">
      <formula>0</formula>
    </cfRule>
  </conditionalFormatting>
  <conditionalFormatting sqref="K41:K42 K44:K45">
    <cfRule type="cellIs" dxfId="653" priority="663" operator="greaterThan">
      <formula>0</formula>
    </cfRule>
    <cfRule type="cellIs" dxfId="652" priority="664" operator="lessThanOrEqual">
      <formula>0</formula>
    </cfRule>
  </conditionalFormatting>
  <conditionalFormatting sqref="K56:K57 K59:K60">
    <cfRule type="cellIs" dxfId="651" priority="661" operator="greaterThan">
      <formula>0</formula>
    </cfRule>
    <cfRule type="cellIs" dxfId="650" priority="662" operator="lessThanOrEqual">
      <formula>0</formula>
    </cfRule>
  </conditionalFormatting>
  <conditionalFormatting sqref="K61">
    <cfRule type="cellIs" dxfId="649" priority="651" operator="greaterThan">
      <formula>0</formula>
    </cfRule>
    <cfRule type="cellIs" dxfId="648" priority="652" operator="lessThanOrEqual">
      <formula>0</formula>
    </cfRule>
  </conditionalFormatting>
  <conditionalFormatting sqref="K64">
    <cfRule type="cellIs" dxfId="647" priority="647" operator="greaterThan">
      <formula>0</formula>
    </cfRule>
    <cfRule type="cellIs" dxfId="646" priority="648" operator="lessThanOrEqual">
      <formula>0</formula>
    </cfRule>
  </conditionalFormatting>
  <conditionalFormatting sqref="K24">
    <cfRule type="cellIs" dxfId="645" priority="645" operator="greaterThan">
      <formula>0</formula>
    </cfRule>
    <cfRule type="cellIs" dxfId="644" priority="646" operator="lessThanOrEqual">
      <formula>0</formula>
    </cfRule>
  </conditionalFormatting>
  <conditionalFormatting sqref="K55">
    <cfRule type="cellIs" dxfId="643" priority="643" operator="greaterThan">
      <formula>0</formula>
    </cfRule>
    <cfRule type="cellIs" dxfId="642" priority="644" operator="lessThanOrEqual">
      <formula>0</formula>
    </cfRule>
  </conditionalFormatting>
  <conditionalFormatting sqref="J55">
    <cfRule type="cellIs" dxfId="641" priority="642" operator="greaterThanOrEqual">
      <formula>0</formula>
    </cfRule>
  </conditionalFormatting>
  <conditionalFormatting sqref="J55">
    <cfRule type="cellIs" dxfId="640" priority="641" operator="lessThan">
      <formula>0</formula>
    </cfRule>
  </conditionalFormatting>
  <conditionalFormatting sqref="K51">
    <cfRule type="cellIs" dxfId="639" priority="639" operator="greaterThan">
      <formula>0</formula>
    </cfRule>
    <cfRule type="cellIs" dxfId="638" priority="640" operator="lessThanOrEqual">
      <formula>0</formula>
    </cfRule>
  </conditionalFormatting>
  <conditionalFormatting sqref="J51">
    <cfRule type="cellIs" dxfId="637" priority="638" operator="greaterThanOrEqual">
      <formula>0</formula>
    </cfRule>
  </conditionalFormatting>
  <conditionalFormatting sqref="J51">
    <cfRule type="cellIs" dxfId="636" priority="637" operator="lessThan">
      <formula>0</formula>
    </cfRule>
  </conditionalFormatting>
  <conditionalFormatting sqref="J24">
    <cfRule type="cellIs" dxfId="635" priority="636" operator="greaterThanOrEqual">
      <formula>0</formula>
    </cfRule>
  </conditionalFormatting>
  <conditionalFormatting sqref="J24">
    <cfRule type="cellIs" dxfId="634" priority="635" operator="lessThan">
      <formula>0</formula>
    </cfRule>
  </conditionalFormatting>
  <conditionalFormatting sqref="J27">
    <cfRule type="cellIs" dxfId="633" priority="634" operator="greaterThanOrEqual">
      <formula>0</formula>
    </cfRule>
  </conditionalFormatting>
  <conditionalFormatting sqref="J27">
    <cfRule type="cellIs" dxfId="632" priority="633" operator="lessThan">
      <formula>0</formula>
    </cfRule>
  </conditionalFormatting>
  <conditionalFormatting sqref="J40">
    <cfRule type="cellIs" dxfId="631" priority="632" operator="greaterThanOrEqual">
      <formula>0</formula>
    </cfRule>
  </conditionalFormatting>
  <conditionalFormatting sqref="J40">
    <cfRule type="cellIs" dxfId="630" priority="631" operator="lessThan">
      <formula>0</formula>
    </cfRule>
  </conditionalFormatting>
  <conditionalFormatting sqref="J43">
    <cfRule type="cellIs" dxfId="629" priority="630" operator="greaterThanOrEqual">
      <formula>0</formula>
    </cfRule>
  </conditionalFormatting>
  <conditionalFormatting sqref="J43">
    <cfRule type="cellIs" dxfId="628" priority="629" operator="lessThan">
      <formula>0</formula>
    </cfRule>
  </conditionalFormatting>
  <conditionalFormatting sqref="J46">
    <cfRule type="cellIs" dxfId="627" priority="628" operator="greaterThanOrEqual">
      <formula>0</formula>
    </cfRule>
  </conditionalFormatting>
  <conditionalFormatting sqref="J46">
    <cfRule type="cellIs" dxfId="626" priority="627" operator="lessThan">
      <formula>0</formula>
    </cfRule>
  </conditionalFormatting>
  <conditionalFormatting sqref="J49">
    <cfRule type="cellIs" dxfId="625" priority="626" operator="greaterThanOrEqual">
      <formula>0</formula>
    </cfRule>
  </conditionalFormatting>
  <conditionalFormatting sqref="J49">
    <cfRule type="cellIs" dxfId="624" priority="625" operator="lessThan">
      <formula>0</formula>
    </cfRule>
  </conditionalFormatting>
  <conditionalFormatting sqref="J50">
    <cfRule type="cellIs" dxfId="623" priority="624" operator="greaterThanOrEqual">
      <formula>0</formula>
    </cfRule>
  </conditionalFormatting>
  <conditionalFormatting sqref="J50">
    <cfRule type="cellIs" dxfId="622" priority="623" operator="lessThan">
      <formula>0</formula>
    </cfRule>
  </conditionalFormatting>
  <conditionalFormatting sqref="J58">
    <cfRule type="cellIs" dxfId="621" priority="622" operator="greaterThanOrEqual">
      <formula>0</formula>
    </cfRule>
  </conditionalFormatting>
  <conditionalFormatting sqref="J58">
    <cfRule type="cellIs" dxfId="620" priority="621" operator="lessThan">
      <formula>0</formula>
    </cfRule>
  </conditionalFormatting>
  <conditionalFormatting sqref="J64">
    <cfRule type="cellIs" dxfId="619" priority="620" operator="greaterThanOrEqual">
      <formula>0</formula>
    </cfRule>
  </conditionalFormatting>
  <conditionalFormatting sqref="J64">
    <cfRule type="cellIs" dxfId="618" priority="619" operator="lessThan">
      <formula>0</formula>
    </cfRule>
  </conditionalFormatting>
  <conditionalFormatting sqref="J65">
    <cfRule type="cellIs" dxfId="617" priority="618" operator="greaterThanOrEqual">
      <formula>0</formula>
    </cfRule>
  </conditionalFormatting>
  <conditionalFormatting sqref="J65">
    <cfRule type="cellIs" dxfId="616" priority="617" operator="lessThan">
      <formula>0</formula>
    </cfRule>
  </conditionalFormatting>
  <conditionalFormatting sqref="J41:J42">
    <cfRule type="cellIs" dxfId="615" priority="615" operator="lessThan">
      <formula>0</formula>
    </cfRule>
    <cfRule type="cellIs" dxfId="614" priority="616" operator="greaterThanOrEqual">
      <formula>0</formula>
    </cfRule>
  </conditionalFormatting>
  <conditionalFormatting sqref="J44:J45">
    <cfRule type="cellIs" dxfId="613" priority="613" operator="lessThan">
      <formula>0</formula>
    </cfRule>
    <cfRule type="cellIs" dxfId="612" priority="614" operator="greaterThanOrEqual">
      <formula>0</formula>
    </cfRule>
  </conditionalFormatting>
  <conditionalFormatting sqref="J56:J57">
    <cfRule type="cellIs" dxfId="611" priority="611" operator="lessThan">
      <formula>0</formula>
    </cfRule>
    <cfRule type="cellIs" dxfId="610" priority="612" operator="greaterThanOrEqual">
      <formula>0</formula>
    </cfRule>
  </conditionalFormatting>
  <conditionalFormatting sqref="J59:J60">
    <cfRule type="cellIs" dxfId="609" priority="609" operator="lessThan">
      <formula>0</formula>
    </cfRule>
    <cfRule type="cellIs" dxfId="608" priority="610" operator="greaterThanOrEqual">
      <formula>0</formula>
    </cfRule>
  </conditionalFormatting>
  <conditionalFormatting sqref="J62:J63">
    <cfRule type="cellIs" dxfId="607" priority="607" operator="lessThan">
      <formula>0</formula>
    </cfRule>
    <cfRule type="cellIs" dxfId="606" priority="608" operator="greaterThanOrEqual">
      <formula>0</formula>
    </cfRule>
  </conditionalFormatting>
  <conditionalFormatting sqref="K67 K70">
    <cfRule type="cellIs" dxfId="605" priority="605" operator="greaterThan">
      <formula>0</formula>
    </cfRule>
    <cfRule type="cellIs" dxfId="604" priority="606" operator="lessThanOrEqual">
      <formula>0</formula>
    </cfRule>
  </conditionalFormatting>
  <conditionalFormatting sqref="K72">
    <cfRule type="cellIs" dxfId="603" priority="603" operator="greaterThan">
      <formula>0</formula>
    </cfRule>
    <cfRule type="cellIs" dxfId="602" priority="604" operator="lessThanOrEqual">
      <formula>0</formula>
    </cfRule>
  </conditionalFormatting>
  <conditionalFormatting sqref="K68">
    <cfRule type="cellIs" dxfId="601" priority="601" operator="greaterThan">
      <formula>0</formula>
    </cfRule>
    <cfRule type="cellIs" dxfId="600" priority="602" operator="lessThanOrEqual">
      <formula>0</formula>
    </cfRule>
  </conditionalFormatting>
  <conditionalFormatting sqref="K69">
    <cfRule type="cellIs" dxfId="599" priority="599" operator="greaterThan">
      <formula>0</formula>
    </cfRule>
    <cfRule type="cellIs" dxfId="598" priority="600" operator="lessThanOrEqual">
      <formula>0</formula>
    </cfRule>
  </conditionalFormatting>
  <conditionalFormatting sqref="K71">
    <cfRule type="cellIs" dxfId="597" priority="597" operator="greaterThan">
      <formula>0</formula>
    </cfRule>
    <cfRule type="cellIs" dxfId="596" priority="598" operator="lessThanOrEqual">
      <formula>0</formula>
    </cfRule>
  </conditionalFormatting>
  <conditionalFormatting sqref="J67:J69">
    <cfRule type="cellIs" dxfId="595" priority="595" operator="lessThan">
      <formula>0</formula>
    </cfRule>
    <cfRule type="cellIs" dxfId="594" priority="596" operator="greaterThanOrEqual">
      <formula>0</formula>
    </cfRule>
  </conditionalFormatting>
  <conditionalFormatting sqref="J70:J71">
    <cfRule type="cellIs" dxfId="593" priority="594" operator="greaterThanOrEqual">
      <formula>0</formula>
    </cfRule>
  </conditionalFormatting>
  <conditionalFormatting sqref="J70:J71">
    <cfRule type="cellIs" dxfId="592" priority="593" operator="lessThan">
      <formula>0</formula>
    </cfRule>
  </conditionalFormatting>
  <conditionalFormatting sqref="J72">
    <cfRule type="cellIs" dxfId="591" priority="592" operator="greaterThanOrEqual">
      <formula>0</formula>
    </cfRule>
  </conditionalFormatting>
  <conditionalFormatting sqref="J72">
    <cfRule type="cellIs" dxfId="590" priority="591" operator="lessThan">
      <formula>0</formula>
    </cfRule>
  </conditionalFormatting>
  <conditionalFormatting sqref="K66">
    <cfRule type="cellIs" dxfId="589" priority="589" operator="greaterThan">
      <formula>0</formula>
    </cfRule>
    <cfRule type="cellIs" dxfId="588" priority="590" operator="lessThanOrEqual">
      <formula>0</formula>
    </cfRule>
  </conditionalFormatting>
  <conditionalFormatting sqref="J66">
    <cfRule type="cellIs" dxfId="587" priority="587" operator="greaterThanOrEqual">
      <formula>0</formula>
    </cfRule>
    <cfRule type="cellIs" dxfId="586" priority="588" operator="lessThan">
      <formula>0</formula>
    </cfRule>
  </conditionalFormatting>
  <conditionalFormatting sqref="G50">
    <cfRule type="cellIs" dxfId="585" priority="585" operator="greaterThan">
      <formula>0</formula>
    </cfRule>
    <cfRule type="cellIs" dxfId="584" priority="586" operator="lessThanOrEqual">
      <formula>0</formula>
    </cfRule>
  </conditionalFormatting>
  <conditionalFormatting sqref="M41:M42">
    <cfRule type="cellIs" dxfId="583" priority="583" operator="lessThan">
      <formula>0</formula>
    </cfRule>
    <cfRule type="cellIs" dxfId="582" priority="584" operator="greaterThanOrEqual">
      <formula>0</formula>
    </cfRule>
  </conditionalFormatting>
  <conditionalFormatting sqref="M44:M45">
    <cfRule type="cellIs" dxfId="581" priority="581" operator="lessThan">
      <formula>0</formula>
    </cfRule>
    <cfRule type="cellIs" dxfId="580" priority="582" operator="greaterThanOrEqual">
      <formula>0</formula>
    </cfRule>
  </conditionalFormatting>
  <conditionalFormatting sqref="M52:M53">
    <cfRule type="cellIs" dxfId="579" priority="579" operator="lessThan">
      <formula>0</formula>
    </cfRule>
    <cfRule type="cellIs" dxfId="578" priority="580" operator="greaterThanOrEqual">
      <formula>0</formula>
    </cfRule>
  </conditionalFormatting>
  <conditionalFormatting sqref="M56:M57">
    <cfRule type="cellIs" dxfId="577" priority="577" operator="lessThan">
      <formula>0</formula>
    </cfRule>
    <cfRule type="cellIs" dxfId="576" priority="578" operator="greaterThanOrEqual">
      <formula>0</formula>
    </cfRule>
  </conditionalFormatting>
  <conditionalFormatting sqref="M59:M60">
    <cfRule type="cellIs" dxfId="575" priority="575" operator="lessThan">
      <formula>0</formula>
    </cfRule>
    <cfRule type="cellIs" dxfId="574" priority="576" operator="greaterThanOrEqual">
      <formula>0</formula>
    </cfRule>
  </conditionalFormatting>
  <conditionalFormatting sqref="M62:M63">
    <cfRule type="cellIs" dxfId="573" priority="573" operator="lessThan">
      <formula>0</formula>
    </cfRule>
    <cfRule type="cellIs" dxfId="572" priority="574" operator="greaterThanOrEqual">
      <formula>0</formula>
    </cfRule>
  </conditionalFormatting>
  <conditionalFormatting sqref="M24">
    <cfRule type="cellIs" dxfId="571" priority="572" operator="greaterThanOrEqual">
      <formula>0</formula>
    </cfRule>
  </conditionalFormatting>
  <conditionalFormatting sqref="M24">
    <cfRule type="cellIs" dxfId="570" priority="571" operator="lessThan">
      <formula>0</formula>
    </cfRule>
  </conditionalFormatting>
  <conditionalFormatting sqref="M25">
    <cfRule type="cellIs" dxfId="569" priority="570" operator="greaterThanOrEqual">
      <formula>0</formula>
    </cfRule>
  </conditionalFormatting>
  <conditionalFormatting sqref="M25">
    <cfRule type="cellIs" dxfId="568" priority="569" operator="lessThan">
      <formula>0</formula>
    </cfRule>
  </conditionalFormatting>
  <conditionalFormatting sqref="M27">
    <cfRule type="cellIs" dxfId="567" priority="568" operator="greaterThanOrEqual">
      <formula>0</formula>
    </cfRule>
  </conditionalFormatting>
  <conditionalFormatting sqref="M27">
    <cfRule type="cellIs" dxfId="566" priority="567" operator="lessThan">
      <formula>0</formula>
    </cfRule>
  </conditionalFormatting>
  <conditionalFormatting sqref="M40">
    <cfRule type="cellIs" dxfId="565" priority="566" operator="greaterThanOrEqual">
      <formula>0</formula>
    </cfRule>
  </conditionalFormatting>
  <conditionalFormatting sqref="M40">
    <cfRule type="cellIs" dxfId="564" priority="565" operator="lessThan">
      <formula>0</formula>
    </cfRule>
  </conditionalFormatting>
  <conditionalFormatting sqref="M43">
    <cfRule type="cellIs" dxfId="563" priority="564" operator="greaterThanOrEqual">
      <formula>0</formula>
    </cfRule>
  </conditionalFormatting>
  <conditionalFormatting sqref="M43">
    <cfRule type="cellIs" dxfId="562" priority="563" operator="lessThan">
      <formula>0</formula>
    </cfRule>
  </conditionalFormatting>
  <conditionalFormatting sqref="M46">
    <cfRule type="cellIs" dxfId="561" priority="562" operator="greaterThanOrEqual">
      <formula>0</formula>
    </cfRule>
  </conditionalFormatting>
  <conditionalFormatting sqref="M46">
    <cfRule type="cellIs" dxfId="560" priority="561" operator="lessThan">
      <formula>0</formula>
    </cfRule>
  </conditionalFormatting>
  <conditionalFormatting sqref="M49">
    <cfRule type="cellIs" dxfId="559" priority="560" operator="greaterThanOrEqual">
      <formula>0</formula>
    </cfRule>
  </conditionalFormatting>
  <conditionalFormatting sqref="M49">
    <cfRule type="cellIs" dxfId="558" priority="559" operator="lessThan">
      <formula>0</formula>
    </cfRule>
  </conditionalFormatting>
  <conditionalFormatting sqref="M50">
    <cfRule type="cellIs" dxfId="557" priority="558" operator="greaterThanOrEqual">
      <formula>0</formula>
    </cfRule>
  </conditionalFormatting>
  <conditionalFormatting sqref="M50">
    <cfRule type="cellIs" dxfId="556" priority="557" operator="lessThan">
      <formula>0</formula>
    </cfRule>
  </conditionalFormatting>
  <conditionalFormatting sqref="M58">
    <cfRule type="cellIs" dxfId="555" priority="556" operator="greaterThanOrEqual">
      <formula>0</formula>
    </cfRule>
  </conditionalFormatting>
  <conditionalFormatting sqref="M58">
    <cfRule type="cellIs" dxfId="554" priority="555" operator="lessThan">
      <formula>0</formula>
    </cfRule>
  </conditionalFormatting>
  <conditionalFormatting sqref="M61">
    <cfRule type="cellIs" dxfId="553" priority="554" operator="greaterThanOrEqual">
      <formula>0</formula>
    </cfRule>
  </conditionalFormatting>
  <conditionalFormatting sqref="M61">
    <cfRule type="cellIs" dxfId="552" priority="553" operator="lessThan">
      <formula>0</formula>
    </cfRule>
  </conditionalFormatting>
  <conditionalFormatting sqref="M64">
    <cfRule type="cellIs" dxfId="551" priority="552" operator="greaterThanOrEqual">
      <formula>0</formula>
    </cfRule>
  </conditionalFormatting>
  <conditionalFormatting sqref="M64">
    <cfRule type="cellIs" dxfId="550" priority="551" operator="lessThan">
      <formula>0</formula>
    </cfRule>
  </conditionalFormatting>
  <conditionalFormatting sqref="M55">
    <cfRule type="cellIs" dxfId="549" priority="550" operator="greaterThanOrEqual">
      <formula>0</formula>
    </cfRule>
  </conditionalFormatting>
  <conditionalFormatting sqref="M55">
    <cfRule type="cellIs" dxfId="548" priority="549" operator="lessThan">
      <formula>0</formula>
    </cfRule>
  </conditionalFormatting>
  <conditionalFormatting sqref="M65">
    <cfRule type="cellIs" dxfId="547" priority="548" operator="greaterThanOrEqual">
      <formula>0</formula>
    </cfRule>
  </conditionalFormatting>
  <conditionalFormatting sqref="M65">
    <cfRule type="cellIs" dxfId="546" priority="547" operator="lessThan">
      <formula>0</formula>
    </cfRule>
  </conditionalFormatting>
  <conditionalFormatting sqref="N15:N16">
    <cfRule type="cellIs" dxfId="545" priority="545" operator="greaterThan">
      <formula>0</formula>
    </cfRule>
    <cfRule type="cellIs" dxfId="544" priority="546" operator="lessThanOrEqual">
      <formula>0</formula>
    </cfRule>
  </conditionalFormatting>
  <conditionalFormatting sqref="N18:N19">
    <cfRule type="cellIs" dxfId="543" priority="543" operator="greaterThan">
      <formula>0</formula>
    </cfRule>
    <cfRule type="cellIs" dxfId="542" priority="544" operator="lessThanOrEqual">
      <formula>0</formula>
    </cfRule>
  </conditionalFormatting>
  <conditionalFormatting sqref="N21:N22">
    <cfRule type="cellIs" dxfId="541" priority="541" operator="greaterThan">
      <formula>0</formula>
    </cfRule>
    <cfRule type="cellIs" dxfId="540" priority="542" operator="lessThanOrEqual">
      <formula>0</formula>
    </cfRule>
  </conditionalFormatting>
  <conditionalFormatting sqref="N28:N29">
    <cfRule type="cellIs" dxfId="539" priority="539" operator="greaterThan">
      <formula>0</formula>
    </cfRule>
    <cfRule type="cellIs" dxfId="538" priority="540" operator="lessThanOrEqual">
      <formula>0</formula>
    </cfRule>
  </conditionalFormatting>
  <conditionalFormatting sqref="N31:N32">
    <cfRule type="cellIs" dxfId="537" priority="537" operator="greaterThan">
      <formula>0</formula>
    </cfRule>
    <cfRule type="cellIs" dxfId="536" priority="538" operator="lessThanOrEqual">
      <formula>0</formula>
    </cfRule>
  </conditionalFormatting>
  <conditionalFormatting sqref="N34:N35">
    <cfRule type="cellIs" dxfId="535" priority="535" operator="greaterThan">
      <formula>0</formula>
    </cfRule>
    <cfRule type="cellIs" dxfId="534" priority="536" operator="lessThanOrEqual">
      <formula>0</formula>
    </cfRule>
  </conditionalFormatting>
  <conditionalFormatting sqref="N37:N38">
    <cfRule type="cellIs" dxfId="533" priority="533" operator="greaterThan">
      <formula>0</formula>
    </cfRule>
    <cfRule type="cellIs" dxfId="532" priority="534" operator="lessThanOrEqual">
      <formula>0</formula>
    </cfRule>
  </conditionalFormatting>
  <conditionalFormatting sqref="N41:N42">
    <cfRule type="cellIs" dxfId="531" priority="531" operator="greaterThan">
      <formula>0</formula>
    </cfRule>
    <cfRule type="cellIs" dxfId="530" priority="532" operator="lessThanOrEqual">
      <formula>0</formula>
    </cfRule>
  </conditionalFormatting>
  <conditionalFormatting sqref="N44:N45">
    <cfRule type="cellIs" dxfId="529" priority="529" operator="greaterThan">
      <formula>0</formula>
    </cfRule>
    <cfRule type="cellIs" dxfId="528" priority="530" operator="lessThanOrEqual">
      <formula>0</formula>
    </cfRule>
  </conditionalFormatting>
  <conditionalFormatting sqref="N47:N48">
    <cfRule type="cellIs" dxfId="527" priority="527" operator="greaterThan">
      <formula>0</formula>
    </cfRule>
    <cfRule type="cellIs" dxfId="526" priority="528" operator="lessThanOrEqual">
      <formula>0</formula>
    </cfRule>
  </conditionalFormatting>
  <conditionalFormatting sqref="N52:N53">
    <cfRule type="cellIs" dxfId="525" priority="525" operator="greaterThan">
      <formula>0</formula>
    </cfRule>
    <cfRule type="cellIs" dxfId="524" priority="526" operator="lessThanOrEqual">
      <formula>0</formula>
    </cfRule>
  </conditionalFormatting>
  <conditionalFormatting sqref="N56:N57">
    <cfRule type="cellIs" dxfId="523" priority="523" operator="greaterThan">
      <formula>0</formula>
    </cfRule>
    <cfRule type="cellIs" dxfId="522" priority="524" operator="lessThanOrEqual">
      <formula>0</formula>
    </cfRule>
  </conditionalFormatting>
  <conditionalFormatting sqref="N59:N60">
    <cfRule type="cellIs" dxfId="521" priority="521" operator="greaterThan">
      <formula>0</formula>
    </cfRule>
    <cfRule type="cellIs" dxfId="520" priority="522" operator="lessThanOrEqual">
      <formula>0</formula>
    </cfRule>
  </conditionalFormatting>
  <conditionalFormatting sqref="N62:N63">
    <cfRule type="cellIs" dxfId="519" priority="519" operator="greaterThan">
      <formula>0</formula>
    </cfRule>
    <cfRule type="cellIs" dxfId="518" priority="520" operator="lessThanOrEqual">
      <formula>0</formula>
    </cfRule>
  </conditionalFormatting>
  <conditionalFormatting sqref="N24">
    <cfRule type="cellIs" dxfId="517" priority="518" operator="greaterThanOrEqual">
      <formula>0</formula>
    </cfRule>
  </conditionalFormatting>
  <conditionalFormatting sqref="N24">
    <cfRule type="cellIs" dxfId="516" priority="517" operator="lessThan">
      <formula>0</formula>
    </cfRule>
  </conditionalFormatting>
  <conditionalFormatting sqref="N25">
    <cfRule type="cellIs" dxfId="515" priority="516" operator="greaterThanOrEqual">
      <formula>0</formula>
    </cfRule>
  </conditionalFormatting>
  <conditionalFormatting sqref="N25">
    <cfRule type="cellIs" dxfId="514" priority="515" operator="lessThan">
      <formula>0</formula>
    </cfRule>
  </conditionalFormatting>
  <conditionalFormatting sqref="N27">
    <cfRule type="cellIs" dxfId="513" priority="514" operator="greaterThanOrEqual">
      <formula>0</formula>
    </cfRule>
  </conditionalFormatting>
  <conditionalFormatting sqref="N27">
    <cfRule type="cellIs" dxfId="512" priority="513" operator="lessThan">
      <formula>0</formula>
    </cfRule>
  </conditionalFormatting>
  <conditionalFormatting sqref="N40">
    <cfRule type="cellIs" dxfId="511" priority="512" operator="greaterThanOrEqual">
      <formula>0</formula>
    </cfRule>
  </conditionalFormatting>
  <conditionalFormatting sqref="N40">
    <cfRule type="cellIs" dxfId="510" priority="511" operator="lessThan">
      <formula>0</formula>
    </cfRule>
  </conditionalFormatting>
  <conditionalFormatting sqref="N43">
    <cfRule type="cellIs" dxfId="509" priority="510" operator="greaterThanOrEqual">
      <formula>0</formula>
    </cfRule>
  </conditionalFormatting>
  <conditionalFormatting sqref="N43">
    <cfRule type="cellIs" dxfId="508" priority="509" operator="lessThan">
      <formula>0</formula>
    </cfRule>
  </conditionalFormatting>
  <conditionalFormatting sqref="N46">
    <cfRule type="cellIs" dxfId="507" priority="508" operator="greaterThanOrEqual">
      <formula>0</formula>
    </cfRule>
  </conditionalFormatting>
  <conditionalFormatting sqref="N46">
    <cfRule type="cellIs" dxfId="506" priority="507" operator="lessThan">
      <formula>0</formula>
    </cfRule>
  </conditionalFormatting>
  <conditionalFormatting sqref="N49">
    <cfRule type="cellIs" dxfId="505" priority="506" operator="greaterThanOrEqual">
      <formula>0</formula>
    </cfRule>
  </conditionalFormatting>
  <conditionalFormatting sqref="N49">
    <cfRule type="cellIs" dxfId="504" priority="505" operator="lessThan">
      <formula>0</formula>
    </cfRule>
  </conditionalFormatting>
  <conditionalFormatting sqref="N50">
    <cfRule type="cellIs" dxfId="503" priority="504" operator="greaterThanOrEqual">
      <formula>0</formula>
    </cfRule>
  </conditionalFormatting>
  <conditionalFormatting sqref="N50">
    <cfRule type="cellIs" dxfId="502" priority="503" operator="lessThan">
      <formula>0</formula>
    </cfRule>
  </conditionalFormatting>
  <conditionalFormatting sqref="J106">
    <cfRule type="cellIs" dxfId="501" priority="270" operator="greaterThanOrEqual">
      <formula>0</formula>
    </cfRule>
  </conditionalFormatting>
  <conditionalFormatting sqref="J106">
    <cfRule type="cellIs" dxfId="500" priority="269" operator="lessThan">
      <formula>0</formula>
    </cfRule>
  </conditionalFormatting>
  <conditionalFormatting sqref="N58">
    <cfRule type="cellIs" dxfId="499" priority="502" operator="greaterThanOrEqual">
      <formula>0</formula>
    </cfRule>
  </conditionalFormatting>
  <conditionalFormatting sqref="N58">
    <cfRule type="cellIs" dxfId="498" priority="501" operator="lessThan">
      <formula>0</formula>
    </cfRule>
  </conditionalFormatting>
  <conditionalFormatting sqref="N61">
    <cfRule type="cellIs" dxfId="497" priority="500" operator="greaterThanOrEqual">
      <formula>0</formula>
    </cfRule>
  </conditionalFormatting>
  <conditionalFormatting sqref="N61">
    <cfRule type="cellIs" dxfId="496" priority="499" operator="lessThan">
      <formula>0</formula>
    </cfRule>
  </conditionalFormatting>
  <conditionalFormatting sqref="N64">
    <cfRule type="cellIs" dxfId="495" priority="498" operator="greaterThanOrEqual">
      <formula>0</formula>
    </cfRule>
  </conditionalFormatting>
  <conditionalFormatting sqref="N64">
    <cfRule type="cellIs" dxfId="494" priority="497" operator="lessThan">
      <formula>0</formula>
    </cfRule>
  </conditionalFormatting>
  <conditionalFormatting sqref="N55">
    <cfRule type="cellIs" dxfId="493" priority="495" operator="lessThan">
      <formula>0</formula>
    </cfRule>
  </conditionalFormatting>
  <conditionalFormatting sqref="N55">
    <cfRule type="cellIs" dxfId="492" priority="496" operator="greaterThanOrEqual">
      <formula>0</formula>
    </cfRule>
  </conditionalFormatting>
  <conditionalFormatting sqref="N65">
    <cfRule type="cellIs" dxfId="491" priority="493" operator="lessThan">
      <formula>0</formula>
    </cfRule>
  </conditionalFormatting>
  <conditionalFormatting sqref="N65">
    <cfRule type="cellIs" dxfId="490" priority="494" operator="greaterThanOrEqual">
      <formula>0</formula>
    </cfRule>
  </conditionalFormatting>
  <conditionalFormatting sqref="M69">
    <cfRule type="cellIs" dxfId="489" priority="491" operator="lessThan">
      <formula>0</formula>
    </cfRule>
    <cfRule type="cellIs" dxfId="488" priority="492" operator="greaterThanOrEqual">
      <formula>0</formula>
    </cfRule>
  </conditionalFormatting>
  <conditionalFormatting sqref="N69">
    <cfRule type="cellIs" dxfId="487" priority="489" operator="lessThan">
      <formula>0</formula>
    </cfRule>
    <cfRule type="cellIs" dxfId="486" priority="490" operator="greaterThanOrEqual">
      <formula>0</formula>
    </cfRule>
  </conditionalFormatting>
  <conditionalFormatting sqref="N71">
    <cfRule type="cellIs" dxfId="485" priority="487" operator="lessThan">
      <formula>0</formula>
    </cfRule>
    <cfRule type="cellIs" dxfId="484" priority="488" operator="greaterThanOrEqual">
      <formula>0</formula>
    </cfRule>
  </conditionalFormatting>
  <conditionalFormatting sqref="N122:N123">
    <cfRule type="cellIs" dxfId="483" priority="159" operator="greaterThan">
      <formula>0</formula>
    </cfRule>
    <cfRule type="cellIs" dxfId="482" priority="160" operator="lessThanOrEqual">
      <formula>0</formula>
    </cfRule>
  </conditionalFormatting>
  <conditionalFormatting sqref="N118">
    <cfRule type="cellIs" dxfId="481" priority="134" operator="greaterThanOrEqual">
      <formula>0</formula>
    </cfRule>
  </conditionalFormatting>
  <conditionalFormatting sqref="N118">
    <cfRule type="cellIs" dxfId="480" priority="133" operator="lessThan">
      <formula>0</formula>
    </cfRule>
  </conditionalFormatting>
  <conditionalFormatting sqref="N128">
    <cfRule type="cellIs" dxfId="479" priority="132" operator="greaterThanOrEqual">
      <formula>0</formula>
    </cfRule>
  </conditionalFormatting>
  <conditionalFormatting sqref="N128">
    <cfRule type="cellIs" dxfId="478" priority="131" operator="lessThan">
      <formula>0</formula>
    </cfRule>
  </conditionalFormatting>
  <conditionalFormatting sqref="N117">
    <cfRule type="cellIs" dxfId="477" priority="128" operator="greaterThanOrEqual">
      <formula>0</formula>
    </cfRule>
  </conditionalFormatting>
  <conditionalFormatting sqref="N117">
    <cfRule type="cellIs" dxfId="476" priority="127" operator="lessThan">
      <formula>0</formula>
    </cfRule>
  </conditionalFormatting>
  <conditionalFormatting sqref="M75:M76 M78:M79 M81:M82 M84:M85 M91:M92 M94:M95 M97:M98 M100:M101 M110:M111">
    <cfRule type="cellIs" dxfId="475" priority="237" operator="lessThan">
      <formula>0</formula>
    </cfRule>
    <cfRule type="cellIs" dxfId="474" priority="238" operator="greaterThanOrEqual">
      <formula>0</formula>
    </cfRule>
  </conditionalFormatting>
  <conditionalFormatting sqref="K94:K95">
    <cfRule type="cellIs" dxfId="473" priority="345" operator="greaterThan">
      <formula>0</formula>
    </cfRule>
    <cfRule type="cellIs" dxfId="472" priority="346" operator="lessThanOrEqual">
      <formula>0</formula>
    </cfRule>
  </conditionalFormatting>
  <conditionalFormatting sqref="M106">
    <cfRule type="cellIs" dxfId="471" priority="202" operator="greaterThanOrEqual">
      <formula>0</formula>
    </cfRule>
  </conditionalFormatting>
  <conditionalFormatting sqref="M106">
    <cfRule type="cellIs" dxfId="470" priority="201" operator="lessThan">
      <formula>0</formula>
    </cfRule>
  </conditionalFormatting>
  <conditionalFormatting sqref="N112">
    <cfRule type="cellIs" dxfId="469" priority="144" operator="greaterThanOrEqual">
      <formula>0</formula>
    </cfRule>
  </conditionalFormatting>
  <conditionalFormatting sqref="N112">
    <cfRule type="cellIs" dxfId="468" priority="143" operator="lessThan">
      <formula>0</formula>
    </cfRule>
  </conditionalFormatting>
  <conditionalFormatting sqref="M113">
    <cfRule type="cellIs" dxfId="467" priority="196" operator="greaterThanOrEqual">
      <formula>0</formula>
    </cfRule>
  </conditionalFormatting>
  <conditionalFormatting sqref="M113">
    <cfRule type="cellIs" dxfId="466" priority="195" operator="lessThan">
      <formula>0</formula>
    </cfRule>
  </conditionalFormatting>
  <conditionalFormatting sqref="N124">
    <cfRule type="cellIs" dxfId="465" priority="137" operator="lessThan">
      <formula>0</formula>
    </cfRule>
  </conditionalFormatting>
  <conditionalFormatting sqref="N124">
    <cfRule type="cellIs" dxfId="464" priority="138" operator="greaterThanOrEqual">
      <formula>0</formula>
    </cfRule>
  </conditionalFormatting>
  <conditionalFormatting sqref="F54">
    <cfRule type="cellIs" dxfId="463" priority="486" operator="greaterThanOrEqual">
      <formula>0</formula>
    </cfRule>
  </conditionalFormatting>
  <conditionalFormatting sqref="F54">
    <cfRule type="cellIs" dxfId="462" priority="485" operator="lessThan">
      <formula>0</formula>
    </cfRule>
  </conditionalFormatting>
  <conditionalFormatting sqref="K54">
    <cfRule type="cellIs" dxfId="461" priority="483" operator="greaterThan">
      <formula>0</formula>
    </cfRule>
    <cfRule type="cellIs" dxfId="460" priority="484" operator="lessThanOrEqual">
      <formula>0</formula>
    </cfRule>
  </conditionalFormatting>
  <conditionalFormatting sqref="J54">
    <cfRule type="cellIs" dxfId="459" priority="482" operator="greaterThanOrEqual">
      <formula>0</formula>
    </cfRule>
  </conditionalFormatting>
  <conditionalFormatting sqref="J54">
    <cfRule type="cellIs" dxfId="458" priority="481" operator="lessThan">
      <formula>0</formula>
    </cfRule>
  </conditionalFormatting>
  <conditionalFormatting sqref="G54">
    <cfRule type="cellIs" dxfId="457" priority="479" operator="greaterThan">
      <formula>0</formula>
    </cfRule>
    <cfRule type="cellIs" dxfId="456" priority="480" operator="lessThanOrEqual">
      <formula>0</formula>
    </cfRule>
  </conditionalFormatting>
  <conditionalFormatting sqref="M54">
    <cfRule type="cellIs" dxfId="455" priority="478" operator="greaterThanOrEqual">
      <formula>0</formula>
    </cfRule>
  </conditionalFormatting>
  <conditionalFormatting sqref="M54">
    <cfRule type="cellIs" dxfId="454" priority="477" operator="lessThan">
      <formula>0</formula>
    </cfRule>
  </conditionalFormatting>
  <conditionalFormatting sqref="N54">
    <cfRule type="cellIs" dxfId="453" priority="476" operator="greaterThanOrEqual">
      <formula>0</formula>
    </cfRule>
  </conditionalFormatting>
  <conditionalFormatting sqref="N54">
    <cfRule type="cellIs" dxfId="452" priority="475" operator="lessThan">
      <formula>0</formula>
    </cfRule>
  </conditionalFormatting>
  <conditionalFormatting sqref="N127">
    <cfRule type="cellIs" dxfId="451" priority="136" operator="greaterThanOrEqual">
      <formula>0</formula>
    </cfRule>
  </conditionalFormatting>
  <conditionalFormatting sqref="N127">
    <cfRule type="cellIs" dxfId="450" priority="135" operator="lessThan">
      <formula>0</formula>
    </cfRule>
  </conditionalFormatting>
  <conditionalFormatting sqref="G75:G76">
    <cfRule type="cellIs" dxfId="449" priority="473" operator="greaterThan">
      <formula>0</formula>
    </cfRule>
    <cfRule type="cellIs" dxfId="448" priority="474" operator="lessThanOrEqual">
      <formula>0</formula>
    </cfRule>
  </conditionalFormatting>
  <conditionalFormatting sqref="G78:G79">
    <cfRule type="cellIs" dxfId="447" priority="471" operator="greaterThan">
      <formula>0</formula>
    </cfRule>
    <cfRule type="cellIs" dxfId="446" priority="472" operator="lessThanOrEqual">
      <formula>0</formula>
    </cfRule>
  </conditionalFormatting>
  <conditionalFormatting sqref="G81:G82">
    <cfRule type="cellIs" dxfId="445" priority="469" operator="greaterThan">
      <formula>0</formula>
    </cfRule>
    <cfRule type="cellIs" dxfId="444" priority="470" operator="lessThanOrEqual">
      <formula>0</formula>
    </cfRule>
  </conditionalFormatting>
  <conditionalFormatting sqref="G91:G92">
    <cfRule type="cellIs" dxfId="443" priority="467" operator="greaterThan">
      <formula>0</formula>
    </cfRule>
    <cfRule type="cellIs" dxfId="442" priority="468" operator="lessThanOrEqual">
      <formula>0</formula>
    </cfRule>
  </conditionalFormatting>
  <conditionalFormatting sqref="G84:G85">
    <cfRule type="cellIs" dxfId="441" priority="465" operator="greaterThan">
      <formula>0</formula>
    </cfRule>
    <cfRule type="cellIs" dxfId="440" priority="466" operator="lessThanOrEqual">
      <formula>0</formula>
    </cfRule>
  </conditionalFormatting>
  <conditionalFormatting sqref="G94:G95">
    <cfRule type="cellIs" dxfId="439" priority="463" operator="greaterThan">
      <formula>0</formula>
    </cfRule>
    <cfRule type="cellIs" dxfId="438" priority="464" operator="lessThanOrEqual">
      <formula>0</formula>
    </cfRule>
  </conditionalFormatting>
  <conditionalFormatting sqref="G97:G98">
    <cfRule type="cellIs" dxfId="437" priority="461" operator="greaterThan">
      <formula>0</formula>
    </cfRule>
    <cfRule type="cellIs" dxfId="436" priority="462" operator="lessThanOrEqual">
      <formula>0</formula>
    </cfRule>
  </conditionalFormatting>
  <conditionalFormatting sqref="G100:G101">
    <cfRule type="cellIs" dxfId="435" priority="459" operator="greaterThan">
      <formula>0</formula>
    </cfRule>
    <cfRule type="cellIs" dxfId="434" priority="460" operator="lessThanOrEqual">
      <formula>0</formula>
    </cfRule>
  </conditionalFormatting>
  <conditionalFormatting sqref="G110:G111">
    <cfRule type="cellIs" dxfId="433" priority="457" operator="greaterThan">
      <formula>0</formula>
    </cfRule>
    <cfRule type="cellIs" dxfId="432" priority="458" operator="lessThanOrEqual">
      <formula>0</formula>
    </cfRule>
  </conditionalFormatting>
  <conditionalFormatting sqref="G125:G126">
    <cfRule type="cellIs" dxfId="431" priority="455" operator="greaterThan">
      <formula>0</formula>
    </cfRule>
    <cfRule type="cellIs" dxfId="430" priority="456" operator="lessThanOrEqual">
      <formula>0</formula>
    </cfRule>
  </conditionalFormatting>
  <conditionalFormatting sqref="G115:G116">
    <cfRule type="cellIs" dxfId="429" priority="453" operator="greaterThan">
      <formula>0</formula>
    </cfRule>
    <cfRule type="cellIs" dxfId="428" priority="454" operator="lessThanOrEqual">
      <formula>0</formula>
    </cfRule>
  </conditionalFormatting>
  <conditionalFormatting sqref="G77">
    <cfRule type="cellIs" dxfId="427" priority="451" operator="greaterThan">
      <formula>0</formula>
    </cfRule>
    <cfRule type="cellIs" dxfId="426" priority="452" operator="lessThanOrEqual">
      <formula>0</formula>
    </cfRule>
  </conditionalFormatting>
  <conditionalFormatting sqref="G80">
    <cfRule type="cellIs" dxfId="425" priority="449" operator="greaterThan">
      <formula>0</formula>
    </cfRule>
    <cfRule type="cellIs" dxfId="424" priority="450" operator="lessThanOrEqual">
      <formula>0</formula>
    </cfRule>
  </conditionalFormatting>
  <conditionalFormatting sqref="G83">
    <cfRule type="cellIs" dxfId="423" priority="447" operator="greaterThan">
      <formula>0</formula>
    </cfRule>
    <cfRule type="cellIs" dxfId="422" priority="448" operator="lessThanOrEqual">
      <formula>0</formula>
    </cfRule>
  </conditionalFormatting>
  <conditionalFormatting sqref="G93">
    <cfRule type="cellIs" dxfId="421" priority="445" operator="greaterThan">
      <formula>0</formula>
    </cfRule>
    <cfRule type="cellIs" dxfId="420" priority="446" operator="lessThanOrEqual">
      <formula>0</formula>
    </cfRule>
  </conditionalFormatting>
  <conditionalFormatting sqref="G86">
    <cfRule type="cellIs" dxfId="419" priority="443" operator="greaterThan">
      <formula>0</formula>
    </cfRule>
    <cfRule type="cellIs" dxfId="418" priority="444" operator="lessThanOrEqual">
      <formula>0</formula>
    </cfRule>
  </conditionalFormatting>
  <conditionalFormatting sqref="G96">
    <cfRule type="cellIs" dxfId="417" priority="441" operator="greaterThan">
      <formula>0</formula>
    </cfRule>
    <cfRule type="cellIs" dxfId="416" priority="442" operator="lessThanOrEqual">
      <formula>0</formula>
    </cfRule>
  </conditionalFormatting>
  <conditionalFormatting sqref="G99">
    <cfRule type="cellIs" dxfId="415" priority="439" operator="greaterThan">
      <formula>0</formula>
    </cfRule>
    <cfRule type="cellIs" dxfId="414" priority="440" operator="lessThanOrEqual">
      <formula>0</formula>
    </cfRule>
  </conditionalFormatting>
  <conditionalFormatting sqref="G102">
    <cfRule type="cellIs" dxfId="413" priority="437" operator="greaterThan">
      <formula>0</formula>
    </cfRule>
    <cfRule type="cellIs" dxfId="412" priority="438" operator="lessThanOrEqual">
      <formula>0</formula>
    </cfRule>
  </conditionalFormatting>
  <conditionalFormatting sqref="G88">
    <cfRule type="cellIs" dxfId="411" priority="435" operator="greaterThan">
      <formula>0</formula>
    </cfRule>
    <cfRule type="cellIs" dxfId="410" priority="436" operator="lessThanOrEqual">
      <formula>0</formula>
    </cfRule>
  </conditionalFormatting>
  <conditionalFormatting sqref="G128">
    <cfRule type="cellIs" dxfId="409" priority="433" operator="greaterThan">
      <formula>0</formula>
    </cfRule>
    <cfRule type="cellIs" dxfId="408" priority="434" operator="lessThanOrEqual">
      <formula>0</formula>
    </cfRule>
  </conditionalFormatting>
  <conditionalFormatting sqref="F75:F76 F78:F79 F81:F82 F84:F85 F91:F92 F94:F95 F97:F98 F100:F101 F110:F111 F115:F116">
    <cfRule type="cellIs" dxfId="407" priority="431" operator="lessThan">
      <formula>0</formula>
    </cfRule>
    <cfRule type="cellIs" dxfId="406" priority="432" operator="greaterThanOrEqual">
      <formula>0</formula>
    </cfRule>
  </conditionalFormatting>
  <conditionalFormatting sqref="F77 F80 F83 F86 F88 F93 F96 F99 F102">
    <cfRule type="cellIs" dxfId="405" priority="430" operator="greaterThanOrEqual">
      <formula>0</formula>
    </cfRule>
  </conditionalFormatting>
  <conditionalFormatting sqref="F77 F80 F83 F86 F88 F93 F96 F99 F102">
    <cfRule type="cellIs" dxfId="404" priority="429" operator="lessThan">
      <formula>0</formula>
    </cfRule>
  </conditionalFormatting>
  <conditionalFormatting sqref="G129">
    <cfRule type="cellIs" dxfId="403" priority="427" operator="greaterThan">
      <formula>0</formula>
    </cfRule>
    <cfRule type="cellIs" dxfId="402" priority="428" operator="lessThanOrEqual">
      <formula>0</formula>
    </cfRule>
  </conditionalFormatting>
  <conditionalFormatting sqref="F129">
    <cfRule type="cellIs" dxfId="401" priority="425" operator="greaterThanOrEqual">
      <formula>0</formula>
    </cfRule>
    <cfRule type="cellIs" dxfId="400" priority="426" operator="lessThan">
      <formula>0</formula>
    </cfRule>
  </conditionalFormatting>
  <conditionalFormatting sqref="F124">
    <cfRule type="cellIs" dxfId="399" priority="406" operator="greaterThanOrEqual">
      <formula>0</formula>
    </cfRule>
  </conditionalFormatting>
  <conditionalFormatting sqref="F124">
    <cfRule type="cellIs" dxfId="398" priority="405" operator="lessThan">
      <formula>0</formula>
    </cfRule>
  </conditionalFormatting>
  <conditionalFormatting sqref="G106">
    <cfRule type="cellIs" dxfId="397" priority="415" operator="greaterThan">
      <formula>0</formula>
    </cfRule>
    <cfRule type="cellIs" dxfId="396" priority="416" operator="lessThanOrEqual">
      <formula>0</formula>
    </cfRule>
  </conditionalFormatting>
  <conditionalFormatting sqref="G109">
    <cfRule type="cellIs" dxfId="395" priority="413" operator="greaterThan">
      <formula>0</formula>
    </cfRule>
    <cfRule type="cellIs" dxfId="394" priority="414" operator="lessThanOrEqual">
      <formula>0</formula>
    </cfRule>
  </conditionalFormatting>
  <conditionalFormatting sqref="G112">
    <cfRule type="cellIs" dxfId="393" priority="411" operator="greaterThan">
      <formula>0</formula>
    </cfRule>
    <cfRule type="cellIs" dxfId="392" priority="412" operator="lessThanOrEqual">
      <formula>0</formula>
    </cfRule>
  </conditionalFormatting>
  <conditionalFormatting sqref="G90">
    <cfRule type="cellIs" dxfId="391" priority="423" operator="greaterThan">
      <formula>0</formula>
    </cfRule>
    <cfRule type="cellIs" dxfId="390" priority="424" operator="lessThanOrEqual">
      <formula>0</formula>
    </cfRule>
  </conditionalFormatting>
  <conditionalFormatting sqref="G103">
    <cfRule type="cellIs" dxfId="389" priority="421" operator="greaterThan">
      <formula>0</formula>
    </cfRule>
    <cfRule type="cellIs" dxfId="388" priority="422" operator="lessThanOrEqual">
      <formula>0</formula>
    </cfRule>
  </conditionalFormatting>
  <conditionalFormatting sqref="G104:G105 G107:G108">
    <cfRule type="cellIs" dxfId="387" priority="419" operator="greaterThan">
      <formula>0</formula>
    </cfRule>
    <cfRule type="cellIs" dxfId="386" priority="420" operator="lessThanOrEqual">
      <formula>0</formula>
    </cfRule>
  </conditionalFormatting>
  <conditionalFormatting sqref="G119:G120 G122:G123">
    <cfRule type="cellIs" dxfId="385" priority="417" operator="greaterThan">
      <formula>0</formula>
    </cfRule>
    <cfRule type="cellIs" dxfId="384" priority="418" operator="lessThanOrEqual">
      <formula>0</formula>
    </cfRule>
  </conditionalFormatting>
  <conditionalFormatting sqref="G121">
    <cfRule type="cellIs" dxfId="383" priority="409" operator="greaterThan">
      <formula>0</formula>
    </cfRule>
    <cfRule type="cellIs" dxfId="382" priority="410" operator="lessThanOrEqual">
      <formula>0</formula>
    </cfRule>
  </conditionalFormatting>
  <conditionalFormatting sqref="G124">
    <cfRule type="cellIs" dxfId="381" priority="407" operator="greaterThan">
      <formula>0</formula>
    </cfRule>
    <cfRule type="cellIs" dxfId="380" priority="408" operator="lessThanOrEqual">
      <formula>0</formula>
    </cfRule>
  </conditionalFormatting>
  <conditionalFormatting sqref="G127">
    <cfRule type="cellIs" dxfId="379" priority="403" operator="greaterThan">
      <formula>0</formula>
    </cfRule>
    <cfRule type="cellIs" dxfId="378" priority="404" operator="lessThanOrEqual">
      <formula>0</formula>
    </cfRule>
  </conditionalFormatting>
  <conditionalFormatting sqref="G87">
    <cfRule type="cellIs" dxfId="377" priority="401" operator="greaterThan">
      <formula>0</formula>
    </cfRule>
    <cfRule type="cellIs" dxfId="376" priority="402" operator="lessThanOrEqual">
      <formula>0</formula>
    </cfRule>
  </conditionalFormatting>
  <conditionalFormatting sqref="G118">
    <cfRule type="cellIs" dxfId="375" priority="399" operator="greaterThan">
      <formula>0</formula>
    </cfRule>
    <cfRule type="cellIs" dxfId="374" priority="400" operator="lessThanOrEqual">
      <formula>0</formula>
    </cfRule>
  </conditionalFormatting>
  <conditionalFormatting sqref="F118">
    <cfRule type="cellIs" dxfId="373" priority="398" operator="greaterThanOrEqual">
      <formula>0</formula>
    </cfRule>
  </conditionalFormatting>
  <conditionalFormatting sqref="F118">
    <cfRule type="cellIs" dxfId="372" priority="397" operator="lessThan">
      <formula>0</formula>
    </cfRule>
  </conditionalFormatting>
  <conditionalFormatting sqref="G114">
    <cfRule type="cellIs" dxfId="371" priority="395" operator="greaterThan">
      <formula>0</formula>
    </cfRule>
    <cfRule type="cellIs" dxfId="370" priority="396" operator="lessThanOrEqual">
      <formula>0</formula>
    </cfRule>
  </conditionalFormatting>
  <conditionalFormatting sqref="F114">
    <cfRule type="cellIs" dxfId="369" priority="394" operator="greaterThanOrEqual">
      <formula>0</formula>
    </cfRule>
  </conditionalFormatting>
  <conditionalFormatting sqref="F114">
    <cfRule type="cellIs" dxfId="368" priority="393" operator="lessThan">
      <formula>0</formula>
    </cfRule>
  </conditionalFormatting>
  <conditionalFormatting sqref="F87">
    <cfRule type="cellIs" dxfId="367" priority="392" operator="greaterThanOrEqual">
      <formula>0</formula>
    </cfRule>
  </conditionalFormatting>
  <conditionalFormatting sqref="F87">
    <cfRule type="cellIs" dxfId="366" priority="391" operator="lessThan">
      <formula>0</formula>
    </cfRule>
  </conditionalFormatting>
  <conditionalFormatting sqref="F90">
    <cfRule type="cellIs" dxfId="365" priority="390" operator="greaterThanOrEqual">
      <formula>0</formula>
    </cfRule>
  </conditionalFormatting>
  <conditionalFormatting sqref="F90">
    <cfRule type="cellIs" dxfId="364" priority="389" operator="lessThan">
      <formula>0</formula>
    </cfRule>
  </conditionalFormatting>
  <conditionalFormatting sqref="F103">
    <cfRule type="cellIs" dxfId="363" priority="388" operator="greaterThanOrEqual">
      <formula>0</formula>
    </cfRule>
  </conditionalFormatting>
  <conditionalFormatting sqref="F103">
    <cfRule type="cellIs" dxfId="362" priority="387" operator="lessThan">
      <formula>0</formula>
    </cfRule>
  </conditionalFormatting>
  <conditionalFormatting sqref="F106">
    <cfRule type="cellIs" dxfId="361" priority="386" operator="greaterThanOrEqual">
      <formula>0</formula>
    </cfRule>
  </conditionalFormatting>
  <conditionalFormatting sqref="F106">
    <cfRule type="cellIs" dxfId="360" priority="385" operator="lessThan">
      <formula>0</formula>
    </cfRule>
  </conditionalFormatting>
  <conditionalFormatting sqref="F109">
    <cfRule type="cellIs" dxfId="359" priority="384" operator="greaterThanOrEqual">
      <formula>0</formula>
    </cfRule>
  </conditionalFormatting>
  <conditionalFormatting sqref="F109">
    <cfRule type="cellIs" dxfId="358" priority="383" operator="lessThan">
      <formula>0</formula>
    </cfRule>
  </conditionalFormatting>
  <conditionalFormatting sqref="F112">
    <cfRule type="cellIs" dxfId="357" priority="382" operator="greaterThanOrEqual">
      <formula>0</formula>
    </cfRule>
  </conditionalFormatting>
  <conditionalFormatting sqref="F112">
    <cfRule type="cellIs" dxfId="356" priority="381" operator="lessThan">
      <formula>0</formula>
    </cfRule>
  </conditionalFormatting>
  <conditionalFormatting sqref="F113">
    <cfRule type="cellIs" dxfId="355" priority="380" operator="greaterThanOrEqual">
      <formula>0</formula>
    </cfRule>
  </conditionalFormatting>
  <conditionalFormatting sqref="F113">
    <cfRule type="cellIs" dxfId="354" priority="379" operator="lessThan">
      <formula>0</formula>
    </cfRule>
  </conditionalFormatting>
  <conditionalFormatting sqref="F121">
    <cfRule type="cellIs" dxfId="353" priority="378" operator="greaterThanOrEqual">
      <formula>0</formula>
    </cfRule>
  </conditionalFormatting>
  <conditionalFormatting sqref="F121">
    <cfRule type="cellIs" dxfId="352" priority="377" operator="lessThan">
      <formula>0</formula>
    </cfRule>
  </conditionalFormatting>
  <conditionalFormatting sqref="F127">
    <cfRule type="cellIs" dxfId="351" priority="376" operator="greaterThanOrEqual">
      <formula>0</formula>
    </cfRule>
  </conditionalFormatting>
  <conditionalFormatting sqref="F127">
    <cfRule type="cellIs" dxfId="350" priority="375" operator="lessThan">
      <formula>0</formula>
    </cfRule>
  </conditionalFormatting>
  <conditionalFormatting sqref="F128">
    <cfRule type="cellIs" dxfId="349" priority="374" operator="greaterThanOrEqual">
      <formula>0</formula>
    </cfRule>
  </conditionalFormatting>
  <conditionalFormatting sqref="F128">
    <cfRule type="cellIs" dxfId="348" priority="373" operator="lessThan">
      <formula>0</formula>
    </cfRule>
  </conditionalFormatting>
  <conditionalFormatting sqref="F104:F105">
    <cfRule type="cellIs" dxfId="347" priority="371" operator="lessThan">
      <formula>0</formula>
    </cfRule>
    <cfRule type="cellIs" dxfId="346" priority="372" operator="greaterThanOrEqual">
      <formula>0</formula>
    </cfRule>
  </conditionalFormatting>
  <conditionalFormatting sqref="F107:F108">
    <cfRule type="cellIs" dxfId="345" priority="369" operator="lessThan">
      <formula>0</formula>
    </cfRule>
    <cfRule type="cellIs" dxfId="344" priority="370" operator="greaterThanOrEqual">
      <formula>0</formula>
    </cfRule>
  </conditionalFormatting>
  <conditionalFormatting sqref="F119:F120">
    <cfRule type="cellIs" dxfId="343" priority="367" operator="lessThan">
      <formula>0</formula>
    </cfRule>
    <cfRule type="cellIs" dxfId="342" priority="368" operator="greaterThanOrEqual">
      <formula>0</formula>
    </cfRule>
  </conditionalFormatting>
  <conditionalFormatting sqref="F122:F123">
    <cfRule type="cellIs" dxfId="341" priority="365" operator="lessThan">
      <formula>0</formula>
    </cfRule>
    <cfRule type="cellIs" dxfId="340" priority="366" operator="greaterThanOrEqual">
      <formula>0</formula>
    </cfRule>
  </conditionalFormatting>
  <conditionalFormatting sqref="F125:F126">
    <cfRule type="cellIs" dxfId="339" priority="363" operator="lessThan">
      <formula>0</formula>
    </cfRule>
    <cfRule type="cellIs" dxfId="338" priority="364" operator="greaterThanOrEqual">
      <formula>0</formula>
    </cfRule>
  </conditionalFormatting>
  <conditionalFormatting sqref="G113">
    <cfRule type="cellIs" dxfId="337" priority="361" operator="greaterThan">
      <formula>0</formula>
    </cfRule>
    <cfRule type="cellIs" dxfId="336" priority="362" operator="lessThanOrEqual">
      <formula>0</formula>
    </cfRule>
  </conditionalFormatting>
  <conditionalFormatting sqref="F117">
    <cfRule type="cellIs" dxfId="335" priority="360" operator="greaterThanOrEqual">
      <formula>0</formula>
    </cfRule>
  </conditionalFormatting>
  <conditionalFormatting sqref="F117">
    <cfRule type="cellIs" dxfId="334" priority="359" operator="lessThan">
      <formula>0</formula>
    </cfRule>
  </conditionalFormatting>
  <conditionalFormatting sqref="G117">
    <cfRule type="cellIs" dxfId="333" priority="357" operator="greaterThan">
      <formula>0</formula>
    </cfRule>
    <cfRule type="cellIs" dxfId="332" priority="358" operator="lessThanOrEqual">
      <formula>0</formula>
    </cfRule>
  </conditionalFormatting>
  <conditionalFormatting sqref="K75:K76">
    <cfRule type="cellIs" dxfId="331" priority="355" operator="greaterThan">
      <formula>0</formula>
    </cfRule>
    <cfRule type="cellIs" dxfId="330" priority="356" operator="lessThanOrEqual">
      <formula>0</formula>
    </cfRule>
  </conditionalFormatting>
  <conditionalFormatting sqref="K78:K79">
    <cfRule type="cellIs" dxfId="329" priority="353" operator="greaterThan">
      <formula>0</formula>
    </cfRule>
    <cfRule type="cellIs" dxfId="328" priority="354" operator="lessThanOrEqual">
      <formula>0</formula>
    </cfRule>
  </conditionalFormatting>
  <conditionalFormatting sqref="K81:K82">
    <cfRule type="cellIs" dxfId="327" priority="351" operator="greaterThan">
      <formula>0</formula>
    </cfRule>
    <cfRule type="cellIs" dxfId="326" priority="352" operator="lessThanOrEqual">
      <formula>0</formula>
    </cfRule>
  </conditionalFormatting>
  <conditionalFormatting sqref="K91:K92">
    <cfRule type="cellIs" dxfId="325" priority="349" operator="greaterThan">
      <formula>0</formula>
    </cfRule>
    <cfRule type="cellIs" dxfId="324" priority="350" operator="lessThanOrEqual">
      <formula>0</formula>
    </cfRule>
  </conditionalFormatting>
  <conditionalFormatting sqref="K84:K85">
    <cfRule type="cellIs" dxfId="323" priority="347" operator="greaterThan">
      <formula>0</formula>
    </cfRule>
    <cfRule type="cellIs" dxfId="322" priority="348" operator="lessThanOrEqual">
      <formula>0</formula>
    </cfRule>
  </conditionalFormatting>
  <conditionalFormatting sqref="K97:K98">
    <cfRule type="cellIs" dxfId="321" priority="343" operator="greaterThan">
      <formula>0</formula>
    </cfRule>
    <cfRule type="cellIs" dxfId="320" priority="344" operator="lessThanOrEqual">
      <formula>0</formula>
    </cfRule>
  </conditionalFormatting>
  <conditionalFormatting sqref="K100:K101">
    <cfRule type="cellIs" dxfId="319" priority="341" operator="greaterThan">
      <formula>0</formula>
    </cfRule>
    <cfRule type="cellIs" dxfId="318" priority="342" operator="lessThanOrEqual">
      <formula>0</formula>
    </cfRule>
  </conditionalFormatting>
  <conditionalFormatting sqref="K110:K111">
    <cfRule type="cellIs" dxfId="317" priority="339" operator="greaterThan">
      <formula>0</formula>
    </cfRule>
    <cfRule type="cellIs" dxfId="316" priority="340" operator="lessThanOrEqual">
      <formula>0</formula>
    </cfRule>
  </conditionalFormatting>
  <conditionalFormatting sqref="K125:K126">
    <cfRule type="cellIs" dxfId="315" priority="337" operator="greaterThan">
      <formula>0</formula>
    </cfRule>
    <cfRule type="cellIs" dxfId="314" priority="338" operator="lessThanOrEqual">
      <formula>0</formula>
    </cfRule>
  </conditionalFormatting>
  <conditionalFormatting sqref="K115:K116">
    <cfRule type="cellIs" dxfId="313" priority="335" operator="greaterThan">
      <formula>0</formula>
    </cfRule>
    <cfRule type="cellIs" dxfId="312" priority="336" operator="lessThanOrEqual">
      <formula>0</formula>
    </cfRule>
  </conditionalFormatting>
  <conditionalFormatting sqref="K77">
    <cfRule type="cellIs" dxfId="311" priority="333" operator="greaterThan">
      <formula>0</formula>
    </cfRule>
    <cfRule type="cellIs" dxfId="310" priority="334" operator="lessThanOrEqual">
      <formula>0</formula>
    </cfRule>
  </conditionalFormatting>
  <conditionalFormatting sqref="K80">
    <cfRule type="cellIs" dxfId="309" priority="331" operator="greaterThan">
      <formula>0</formula>
    </cfRule>
    <cfRule type="cellIs" dxfId="308" priority="332" operator="lessThanOrEqual">
      <formula>0</formula>
    </cfRule>
  </conditionalFormatting>
  <conditionalFormatting sqref="K83">
    <cfRule type="cellIs" dxfId="307" priority="329" operator="greaterThan">
      <formula>0</formula>
    </cfRule>
    <cfRule type="cellIs" dxfId="306" priority="330" operator="lessThanOrEqual">
      <formula>0</formula>
    </cfRule>
  </conditionalFormatting>
  <conditionalFormatting sqref="K93">
    <cfRule type="cellIs" dxfId="305" priority="327" operator="greaterThan">
      <formula>0</formula>
    </cfRule>
    <cfRule type="cellIs" dxfId="304" priority="328" operator="lessThanOrEqual">
      <formula>0</formula>
    </cfRule>
  </conditionalFormatting>
  <conditionalFormatting sqref="K86">
    <cfRule type="cellIs" dxfId="303" priority="325" operator="greaterThan">
      <formula>0</formula>
    </cfRule>
    <cfRule type="cellIs" dxfId="302" priority="326" operator="lessThanOrEqual">
      <formula>0</formula>
    </cfRule>
  </conditionalFormatting>
  <conditionalFormatting sqref="K96">
    <cfRule type="cellIs" dxfId="301" priority="323" operator="greaterThan">
      <formula>0</formula>
    </cfRule>
    <cfRule type="cellIs" dxfId="300" priority="324" operator="lessThanOrEqual">
      <formula>0</formula>
    </cfRule>
  </conditionalFormatting>
  <conditionalFormatting sqref="K99">
    <cfRule type="cellIs" dxfId="299" priority="321" operator="greaterThan">
      <formula>0</formula>
    </cfRule>
    <cfRule type="cellIs" dxfId="298" priority="322" operator="lessThanOrEqual">
      <formula>0</formula>
    </cfRule>
  </conditionalFormatting>
  <conditionalFormatting sqref="K102">
    <cfRule type="cellIs" dxfId="297" priority="319" operator="greaterThan">
      <formula>0</formula>
    </cfRule>
    <cfRule type="cellIs" dxfId="296" priority="320" operator="lessThanOrEqual">
      <formula>0</formula>
    </cfRule>
  </conditionalFormatting>
  <conditionalFormatting sqref="K88">
    <cfRule type="cellIs" dxfId="295" priority="317" operator="greaterThan">
      <formula>0</formula>
    </cfRule>
    <cfRule type="cellIs" dxfId="294" priority="318" operator="lessThanOrEqual">
      <formula>0</formula>
    </cfRule>
  </conditionalFormatting>
  <conditionalFormatting sqref="K128">
    <cfRule type="cellIs" dxfId="293" priority="315" operator="greaterThan">
      <formula>0</formula>
    </cfRule>
    <cfRule type="cellIs" dxfId="292" priority="316" operator="lessThanOrEqual">
      <formula>0</formula>
    </cfRule>
  </conditionalFormatting>
  <conditionalFormatting sqref="J75:J76 J78:J79 J81:J82 J84:J85 J91:J92 J94:J95 J97:J98 J100:J101 J110:J111 J115:J116">
    <cfRule type="cellIs" dxfId="291" priority="313" operator="lessThan">
      <formula>0</formula>
    </cfRule>
    <cfRule type="cellIs" dxfId="290" priority="314" operator="greaterThanOrEqual">
      <formula>0</formula>
    </cfRule>
  </conditionalFormatting>
  <conditionalFormatting sqref="J77 J80 J83 J86 J88 J93 J96 J99 J102">
    <cfRule type="cellIs" dxfId="289" priority="312" operator="greaterThanOrEqual">
      <formula>0</formula>
    </cfRule>
  </conditionalFormatting>
  <conditionalFormatting sqref="J77 J80 J83 J86 J88 J93 J96 J99 J102">
    <cfRule type="cellIs" dxfId="288" priority="311" operator="lessThan">
      <formula>0</formula>
    </cfRule>
  </conditionalFormatting>
  <conditionalFormatting sqref="J124">
    <cfRule type="cellIs" dxfId="287" priority="290" operator="greaterThanOrEqual">
      <formula>0</formula>
    </cfRule>
  </conditionalFormatting>
  <conditionalFormatting sqref="J124">
    <cfRule type="cellIs" dxfId="286" priority="289" operator="lessThan">
      <formula>0</formula>
    </cfRule>
  </conditionalFormatting>
  <conditionalFormatting sqref="K113">
    <cfRule type="cellIs" dxfId="285" priority="305" operator="greaterThan">
      <formula>0</formula>
    </cfRule>
    <cfRule type="cellIs" dxfId="284" priority="306" operator="lessThanOrEqual">
      <formula>0</formula>
    </cfRule>
  </conditionalFormatting>
  <conditionalFormatting sqref="K106">
    <cfRule type="cellIs" dxfId="283" priority="299" operator="greaterThan">
      <formula>0</formula>
    </cfRule>
    <cfRule type="cellIs" dxfId="282" priority="300" operator="lessThanOrEqual">
      <formula>0</formula>
    </cfRule>
  </conditionalFormatting>
  <conditionalFormatting sqref="K109">
    <cfRule type="cellIs" dxfId="281" priority="297" operator="greaterThan">
      <formula>0</formula>
    </cfRule>
    <cfRule type="cellIs" dxfId="280" priority="298" operator="lessThanOrEqual">
      <formula>0</formula>
    </cfRule>
  </conditionalFormatting>
  <conditionalFormatting sqref="K112">
    <cfRule type="cellIs" dxfId="279" priority="295" operator="greaterThan">
      <formula>0</formula>
    </cfRule>
    <cfRule type="cellIs" dxfId="278" priority="296" operator="lessThanOrEqual">
      <formula>0</formula>
    </cfRule>
  </conditionalFormatting>
  <conditionalFormatting sqref="K90">
    <cfRule type="cellIs" dxfId="277" priority="309" operator="greaterThan">
      <formula>0</formula>
    </cfRule>
    <cfRule type="cellIs" dxfId="276" priority="310" operator="lessThanOrEqual">
      <formula>0</formula>
    </cfRule>
  </conditionalFormatting>
  <conditionalFormatting sqref="K103">
    <cfRule type="cellIs" dxfId="275" priority="307" operator="greaterThan">
      <formula>0</formula>
    </cfRule>
    <cfRule type="cellIs" dxfId="274" priority="308" operator="lessThanOrEqual">
      <formula>0</formula>
    </cfRule>
  </conditionalFormatting>
  <conditionalFormatting sqref="K104:K105 K107:K108">
    <cfRule type="cellIs" dxfId="273" priority="303" operator="greaterThan">
      <formula>0</formula>
    </cfRule>
    <cfRule type="cellIs" dxfId="272" priority="304" operator="lessThanOrEqual">
      <formula>0</formula>
    </cfRule>
  </conditionalFormatting>
  <conditionalFormatting sqref="K119:K120 K122:K123">
    <cfRule type="cellIs" dxfId="271" priority="301" operator="greaterThan">
      <formula>0</formula>
    </cfRule>
    <cfRule type="cellIs" dxfId="270" priority="302" operator="lessThanOrEqual">
      <formula>0</formula>
    </cfRule>
  </conditionalFormatting>
  <conditionalFormatting sqref="K121">
    <cfRule type="cellIs" dxfId="269" priority="293" operator="greaterThan">
      <formula>0</formula>
    </cfRule>
    <cfRule type="cellIs" dxfId="268" priority="294" operator="lessThanOrEqual">
      <formula>0</formula>
    </cfRule>
  </conditionalFormatting>
  <conditionalFormatting sqref="K124">
    <cfRule type="cellIs" dxfId="267" priority="291" operator="greaterThan">
      <formula>0</formula>
    </cfRule>
    <cfRule type="cellIs" dxfId="266" priority="292" operator="lessThanOrEqual">
      <formula>0</formula>
    </cfRule>
  </conditionalFormatting>
  <conditionalFormatting sqref="K127">
    <cfRule type="cellIs" dxfId="265" priority="287" operator="greaterThan">
      <formula>0</formula>
    </cfRule>
    <cfRule type="cellIs" dxfId="264" priority="288" operator="lessThanOrEqual">
      <formula>0</formula>
    </cfRule>
  </conditionalFormatting>
  <conditionalFormatting sqref="K87">
    <cfRule type="cellIs" dxfId="263" priority="285" operator="greaterThan">
      <formula>0</formula>
    </cfRule>
    <cfRule type="cellIs" dxfId="262" priority="286" operator="lessThanOrEqual">
      <formula>0</formula>
    </cfRule>
  </conditionalFormatting>
  <conditionalFormatting sqref="K118">
    <cfRule type="cellIs" dxfId="261" priority="283" operator="greaterThan">
      <formula>0</formula>
    </cfRule>
    <cfRule type="cellIs" dxfId="260" priority="284" operator="lessThanOrEqual">
      <formula>0</formula>
    </cfRule>
  </conditionalFormatting>
  <conditionalFormatting sqref="J118">
    <cfRule type="cellIs" dxfId="259" priority="282" operator="greaterThanOrEqual">
      <formula>0</formula>
    </cfRule>
  </conditionalFormatting>
  <conditionalFormatting sqref="J118">
    <cfRule type="cellIs" dxfId="258" priority="281" operator="lessThan">
      <formula>0</formula>
    </cfRule>
  </conditionalFormatting>
  <conditionalFormatting sqref="K114">
    <cfRule type="cellIs" dxfId="257" priority="279" operator="greaterThan">
      <formula>0</formula>
    </cfRule>
    <cfRule type="cellIs" dxfId="256" priority="280" operator="lessThanOrEqual">
      <formula>0</formula>
    </cfRule>
  </conditionalFormatting>
  <conditionalFormatting sqref="J114">
    <cfRule type="cellIs" dxfId="255" priority="278" operator="greaterThanOrEqual">
      <formula>0</formula>
    </cfRule>
  </conditionalFormatting>
  <conditionalFormatting sqref="J114">
    <cfRule type="cellIs" dxfId="254" priority="277" operator="lessThan">
      <formula>0</formula>
    </cfRule>
  </conditionalFormatting>
  <conditionalFormatting sqref="J87">
    <cfRule type="cellIs" dxfId="253" priority="276" operator="greaterThanOrEqual">
      <formula>0</formula>
    </cfRule>
  </conditionalFormatting>
  <conditionalFormatting sqref="J87">
    <cfRule type="cellIs" dxfId="252" priority="275" operator="lessThan">
      <formula>0</formula>
    </cfRule>
  </conditionalFormatting>
  <conditionalFormatting sqref="J90">
    <cfRule type="cellIs" dxfId="251" priority="274" operator="greaterThanOrEqual">
      <formula>0</formula>
    </cfRule>
  </conditionalFormatting>
  <conditionalFormatting sqref="J90">
    <cfRule type="cellIs" dxfId="250" priority="273" operator="lessThan">
      <formula>0</formula>
    </cfRule>
  </conditionalFormatting>
  <conditionalFormatting sqref="J103">
    <cfRule type="cellIs" dxfId="249" priority="272" operator="greaterThanOrEqual">
      <formula>0</formula>
    </cfRule>
  </conditionalFormatting>
  <conditionalFormatting sqref="J103">
    <cfRule type="cellIs" dxfId="248" priority="271" operator="lessThan">
      <formula>0</formula>
    </cfRule>
  </conditionalFormatting>
  <conditionalFormatting sqref="J109">
    <cfRule type="cellIs" dxfId="247" priority="268" operator="greaterThanOrEqual">
      <formula>0</formula>
    </cfRule>
  </conditionalFormatting>
  <conditionalFormatting sqref="J109">
    <cfRule type="cellIs" dxfId="246" priority="267" operator="lessThan">
      <formula>0</formula>
    </cfRule>
  </conditionalFormatting>
  <conditionalFormatting sqref="J112">
    <cfRule type="cellIs" dxfId="245" priority="266" operator="greaterThanOrEqual">
      <formula>0</formula>
    </cfRule>
  </conditionalFormatting>
  <conditionalFormatting sqref="J112">
    <cfRule type="cellIs" dxfId="244" priority="265" operator="lessThan">
      <formula>0</formula>
    </cfRule>
  </conditionalFormatting>
  <conditionalFormatting sqref="J113">
    <cfRule type="cellIs" dxfId="243" priority="264" operator="greaterThanOrEqual">
      <formula>0</formula>
    </cfRule>
  </conditionalFormatting>
  <conditionalFormatting sqref="J113">
    <cfRule type="cellIs" dxfId="242" priority="263" operator="lessThan">
      <formula>0</formula>
    </cfRule>
  </conditionalFormatting>
  <conditionalFormatting sqref="J121">
    <cfRule type="cellIs" dxfId="241" priority="262" operator="greaterThanOrEqual">
      <formula>0</formula>
    </cfRule>
  </conditionalFormatting>
  <conditionalFormatting sqref="J121">
    <cfRule type="cellIs" dxfId="240" priority="261" operator="lessThan">
      <formula>0</formula>
    </cfRule>
  </conditionalFormatting>
  <conditionalFormatting sqref="J127">
    <cfRule type="cellIs" dxfId="239" priority="260" operator="greaterThanOrEqual">
      <formula>0</formula>
    </cfRule>
  </conditionalFormatting>
  <conditionalFormatting sqref="J127">
    <cfRule type="cellIs" dxfId="238" priority="259" operator="lessThan">
      <formula>0</formula>
    </cfRule>
  </conditionalFormatting>
  <conditionalFormatting sqref="J128">
    <cfRule type="cellIs" dxfId="237" priority="258" operator="greaterThanOrEqual">
      <formula>0</formula>
    </cfRule>
  </conditionalFormatting>
  <conditionalFormatting sqref="J128">
    <cfRule type="cellIs" dxfId="236" priority="257" operator="lessThan">
      <formula>0</formula>
    </cfRule>
  </conditionalFormatting>
  <conditionalFormatting sqref="J104:J105">
    <cfRule type="cellIs" dxfId="235" priority="255" operator="lessThan">
      <formula>0</formula>
    </cfRule>
    <cfRule type="cellIs" dxfId="234" priority="256" operator="greaterThanOrEqual">
      <formula>0</formula>
    </cfRule>
  </conditionalFormatting>
  <conditionalFormatting sqref="J107:J108">
    <cfRule type="cellIs" dxfId="233" priority="253" operator="lessThan">
      <formula>0</formula>
    </cfRule>
    <cfRule type="cellIs" dxfId="232" priority="254" operator="greaterThanOrEqual">
      <formula>0</formula>
    </cfRule>
  </conditionalFormatting>
  <conditionalFormatting sqref="J119:J120">
    <cfRule type="cellIs" dxfId="231" priority="251" operator="lessThan">
      <formula>0</formula>
    </cfRule>
    <cfRule type="cellIs" dxfId="230" priority="252" operator="greaterThanOrEqual">
      <formula>0</formula>
    </cfRule>
  </conditionalFormatting>
  <conditionalFormatting sqref="J122:J123">
    <cfRule type="cellIs" dxfId="229" priority="249" operator="lessThan">
      <formula>0</formula>
    </cfRule>
    <cfRule type="cellIs" dxfId="228" priority="250" operator="greaterThanOrEqual">
      <formula>0</formula>
    </cfRule>
  </conditionalFormatting>
  <conditionalFormatting sqref="J125:J126">
    <cfRule type="cellIs" dxfId="227" priority="247" operator="lessThan">
      <formula>0</formula>
    </cfRule>
    <cfRule type="cellIs" dxfId="226" priority="248" operator="greaterThanOrEqual">
      <formula>0</formula>
    </cfRule>
  </conditionalFormatting>
  <conditionalFormatting sqref="K129">
    <cfRule type="cellIs" dxfId="225" priority="245" operator="greaterThan">
      <formula>0</formula>
    </cfRule>
    <cfRule type="cellIs" dxfId="224" priority="246" operator="lessThanOrEqual">
      <formula>0</formula>
    </cfRule>
  </conditionalFormatting>
  <conditionalFormatting sqref="J129">
    <cfRule type="cellIs" dxfId="223" priority="243" operator="greaterThanOrEqual">
      <formula>0</formula>
    </cfRule>
    <cfRule type="cellIs" dxfId="222" priority="244" operator="lessThan">
      <formula>0</formula>
    </cfRule>
  </conditionalFormatting>
  <conditionalFormatting sqref="K117">
    <cfRule type="cellIs" dxfId="221" priority="241" operator="greaterThan">
      <formula>0</formula>
    </cfRule>
    <cfRule type="cellIs" dxfId="220" priority="242" operator="lessThanOrEqual">
      <formula>0</formula>
    </cfRule>
  </conditionalFormatting>
  <conditionalFormatting sqref="J117">
    <cfRule type="cellIs" dxfId="219" priority="240" operator="greaterThanOrEqual">
      <formula>0</formula>
    </cfRule>
  </conditionalFormatting>
  <conditionalFormatting sqref="J117">
    <cfRule type="cellIs" dxfId="218" priority="239" operator="lessThan">
      <formula>0</formula>
    </cfRule>
  </conditionalFormatting>
  <conditionalFormatting sqref="M77 M86 M80 M83 M93 M96 M99 M102">
    <cfRule type="cellIs" dxfId="217" priority="236" operator="greaterThanOrEqual">
      <formula>0</formula>
    </cfRule>
  </conditionalFormatting>
  <conditionalFormatting sqref="M77 M86 M80 M83 M93 M96 M99 M102">
    <cfRule type="cellIs" dxfId="216" priority="235" operator="lessThan">
      <formula>0</formula>
    </cfRule>
  </conditionalFormatting>
  <conditionalFormatting sqref="M129">
    <cfRule type="cellIs" dxfId="215" priority="233" operator="greaterThanOrEqual">
      <formula>0</formula>
    </cfRule>
    <cfRule type="cellIs" dxfId="214" priority="234" operator="lessThan">
      <formula>0</formula>
    </cfRule>
  </conditionalFormatting>
  <conditionalFormatting sqref="N75:N76">
    <cfRule type="cellIs" dxfId="213" priority="231" operator="greaterThan">
      <formula>0</formula>
    </cfRule>
    <cfRule type="cellIs" dxfId="212" priority="232" operator="lessThanOrEqual">
      <formula>0</formula>
    </cfRule>
  </conditionalFormatting>
  <conditionalFormatting sqref="N77 N86 N80 N83 N93 N96 N99 N102">
    <cfRule type="cellIs" dxfId="211" priority="230" operator="greaterThanOrEqual">
      <formula>0</formula>
    </cfRule>
  </conditionalFormatting>
  <conditionalFormatting sqref="N77 N86 N80 N83 N93 N96 N99 N102">
    <cfRule type="cellIs" dxfId="210" priority="229" operator="lessThan">
      <formula>0</formula>
    </cfRule>
  </conditionalFormatting>
  <conditionalFormatting sqref="N129">
    <cfRule type="cellIs" dxfId="209" priority="227" operator="lessThan">
      <formula>0</formula>
    </cfRule>
    <cfRule type="cellIs" dxfId="208" priority="228" operator="greaterThanOrEqual">
      <formula>0</formula>
    </cfRule>
  </conditionalFormatting>
  <conditionalFormatting sqref="N114">
    <cfRule type="cellIs" dxfId="207" priority="223" operator="lessThan">
      <formula>0</formula>
    </cfRule>
  </conditionalFormatting>
  <conditionalFormatting sqref="M114">
    <cfRule type="cellIs" dxfId="206" priority="226" operator="greaterThanOrEqual">
      <formula>0</formula>
    </cfRule>
  </conditionalFormatting>
  <conditionalFormatting sqref="M114">
    <cfRule type="cellIs" dxfId="205" priority="225" operator="lessThan">
      <formula>0</formula>
    </cfRule>
  </conditionalFormatting>
  <conditionalFormatting sqref="N114">
    <cfRule type="cellIs" dxfId="204" priority="224" operator="greaterThanOrEqual">
      <formula>0</formula>
    </cfRule>
  </conditionalFormatting>
  <conditionalFormatting sqref="M104:M105">
    <cfRule type="cellIs" dxfId="203" priority="221" operator="lessThan">
      <formula>0</formula>
    </cfRule>
    <cfRule type="cellIs" dxfId="202" priority="222" operator="greaterThanOrEqual">
      <formula>0</formula>
    </cfRule>
  </conditionalFormatting>
  <conditionalFormatting sqref="M107:M108">
    <cfRule type="cellIs" dxfId="201" priority="219" operator="lessThan">
      <formula>0</formula>
    </cfRule>
    <cfRule type="cellIs" dxfId="200" priority="220" operator="greaterThanOrEqual">
      <formula>0</formula>
    </cfRule>
  </conditionalFormatting>
  <conditionalFormatting sqref="M115:M116">
    <cfRule type="cellIs" dxfId="199" priority="217" operator="lessThan">
      <formula>0</formula>
    </cfRule>
    <cfRule type="cellIs" dxfId="198" priority="218" operator="greaterThanOrEqual">
      <formula>0</formula>
    </cfRule>
  </conditionalFormatting>
  <conditionalFormatting sqref="M119:M120">
    <cfRule type="cellIs" dxfId="197" priority="215" operator="lessThan">
      <formula>0</formula>
    </cfRule>
    <cfRule type="cellIs" dxfId="196" priority="216" operator="greaterThanOrEqual">
      <formula>0</formula>
    </cfRule>
  </conditionalFormatting>
  <conditionalFormatting sqref="M122:M123">
    <cfRule type="cellIs" dxfId="195" priority="213" operator="lessThan">
      <formula>0</formula>
    </cfRule>
    <cfRule type="cellIs" dxfId="194" priority="214" operator="greaterThanOrEqual">
      <formula>0</formula>
    </cfRule>
  </conditionalFormatting>
  <conditionalFormatting sqref="M125:M126">
    <cfRule type="cellIs" dxfId="193" priority="211" operator="lessThan">
      <formula>0</formula>
    </cfRule>
    <cfRule type="cellIs" dxfId="192" priority="212" operator="greaterThanOrEqual">
      <formula>0</formula>
    </cfRule>
  </conditionalFormatting>
  <conditionalFormatting sqref="M87">
    <cfRule type="cellIs" dxfId="191" priority="210" operator="greaterThanOrEqual">
      <formula>0</formula>
    </cfRule>
  </conditionalFormatting>
  <conditionalFormatting sqref="M87">
    <cfRule type="cellIs" dxfId="190" priority="209" operator="lessThan">
      <formula>0</formula>
    </cfRule>
  </conditionalFormatting>
  <conditionalFormatting sqref="M88">
    <cfRule type="cellIs" dxfId="189" priority="208" operator="greaterThanOrEqual">
      <formula>0</formula>
    </cfRule>
  </conditionalFormatting>
  <conditionalFormatting sqref="M88">
    <cfRule type="cellIs" dxfId="188" priority="207" operator="lessThan">
      <formula>0</formula>
    </cfRule>
  </conditionalFormatting>
  <conditionalFormatting sqref="M90">
    <cfRule type="cellIs" dxfId="187" priority="206" operator="greaterThanOrEqual">
      <formula>0</formula>
    </cfRule>
  </conditionalFormatting>
  <conditionalFormatting sqref="M90">
    <cfRule type="cellIs" dxfId="186" priority="205" operator="lessThan">
      <formula>0</formula>
    </cfRule>
  </conditionalFormatting>
  <conditionalFormatting sqref="M103">
    <cfRule type="cellIs" dxfId="185" priority="204" operator="greaterThanOrEqual">
      <formula>0</formula>
    </cfRule>
  </conditionalFormatting>
  <conditionalFormatting sqref="M103">
    <cfRule type="cellIs" dxfId="184" priority="203" operator="lessThan">
      <formula>0</formula>
    </cfRule>
  </conditionalFormatting>
  <conditionalFormatting sqref="M109">
    <cfRule type="cellIs" dxfId="183" priority="200" operator="greaterThanOrEqual">
      <formula>0</formula>
    </cfRule>
  </conditionalFormatting>
  <conditionalFormatting sqref="M109">
    <cfRule type="cellIs" dxfId="182" priority="199" operator="lessThan">
      <formula>0</formula>
    </cfRule>
  </conditionalFormatting>
  <conditionalFormatting sqref="M112">
    <cfRule type="cellIs" dxfId="181" priority="198" operator="greaterThanOrEqual">
      <formula>0</formula>
    </cfRule>
  </conditionalFormatting>
  <conditionalFormatting sqref="M112">
    <cfRule type="cellIs" dxfId="180" priority="197" operator="lessThan">
      <formula>0</formula>
    </cfRule>
  </conditionalFormatting>
  <conditionalFormatting sqref="M121">
    <cfRule type="cellIs" dxfId="179" priority="194" operator="greaterThanOrEqual">
      <formula>0</formula>
    </cfRule>
  </conditionalFormatting>
  <conditionalFormatting sqref="M121">
    <cfRule type="cellIs" dxfId="178" priority="193" operator="lessThan">
      <formula>0</formula>
    </cfRule>
  </conditionalFormatting>
  <conditionalFormatting sqref="M124">
    <cfRule type="cellIs" dxfId="177" priority="192" operator="greaterThanOrEqual">
      <formula>0</formula>
    </cfRule>
  </conditionalFormatting>
  <conditionalFormatting sqref="M124">
    <cfRule type="cellIs" dxfId="176" priority="191" operator="lessThan">
      <formula>0</formula>
    </cfRule>
  </conditionalFormatting>
  <conditionalFormatting sqref="M127">
    <cfRule type="cellIs" dxfId="175" priority="190" operator="greaterThanOrEqual">
      <formula>0</formula>
    </cfRule>
  </conditionalFormatting>
  <conditionalFormatting sqref="M127">
    <cfRule type="cellIs" dxfId="174" priority="189" operator="lessThan">
      <formula>0</formula>
    </cfRule>
  </conditionalFormatting>
  <conditionalFormatting sqref="M118">
    <cfRule type="cellIs" dxfId="173" priority="188" operator="greaterThanOrEqual">
      <formula>0</formula>
    </cfRule>
  </conditionalFormatting>
  <conditionalFormatting sqref="M118">
    <cfRule type="cellIs" dxfId="172" priority="187" operator="lessThan">
      <formula>0</formula>
    </cfRule>
  </conditionalFormatting>
  <conditionalFormatting sqref="M128">
    <cfRule type="cellIs" dxfId="171" priority="186" operator="greaterThanOrEqual">
      <formula>0</formula>
    </cfRule>
  </conditionalFormatting>
  <conditionalFormatting sqref="M128">
    <cfRule type="cellIs" dxfId="170" priority="185" operator="lessThan">
      <formula>0</formula>
    </cfRule>
  </conditionalFormatting>
  <conditionalFormatting sqref="N78:N79">
    <cfRule type="cellIs" dxfId="169" priority="183" operator="greaterThan">
      <formula>0</formula>
    </cfRule>
    <cfRule type="cellIs" dxfId="168" priority="184" operator="lessThanOrEqual">
      <formula>0</formula>
    </cfRule>
  </conditionalFormatting>
  <conditionalFormatting sqref="N81:N82">
    <cfRule type="cellIs" dxfId="167" priority="181" operator="greaterThan">
      <formula>0</formula>
    </cfRule>
    <cfRule type="cellIs" dxfId="166" priority="182" operator="lessThanOrEqual">
      <formula>0</formula>
    </cfRule>
  </conditionalFormatting>
  <conditionalFormatting sqref="N84:N85">
    <cfRule type="cellIs" dxfId="165" priority="179" operator="greaterThan">
      <formula>0</formula>
    </cfRule>
    <cfRule type="cellIs" dxfId="164" priority="180" operator="lessThanOrEqual">
      <formula>0</formula>
    </cfRule>
  </conditionalFormatting>
  <conditionalFormatting sqref="N91:N92">
    <cfRule type="cellIs" dxfId="163" priority="177" operator="greaterThan">
      <formula>0</formula>
    </cfRule>
    <cfRule type="cellIs" dxfId="162" priority="178" operator="lessThanOrEqual">
      <formula>0</formula>
    </cfRule>
  </conditionalFormatting>
  <conditionalFormatting sqref="N94:N95">
    <cfRule type="cellIs" dxfId="161" priority="175" operator="greaterThan">
      <formula>0</formula>
    </cfRule>
    <cfRule type="cellIs" dxfId="160" priority="176" operator="lessThanOrEqual">
      <formula>0</formula>
    </cfRule>
  </conditionalFormatting>
  <conditionalFormatting sqref="N97:N98">
    <cfRule type="cellIs" dxfId="159" priority="173" operator="greaterThan">
      <formula>0</formula>
    </cfRule>
    <cfRule type="cellIs" dxfId="158" priority="174" operator="lessThanOrEqual">
      <formula>0</formula>
    </cfRule>
  </conditionalFormatting>
  <conditionalFormatting sqref="N100:N101">
    <cfRule type="cellIs" dxfId="157" priority="171" operator="greaterThan">
      <formula>0</formula>
    </cfRule>
    <cfRule type="cellIs" dxfId="156" priority="172" operator="lessThanOrEqual">
      <formula>0</formula>
    </cfRule>
  </conditionalFormatting>
  <conditionalFormatting sqref="N104:N105">
    <cfRule type="cellIs" dxfId="155" priority="169" operator="greaterThan">
      <formula>0</formula>
    </cfRule>
    <cfRule type="cellIs" dxfId="154" priority="170" operator="lessThanOrEqual">
      <formula>0</formula>
    </cfRule>
  </conditionalFormatting>
  <conditionalFormatting sqref="N107:N108">
    <cfRule type="cellIs" dxfId="153" priority="167" operator="greaterThan">
      <formula>0</formula>
    </cfRule>
    <cfRule type="cellIs" dxfId="152" priority="168" operator="lessThanOrEqual">
      <formula>0</formula>
    </cfRule>
  </conditionalFormatting>
  <conditionalFormatting sqref="N110:N111">
    <cfRule type="cellIs" dxfId="151" priority="165" operator="greaterThan">
      <formula>0</formula>
    </cfRule>
    <cfRule type="cellIs" dxfId="150" priority="166" operator="lessThanOrEqual">
      <formula>0</formula>
    </cfRule>
  </conditionalFormatting>
  <conditionalFormatting sqref="N115:N116">
    <cfRule type="cellIs" dxfId="149" priority="163" operator="greaterThan">
      <formula>0</formula>
    </cfRule>
    <cfRule type="cellIs" dxfId="148" priority="164" operator="lessThanOrEqual">
      <formula>0</formula>
    </cfRule>
  </conditionalFormatting>
  <conditionalFormatting sqref="N119:N120">
    <cfRule type="cellIs" dxfId="147" priority="161" operator="greaterThan">
      <formula>0</formula>
    </cfRule>
    <cfRule type="cellIs" dxfId="146" priority="162" operator="lessThanOrEqual">
      <formula>0</formula>
    </cfRule>
  </conditionalFormatting>
  <conditionalFormatting sqref="N125:N126">
    <cfRule type="cellIs" dxfId="145" priority="157" operator="greaterThan">
      <formula>0</formula>
    </cfRule>
    <cfRule type="cellIs" dxfId="144" priority="158" operator="lessThanOrEqual">
      <formula>0</formula>
    </cfRule>
  </conditionalFormatting>
  <conditionalFormatting sqref="N87">
    <cfRule type="cellIs" dxfId="143" priority="156" operator="greaterThanOrEqual">
      <formula>0</formula>
    </cfRule>
  </conditionalFormatting>
  <conditionalFormatting sqref="N87">
    <cfRule type="cellIs" dxfId="142" priority="155" operator="lessThan">
      <formula>0</formula>
    </cfRule>
  </conditionalFormatting>
  <conditionalFormatting sqref="N88">
    <cfRule type="cellIs" dxfId="141" priority="154" operator="greaterThanOrEqual">
      <formula>0</formula>
    </cfRule>
  </conditionalFormatting>
  <conditionalFormatting sqref="N88">
    <cfRule type="cellIs" dxfId="140" priority="153" operator="lessThan">
      <formula>0</formula>
    </cfRule>
  </conditionalFormatting>
  <conditionalFormatting sqref="N90">
    <cfRule type="cellIs" dxfId="139" priority="152" operator="greaterThanOrEqual">
      <formula>0</formula>
    </cfRule>
  </conditionalFormatting>
  <conditionalFormatting sqref="N90">
    <cfRule type="cellIs" dxfId="138" priority="151" operator="lessThan">
      <formula>0</formula>
    </cfRule>
  </conditionalFormatting>
  <conditionalFormatting sqref="N103">
    <cfRule type="cellIs" dxfId="137" priority="150" operator="greaterThanOrEqual">
      <formula>0</formula>
    </cfRule>
  </conditionalFormatting>
  <conditionalFormatting sqref="N103">
    <cfRule type="cellIs" dxfId="136" priority="149" operator="lessThan">
      <formula>0</formula>
    </cfRule>
  </conditionalFormatting>
  <conditionalFormatting sqref="N106">
    <cfRule type="cellIs" dxfId="135" priority="148" operator="greaterThanOrEqual">
      <formula>0</formula>
    </cfRule>
  </conditionalFormatting>
  <conditionalFormatting sqref="N106">
    <cfRule type="cellIs" dxfId="134" priority="147" operator="lessThan">
      <formula>0</formula>
    </cfRule>
  </conditionalFormatting>
  <conditionalFormatting sqref="N109">
    <cfRule type="cellIs" dxfId="133" priority="146" operator="greaterThanOrEqual">
      <formula>0</formula>
    </cfRule>
  </conditionalFormatting>
  <conditionalFormatting sqref="N109">
    <cfRule type="cellIs" dxfId="132" priority="145" operator="lessThan">
      <formula>0</formula>
    </cfRule>
  </conditionalFormatting>
  <conditionalFormatting sqref="N113">
    <cfRule type="cellIs" dxfId="131" priority="142" operator="greaterThanOrEqual">
      <formula>0</formula>
    </cfRule>
  </conditionalFormatting>
  <conditionalFormatting sqref="N113">
    <cfRule type="cellIs" dxfId="130" priority="141" operator="lessThan">
      <formula>0</formula>
    </cfRule>
  </conditionalFormatting>
  <conditionalFormatting sqref="N121">
    <cfRule type="cellIs" dxfId="129" priority="140" operator="greaterThanOrEqual">
      <formula>0</formula>
    </cfRule>
  </conditionalFormatting>
  <conditionalFormatting sqref="N121">
    <cfRule type="cellIs" dxfId="128" priority="139" operator="lessThan">
      <formula>0</formula>
    </cfRule>
  </conditionalFormatting>
  <conditionalFormatting sqref="M117">
    <cfRule type="cellIs" dxfId="127" priority="130" operator="greaterThanOrEqual">
      <formula>0</formula>
    </cfRule>
  </conditionalFormatting>
  <conditionalFormatting sqref="M117">
    <cfRule type="cellIs" dxfId="126" priority="129" operator="lessThan">
      <formula>0</formula>
    </cfRule>
  </conditionalFormatting>
  <conditionalFormatting sqref="G132">
    <cfRule type="cellIs" dxfId="125" priority="125" operator="lessThan">
      <formula>0</formula>
    </cfRule>
    <cfRule type="cellIs" dxfId="124" priority="126" operator="greaterThanOrEqual">
      <formula>0</formula>
    </cfRule>
  </conditionalFormatting>
  <conditionalFormatting sqref="G175">
    <cfRule type="cellIs" dxfId="123" priority="123" operator="greaterThan">
      <formula>0</formula>
    </cfRule>
    <cfRule type="cellIs" dxfId="122" priority="124" operator="lessThanOrEqual">
      <formula>0</formula>
    </cfRule>
  </conditionalFormatting>
  <conditionalFormatting sqref="F175">
    <cfRule type="cellIs" dxfId="121" priority="122" operator="greaterThanOrEqual">
      <formula>0</formula>
    </cfRule>
  </conditionalFormatting>
  <conditionalFormatting sqref="F175">
    <cfRule type="cellIs" dxfId="120" priority="121" operator="lessThan">
      <formula>0</formula>
    </cfRule>
  </conditionalFormatting>
  <conditionalFormatting sqref="J175">
    <cfRule type="cellIs" dxfId="119" priority="120" operator="greaterThanOrEqual">
      <formula>0</formula>
    </cfRule>
  </conditionalFormatting>
  <conditionalFormatting sqref="J175">
    <cfRule type="cellIs" dxfId="118" priority="119" operator="lessThan">
      <formula>0</formula>
    </cfRule>
  </conditionalFormatting>
  <conditionalFormatting sqref="M175">
    <cfRule type="cellIs" dxfId="117" priority="118" operator="greaterThanOrEqual">
      <formula>0</formula>
    </cfRule>
  </conditionalFormatting>
  <conditionalFormatting sqref="M175">
    <cfRule type="cellIs" dxfId="116" priority="117" operator="lessThan">
      <formula>0</formula>
    </cfRule>
  </conditionalFormatting>
  <conditionalFormatting sqref="N175">
    <cfRule type="cellIs" dxfId="115" priority="116" operator="greaterThanOrEqual">
      <formula>0</formula>
    </cfRule>
  </conditionalFormatting>
  <conditionalFormatting sqref="N175">
    <cfRule type="cellIs" dxfId="114" priority="115" operator="lessThan">
      <formula>0</formula>
    </cfRule>
  </conditionalFormatting>
  <conditionalFormatting sqref="G174">
    <cfRule type="cellIs" dxfId="113" priority="113" operator="greaterThan">
      <formula>0</formula>
    </cfRule>
    <cfRule type="cellIs" dxfId="112" priority="114" operator="lessThanOrEqual">
      <formula>0</formula>
    </cfRule>
  </conditionalFormatting>
  <conditionalFormatting sqref="F174">
    <cfRule type="cellIs" dxfId="111" priority="112" operator="greaterThanOrEqual">
      <formula>0</formula>
    </cfRule>
  </conditionalFormatting>
  <conditionalFormatting sqref="F174">
    <cfRule type="cellIs" dxfId="110" priority="111" operator="lessThan">
      <formula>0</formula>
    </cfRule>
  </conditionalFormatting>
  <conditionalFormatting sqref="M174:N174">
    <cfRule type="cellIs" dxfId="109" priority="108" operator="greaterThanOrEqual">
      <formula>0</formula>
    </cfRule>
  </conditionalFormatting>
  <conditionalFormatting sqref="M174:N174">
    <cfRule type="cellIs" dxfId="108" priority="107" operator="lessThan">
      <formula>0</formula>
    </cfRule>
  </conditionalFormatting>
  <conditionalFormatting sqref="J174">
    <cfRule type="cellIs" dxfId="107" priority="110" operator="greaterThanOrEqual">
      <formula>0</formula>
    </cfRule>
  </conditionalFormatting>
  <conditionalFormatting sqref="J174">
    <cfRule type="cellIs" dxfId="106" priority="109" operator="lessThan">
      <formula>0</formula>
    </cfRule>
  </conditionalFormatting>
  <conditionalFormatting sqref="K133">
    <cfRule type="cellIs" dxfId="105" priority="105" operator="greaterThan">
      <formula>0</formula>
    </cfRule>
    <cfRule type="cellIs" dxfId="104" priority="106" operator="lessThanOrEqual">
      <formula>0</formula>
    </cfRule>
  </conditionalFormatting>
  <conditionalFormatting sqref="K135:K136">
    <cfRule type="cellIs" dxfId="103" priority="103" operator="greaterThan">
      <formula>0</formula>
    </cfRule>
    <cfRule type="cellIs" dxfId="102" priority="104" operator="lessThanOrEqual">
      <formula>0</formula>
    </cfRule>
  </conditionalFormatting>
  <conditionalFormatting sqref="K172:K173">
    <cfRule type="cellIs" dxfId="101" priority="85" operator="greaterThan">
      <formula>0</formula>
    </cfRule>
    <cfRule type="cellIs" dxfId="100" priority="86" operator="lessThanOrEqual">
      <formula>0</formula>
    </cfRule>
  </conditionalFormatting>
  <conditionalFormatting sqref="K143">
    <cfRule type="cellIs" dxfId="99" priority="75" operator="greaterThan">
      <formula>0</formula>
    </cfRule>
    <cfRule type="cellIs" dxfId="98" priority="76" operator="lessThanOrEqual">
      <formula>0</formula>
    </cfRule>
  </conditionalFormatting>
  <conditionalFormatting sqref="K153">
    <cfRule type="cellIs" dxfId="97" priority="73" operator="greaterThan">
      <formula>0</formula>
    </cfRule>
    <cfRule type="cellIs" dxfId="96" priority="74" operator="lessThanOrEqual">
      <formula>0</formula>
    </cfRule>
  </conditionalFormatting>
  <conditionalFormatting sqref="K156">
    <cfRule type="cellIs" dxfId="95" priority="71" operator="greaterThan">
      <formula>0</formula>
    </cfRule>
    <cfRule type="cellIs" dxfId="94" priority="72" operator="lessThanOrEqual">
      <formula>0</formula>
    </cfRule>
  </conditionalFormatting>
  <conditionalFormatting sqref="K163">
    <cfRule type="cellIs" dxfId="93" priority="47" operator="greaterThan">
      <formula>0</formula>
    </cfRule>
    <cfRule type="cellIs" dxfId="92" priority="48" operator="lessThanOrEqual">
      <formula>0</formula>
    </cfRule>
  </conditionalFormatting>
  <conditionalFormatting sqref="K170">
    <cfRule type="cellIs" dxfId="91" priority="53" operator="greaterThan">
      <formula>0</formula>
    </cfRule>
    <cfRule type="cellIs" dxfId="90" priority="54" operator="lessThanOrEqual">
      <formula>0</formula>
    </cfRule>
  </conditionalFormatting>
  <conditionalFormatting sqref="K138:K139">
    <cfRule type="cellIs" dxfId="89" priority="101" operator="greaterThan">
      <formula>0</formula>
    </cfRule>
    <cfRule type="cellIs" dxfId="88" priority="102" operator="lessThanOrEqual">
      <formula>0</formula>
    </cfRule>
  </conditionalFormatting>
  <conditionalFormatting sqref="K148:K149">
    <cfRule type="cellIs" dxfId="87" priority="99" operator="greaterThan">
      <formula>0</formula>
    </cfRule>
    <cfRule type="cellIs" dxfId="86" priority="100" operator="lessThanOrEqual">
      <formula>0</formula>
    </cfRule>
  </conditionalFormatting>
  <conditionalFormatting sqref="K141:K142">
    <cfRule type="cellIs" dxfId="85" priority="97" operator="greaterThan">
      <formula>0</formula>
    </cfRule>
    <cfRule type="cellIs" dxfId="84" priority="98" operator="lessThanOrEqual">
      <formula>0</formula>
    </cfRule>
  </conditionalFormatting>
  <conditionalFormatting sqref="K151:K152">
    <cfRule type="cellIs" dxfId="83" priority="95" operator="greaterThan">
      <formula>0</formula>
    </cfRule>
    <cfRule type="cellIs" dxfId="82" priority="96" operator="lessThanOrEqual">
      <formula>0</formula>
    </cfRule>
  </conditionalFormatting>
  <conditionalFormatting sqref="K154:K155">
    <cfRule type="cellIs" dxfId="81" priority="93" operator="greaterThan">
      <formula>0</formula>
    </cfRule>
    <cfRule type="cellIs" dxfId="80" priority="94" operator="lessThanOrEqual">
      <formula>0</formula>
    </cfRule>
  </conditionalFormatting>
  <conditionalFormatting sqref="K157:K158">
    <cfRule type="cellIs" dxfId="79" priority="91" operator="greaterThan">
      <formula>0</formula>
    </cfRule>
    <cfRule type="cellIs" dxfId="78" priority="92" operator="lessThanOrEqual">
      <formula>0</formula>
    </cfRule>
  </conditionalFormatting>
  <conditionalFormatting sqref="K167:K168">
    <cfRule type="cellIs" dxfId="77" priority="89" operator="greaterThan">
      <formula>0</formula>
    </cfRule>
    <cfRule type="cellIs" dxfId="76" priority="90" operator="lessThanOrEqual">
      <formula>0</formula>
    </cfRule>
  </conditionalFormatting>
  <conditionalFormatting sqref="K182:K183">
    <cfRule type="cellIs" dxfId="75" priority="87" operator="greaterThan">
      <formula>0</formula>
    </cfRule>
    <cfRule type="cellIs" dxfId="74" priority="88" operator="lessThanOrEqual">
      <formula>0</formula>
    </cfRule>
  </conditionalFormatting>
  <conditionalFormatting sqref="K134">
    <cfRule type="cellIs" dxfId="73" priority="83" operator="greaterThan">
      <formula>0</formula>
    </cfRule>
    <cfRule type="cellIs" dxfId="72" priority="84" operator="lessThanOrEqual">
      <formula>0</formula>
    </cfRule>
  </conditionalFormatting>
  <conditionalFormatting sqref="K137">
    <cfRule type="cellIs" dxfId="71" priority="81" operator="greaterThan">
      <formula>0</formula>
    </cfRule>
    <cfRule type="cellIs" dxfId="70" priority="82" operator="lessThanOrEqual">
      <formula>0</formula>
    </cfRule>
  </conditionalFormatting>
  <conditionalFormatting sqref="K140">
    <cfRule type="cellIs" dxfId="69" priority="79" operator="greaterThan">
      <formula>0</formula>
    </cfRule>
    <cfRule type="cellIs" dxfId="68" priority="80" operator="lessThanOrEqual">
      <formula>0</formula>
    </cfRule>
  </conditionalFormatting>
  <conditionalFormatting sqref="K150">
    <cfRule type="cellIs" dxfId="67" priority="77" operator="greaterThan">
      <formula>0</formula>
    </cfRule>
    <cfRule type="cellIs" dxfId="66" priority="78" operator="lessThanOrEqual">
      <formula>0</formula>
    </cfRule>
  </conditionalFormatting>
  <conditionalFormatting sqref="K159">
    <cfRule type="cellIs" dxfId="65" priority="69" operator="greaterThan">
      <formula>0</formula>
    </cfRule>
    <cfRule type="cellIs" dxfId="64" priority="70" operator="lessThanOrEqual">
      <formula>0</formula>
    </cfRule>
  </conditionalFormatting>
  <conditionalFormatting sqref="K145">
    <cfRule type="cellIs" dxfId="63" priority="67" operator="greaterThan">
      <formula>0</formula>
    </cfRule>
    <cfRule type="cellIs" dxfId="62" priority="68" operator="lessThanOrEqual">
      <formula>0</formula>
    </cfRule>
  </conditionalFormatting>
  <conditionalFormatting sqref="K185">
    <cfRule type="cellIs" dxfId="61" priority="65" operator="greaterThan">
      <formula>0</formula>
    </cfRule>
    <cfRule type="cellIs" dxfId="60" priority="66" operator="lessThanOrEqual">
      <formula>0</formula>
    </cfRule>
  </conditionalFormatting>
  <conditionalFormatting sqref="K186">
    <cfRule type="cellIs" dxfId="59" priority="63" operator="greaterThan">
      <formula>0</formula>
    </cfRule>
    <cfRule type="cellIs" dxfId="58" priority="64" operator="lessThanOrEqual">
      <formula>0</formula>
    </cfRule>
  </conditionalFormatting>
  <conditionalFormatting sqref="K171">
    <cfRule type="cellIs" dxfId="57" priority="61" operator="greaterThan">
      <formula>0</formula>
    </cfRule>
    <cfRule type="cellIs" dxfId="56" priority="62" operator="lessThanOrEqual">
      <formula>0</formula>
    </cfRule>
  </conditionalFormatting>
  <conditionalFormatting sqref="K144">
    <cfRule type="cellIs" dxfId="55" priority="59" operator="greaterThan">
      <formula>0</formula>
    </cfRule>
    <cfRule type="cellIs" dxfId="54" priority="60" operator="lessThanOrEqual">
      <formula>0</formula>
    </cfRule>
  </conditionalFormatting>
  <conditionalFormatting sqref="K166">
    <cfRule type="cellIs" dxfId="53" priority="45" operator="greaterThan">
      <formula>0</formula>
    </cfRule>
    <cfRule type="cellIs" dxfId="52" priority="46" operator="lessThanOrEqual">
      <formula>0</formula>
    </cfRule>
  </conditionalFormatting>
  <conditionalFormatting sqref="K169">
    <cfRule type="cellIs" dxfId="51" priority="43" operator="greaterThan">
      <formula>0</formula>
    </cfRule>
    <cfRule type="cellIs" dxfId="50" priority="44" operator="lessThanOrEqual">
      <formula>0</formula>
    </cfRule>
  </conditionalFormatting>
  <conditionalFormatting sqref="K147">
    <cfRule type="cellIs" dxfId="49" priority="57" operator="greaterThan">
      <formula>0</formula>
    </cfRule>
    <cfRule type="cellIs" dxfId="48" priority="58" operator="lessThanOrEqual">
      <formula>0</formula>
    </cfRule>
  </conditionalFormatting>
  <conditionalFormatting sqref="K160">
    <cfRule type="cellIs" dxfId="47" priority="55" operator="greaterThan">
      <formula>0</formula>
    </cfRule>
    <cfRule type="cellIs" dxfId="46" priority="56" operator="lessThanOrEqual">
      <formula>0</formula>
    </cfRule>
  </conditionalFormatting>
  <conditionalFormatting sqref="K161:K162 K164:K165">
    <cfRule type="cellIs" dxfId="45" priority="51" operator="greaterThan">
      <formula>0</formula>
    </cfRule>
    <cfRule type="cellIs" dxfId="44" priority="52" operator="lessThanOrEqual">
      <formula>0</formula>
    </cfRule>
  </conditionalFormatting>
  <conditionalFormatting sqref="K176:K177 K179:K180">
    <cfRule type="cellIs" dxfId="43" priority="49" operator="greaterThan">
      <formula>0</formula>
    </cfRule>
    <cfRule type="cellIs" dxfId="42" priority="50" operator="lessThanOrEqual">
      <formula>0</formula>
    </cfRule>
  </conditionalFormatting>
  <conditionalFormatting sqref="K178">
    <cfRule type="cellIs" dxfId="41" priority="41" operator="greaterThan">
      <formula>0</formula>
    </cfRule>
    <cfRule type="cellIs" dxfId="40" priority="42" operator="lessThanOrEqual">
      <formula>0</formula>
    </cfRule>
  </conditionalFormatting>
  <conditionalFormatting sqref="K181">
    <cfRule type="cellIs" dxfId="39" priority="39" operator="greaterThan">
      <formula>0</formula>
    </cfRule>
    <cfRule type="cellIs" dxfId="38" priority="40" operator="lessThanOrEqual">
      <formula>0</formula>
    </cfRule>
  </conditionalFormatting>
  <conditionalFormatting sqref="K184">
    <cfRule type="cellIs" dxfId="37" priority="37" operator="greaterThan">
      <formula>0</formula>
    </cfRule>
    <cfRule type="cellIs" dxfId="36" priority="38" operator="lessThanOrEqual">
      <formula>0</formula>
    </cfRule>
  </conditionalFormatting>
  <conditionalFormatting sqref="K132">
    <cfRule type="cellIs" dxfId="35" priority="35" operator="lessThan">
      <formula>0</formula>
    </cfRule>
    <cfRule type="cellIs" dxfId="34" priority="36" operator="greaterThanOrEqual">
      <formula>0</formula>
    </cfRule>
  </conditionalFormatting>
  <conditionalFormatting sqref="K175">
    <cfRule type="cellIs" dxfId="33" priority="33" operator="greaterThan">
      <formula>0</formula>
    </cfRule>
    <cfRule type="cellIs" dxfId="32" priority="34" operator="lessThanOrEqual">
      <formula>0</formula>
    </cfRule>
  </conditionalFormatting>
  <conditionalFormatting sqref="K174">
    <cfRule type="cellIs" dxfId="31" priority="31" operator="greaterThan">
      <formula>0</formula>
    </cfRule>
    <cfRule type="cellIs" dxfId="30" priority="32" operator="lessThanOrEqual">
      <formula>0</formula>
    </cfRule>
  </conditionalFormatting>
  <conditionalFormatting sqref="G26">
    <cfRule type="cellIs" dxfId="29" priority="29" operator="greaterThan">
      <formula>0</formula>
    </cfRule>
    <cfRule type="cellIs" dxfId="28" priority="30" operator="lessThanOrEqual">
      <formula>0</formula>
    </cfRule>
  </conditionalFormatting>
  <conditionalFormatting sqref="F26">
    <cfRule type="cellIs" dxfId="27" priority="28" operator="greaterThanOrEqual">
      <formula>0</formula>
    </cfRule>
  </conditionalFormatting>
  <conditionalFormatting sqref="F26">
    <cfRule type="cellIs" dxfId="26" priority="27" operator="lessThan">
      <formula>0</formula>
    </cfRule>
  </conditionalFormatting>
  <conditionalFormatting sqref="K26">
    <cfRule type="cellIs" dxfId="25" priority="25" operator="greaterThan">
      <formula>0</formula>
    </cfRule>
    <cfRule type="cellIs" dxfId="24" priority="26" operator="lessThanOrEqual">
      <formula>0</formula>
    </cfRule>
  </conditionalFormatting>
  <conditionalFormatting sqref="J26">
    <cfRule type="cellIs" dxfId="23" priority="24" operator="greaterThanOrEqual">
      <formula>0</formula>
    </cfRule>
  </conditionalFormatting>
  <conditionalFormatting sqref="J26">
    <cfRule type="cellIs" dxfId="22" priority="23" operator="lessThan">
      <formula>0</formula>
    </cfRule>
  </conditionalFormatting>
  <conditionalFormatting sqref="M26">
    <cfRule type="cellIs" dxfId="21" priority="22" operator="greaterThanOrEqual">
      <formula>0</formula>
    </cfRule>
  </conditionalFormatting>
  <conditionalFormatting sqref="M26">
    <cfRule type="cellIs" dxfId="20" priority="21" operator="lessThan">
      <formula>0</formula>
    </cfRule>
  </conditionalFormatting>
  <conditionalFormatting sqref="N26">
    <cfRule type="cellIs" dxfId="19" priority="20" operator="greaterThanOrEqual">
      <formula>0</formula>
    </cfRule>
  </conditionalFormatting>
  <conditionalFormatting sqref="N26">
    <cfRule type="cellIs" dxfId="18" priority="19" operator="lessThan">
      <formula>0</formula>
    </cfRule>
  </conditionalFormatting>
  <conditionalFormatting sqref="G89">
    <cfRule type="cellIs" dxfId="17" priority="17" operator="greaterThan">
      <formula>0</formula>
    </cfRule>
    <cfRule type="cellIs" dxfId="16" priority="18" operator="lessThanOrEqual">
      <formula>0</formula>
    </cfRule>
  </conditionalFormatting>
  <conditionalFormatting sqref="F89">
    <cfRule type="cellIs" dxfId="15" priority="16" operator="greaterThanOrEqual">
      <formula>0</formula>
    </cfRule>
  </conditionalFormatting>
  <conditionalFormatting sqref="F89">
    <cfRule type="cellIs" dxfId="14" priority="15" operator="lessThan">
      <formula>0</formula>
    </cfRule>
  </conditionalFormatting>
  <conditionalFormatting sqref="K89">
    <cfRule type="cellIs" dxfId="13" priority="13" operator="greaterThan">
      <formula>0</formula>
    </cfRule>
    <cfRule type="cellIs" dxfId="12" priority="14" operator="lessThanOrEqual">
      <formula>0</formula>
    </cfRule>
  </conditionalFormatting>
  <conditionalFormatting sqref="J89">
    <cfRule type="cellIs" dxfId="11" priority="12" operator="greaterThanOrEqual">
      <formula>0</formula>
    </cfRule>
  </conditionalFormatting>
  <conditionalFormatting sqref="J89">
    <cfRule type="cellIs" dxfId="10" priority="11" operator="lessThan">
      <formula>0</formula>
    </cfRule>
  </conditionalFormatting>
  <conditionalFormatting sqref="M89">
    <cfRule type="cellIs" dxfId="9" priority="10" operator="greaterThanOrEqual">
      <formula>0</formula>
    </cfRule>
  </conditionalFormatting>
  <conditionalFormatting sqref="M89">
    <cfRule type="cellIs" dxfId="8" priority="9" operator="lessThan">
      <formula>0</formula>
    </cfRule>
  </conditionalFormatting>
  <conditionalFormatting sqref="N89">
    <cfRule type="cellIs" dxfId="7" priority="8" operator="greaterThanOrEqual">
      <formula>0</formula>
    </cfRule>
  </conditionalFormatting>
  <conditionalFormatting sqref="N89">
    <cfRule type="cellIs" dxfId="6" priority="7" operator="lessThan">
      <formula>0</formula>
    </cfRule>
  </conditionalFormatting>
  <conditionalFormatting sqref="G146">
    <cfRule type="cellIs" dxfId="5" priority="5" operator="greaterThan">
      <formula>0</formula>
    </cfRule>
    <cfRule type="cellIs" dxfId="4" priority="6" operator="lessThanOrEqual">
      <formula>0</formula>
    </cfRule>
  </conditionalFormatting>
  <conditionalFormatting sqref="J146 M146:N146 F146">
    <cfRule type="cellIs" dxfId="3" priority="4" operator="greaterThanOrEqual">
      <formula>0</formula>
    </cfRule>
  </conditionalFormatting>
  <conditionalFormatting sqref="J146 M146:N146 F146">
    <cfRule type="cellIs" dxfId="2" priority="3" operator="lessThan">
      <formula>0</formula>
    </cfRule>
  </conditionalFormatting>
  <conditionalFormatting sqref="K146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2026-09-14T13:13:20Z</dcterms:created>
  <dcterms:modified xsi:type="dcterms:W3CDTF">2026-09-14T13:15:28Z</dcterms:modified>
</cp:coreProperties>
</file>