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Human Resources\Reward, HRIS&amp;Reporting\HRIS\Budget\Бюджетная система 2026\Budget\"/>
    </mc:Choice>
  </mc:AlternateContent>
  <bookViews>
    <workbookView xWindow="0" yWindow="0" windowWidth="28800" windowHeight="12300"/>
  </bookViews>
  <sheets>
    <sheet name="TaskList" sheetId="3" r:id="rId1"/>
    <sheet name="DecisionLog" sheetId="4" r:id="rId2"/>
    <sheet name="TeamRoles" sheetId="5" r:id="rId3"/>
    <sheet name="Праздники" sheetId="2" state="hidden" r:id="rId4"/>
  </sheets>
  <definedNames>
    <definedName name="_xlnm._FilterDatabase" localSheetId="0" hidden="1">TaskList!$A$8:$EX$113</definedName>
    <definedName name="_xlnm._FilterDatabase" localSheetId="2" hidden="1">TeamRoles!$B$3:$C$21</definedName>
    <definedName name="Праздники">OFFSET(Праздники!$A$1,0,0,COUNTA(Праздники!$A$1:$A$21),1)</definedName>
  </definedNames>
  <calcPr calcId="162913"/>
</workbook>
</file>

<file path=xl/calcChain.xml><?xml version="1.0" encoding="utf-8"?>
<calcChain xmlns="http://schemas.openxmlformats.org/spreadsheetml/2006/main">
  <c r="F115" i="3" l="1"/>
  <c r="F114" i="3"/>
  <c r="F113" i="3"/>
  <c r="F112" i="3"/>
  <c r="F111" i="3"/>
  <c r="F108" i="3" l="1"/>
  <c r="F107" i="3"/>
  <c r="F106" i="3"/>
  <c r="F59" i="3"/>
  <c r="F102" i="3" l="1"/>
  <c r="F94" i="3"/>
  <c r="F93" i="3"/>
  <c r="F92" i="3"/>
  <c r="H89" i="3"/>
  <c r="F91" i="3"/>
  <c r="F90" i="3" l="1"/>
  <c r="F63" i="3"/>
  <c r="F64" i="3"/>
  <c r="F21" i="3"/>
  <c r="F22" i="3" l="1"/>
  <c r="F16" i="3" l="1"/>
  <c r="F17" i="3"/>
  <c r="F14" i="3"/>
  <c r="F13" i="3"/>
  <c r="F109" i="3" l="1"/>
  <c r="F99" i="3"/>
  <c r="F98" i="3"/>
  <c r="N54" i="3"/>
  <c r="F76" i="3"/>
  <c r="F74" i="3"/>
  <c r="F62" i="3"/>
  <c r="F60" i="3"/>
  <c r="H45" i="3" l="1"/>
  <c r="G45" i="3"/>
  <c r="F46" i="3"/>
  <c r="F47" i="3"/>
  <c r="G30" i="3"/>
  <c r="H30" i="3"/>
  <c r="F35" i="3" l="1"/>
  <c r="F32" i="3"/>
  <c r="F105" i="3" l="1"/>
  <c r="F103" i="3"/>
  <c r="F101" i="3"/>
  <c r="F100" i="3"/>
  <c r="F97" i="3"/>
  <c r="F96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3" i="3"/>
  <c r="F71" i="3"/>
  <c r="F70" i="3"/>
  <c r="F69" i="3"/>
  <c r="F68" i="3"/>
  <c r="F67" i="3"/>
  <c r="F66" i="3"/>
  <c r="F65" i="3"/>
  <c r="F61" i="3"/>
  <c r="F58" i="3"/>
  <c r="F57" i="3"/>
  <c r="F56" i="3"/>
  <c r="F55" i="3"/>
  <c r="F54" i="3"/>
  <c r="F53" i="3"/>
  <c r="F52" i="3"/>
  <c r="F51" i="3"/>
  <c r="F50" i="3"/>
  <c r="F49" i="3"/>
  <c r="F48" i="3"/>
  <c r="F45" i="3"/>
  <c r="F44" i="3"/>
  <c r="F43" i="3"/>
  <c r="F42" i="3"/>
  <c r="F41" i="3"/>
  <c r="F40" i="3"/>
  <c r="F39" i="3"/>
  <c r="F38" i="3"/>
  <c r="F37" i="3"/>
  <c r="F36" i="3"/>
  <c r="F34" i="3"/>
  <c r="F33" i="3"/>
  <c r="F31" i="3"/>
  <c r="F30" i="3"/>
  <c r="F29" i="3"/>
  <c r="F28" i="3"/>
  <c r="F27" i="3"/>
  <c r="F26" i="3"/>
  <c r="B26" i="3"/>
  <c r="F25" i="3"/>
  <c r="F24" i="3"/>
  <c r="F23" i="3"/>
  <c r="F15" i="3"/>
  <c r="F12" i="3"/>
  <c r="F11" i="3"/>
  <c r="F10" i="3"/>
  <c r="H9" i="3"/>
  <c r="F9" i="3"/>
  <c r="P8" i="3"/>
  <c r="F8" i="3"/>
  <c r="P100" i="3" l="1"/>
  <c r="P10" i="3"/>
  <c r="P9" i="3"/>
  <c r="P11" i="3"/>
  <c r="P40" i="3"/>
  <c r="P68" i="3"/>
  <c r="P73" i="3"/>
  <c r="P29" i="3"/>
  <c r="P34" i="3"/>
  <c r="P39" i="3"/>
  <c r="P82" i="3"/>
  <c r="P41" i="3"/>
  <c r="P96" i="3"/>
  <c r="P52" i="3"/>
  <c r="P42" i="3"/>
  <c r="P80" i="3"/>
  <c r="P65" i="3"/>
  <c r="P44" i="3"/>
  <c r="P81" i="3"/>
  <c r="P69" i="3"/>
  <c r="P53" i="3"/>
  <c r="P67" i="3"/>
  <c r="P101" i="3"/>
  <c r="P30" i="3"/>
  <c r="P70" i="3"/>
  <c r="P50" i="3"/>
  <c r="P33" i="3"/>
  <c r="P66" i="3"/>
  <c r="P25" i="3"/>
  <c r="P7" i="3"/>
  <c r="P48" i="3"/>
  <c r="P79" i="3"/>
  <c r="P26" i="3"/>
  <c r="P28" i="3"/>
  <c r="P97" i="3"/>
  <c r="P27" i="3"/>
  <c r="P12" i="3"/>
  <c r="P31" i="3"/>
  <c r="P43" i="3"/>
  <c r="P103" i="3"/>
  <c r="P89" i="3"/>
  <c r="Q8" i="3"/>
  <c r="Q10" i="3" s="1"/>
  <c r="P36" i="3"/>
  <c r="P54" i="3"/>
  <c r="P77" i="3"/>
  <c r="P49" i="3"/>
  <c r="P64" i="3"/>
  <c r="P15" i="3"/>
  <c r="P37" i="3"/>
  <c r="P51" i="3"/>
  <c r="P78" i="3"/>
  <c r="P45" i="3"/>
  <c r="P58" i="3"/>
  <c r="P38" i="3"/>
  <c r="P55" i="3"/>
  <c r="Q38" i="3" l="1"/>
  <c r="Q12" i="3"/>
  <c r="Q27" i="3"/>
  <c r="Q101" i="3"/>
  <c r="Q33" i="3"/>
  <c r="Q97" i="3"/>
  <c r="Q9" i="3"/>
  <c r="Q55" i="3"/>
  <c r="Q39" i="3"/>
  <c r="Q81" i="3"/>
  <c r="Q26" i="3"/>
  <c r="Q25" i="3"/>
  <c r="Q68" i="3"/>
  <c r="Q15" i="3"/>
  <c r="Q80" i="3"/>
  <c r="Q82" i="3"/>
  <c r="Q78" i="3"/>
  <c r="Q34" i="3"/>
  <c r="Q96" i="3"/>
  <c r="Q44" i="3"/>
  <c r="Q77" i="3"/>
  <c r="Q51" i="3"/>
  <c r="Q79" i="3"/>
  <c r="Q67" i="3"/>
  <c r="Q65" i="3"/>
  <c r="Q31" i="3"/>
  <c r="Q54" i="3"/>
  <c r="Q58" i="3"/>
  <c r="R8" i="3"/>
  <c r="R10" i="3" s="1"/>
  <c r="Q53" i="3"/>
  <c r="Q52" i="3"/>
  <c r="Q28" i="3"/>
  <c r="Q100" i="3"/>
  <c r="Q42" i="3"/>
  <c r="Q11" i="3"/>
  <c r="Q7" i="3"/>
  <c r="Q103" i="3"/>
  <c r="Q41" i="3"/>
  <c r="Q50" i="3"/>
  <c r="Q48" i="3"/>
  <c r="Q89" i="3"/>
  <c r="Q36" i="3"/>
  <c r="Q29" i="3"/>
  <c r="Q66" i="3"/>
  <c r="Q69" i="3"/>
  <c r="Q49" i="3"/>
  <c r="Q43" i="3"/>
  <c r="Q30" i="3"/>
  <c r="Q73" i="3"/>
  <c r="Q40" i="3"/>
  <c r="Q45" i="3"/>
  <c r="Q70" i="3"/>
  <c r="Q37" i="3"/>
  <c r="Q64" i="3"/>
  <c r="R70" i="3" l="1"/>
  <c r="R67" i="3"/>
  <c r="R54" i="3"/>
  <c r="R37" i="3"/>
  <c r="R55" i="3"/>
  <c r="R31" i="3"/>
  <c r="R30" i="3"/>
  <c r="R26" i="3"/>
  <c r="R50" i="3"/>
  <c r="R78" i="3"/>
  <c r="R29" i="3"/>
  <c r="R69" i="3"/>
  <c r="R7" i="3"/>
  <c r="R34" i="3"/>
  <c r="R43" i="3"/>
  <c r="R27" i="3"/>
  <c r="R25" i="3"/>
  <c r="R81" i="3"/>
  <c r="R41" i="3"/>
  <c r="R48" i="3"/>
  <c r="R97" i="3"/>
  <c r="R33" i="3"/>
  <c r="R44" i="3"/>
  <c r="R96" i="3"/>
  <c r="R51" i="3"/>
  <c r="R103" i="3"/>
  <c r="R80" i="3"/>
  <c r="R9" i="3"/>
  <c r="R82" i="3"/>
  <c r="R65" i="3"/>
  <c r="R101" i="3"/>
  <c r="R42" i="3"/>
  <c r="S8" i="3"/>
  <c r="R58" i="3"/>
  <c r="R89" i="3"/>
  <c r="R49" i="3"/>
  <c r="R28" i="3"/>
  <c r="R53" i="3"/>
  <c r="R40" i="3"/>
  <c r="R100" i="3"/>
  <c r="R15" i="3"/>
  <c r="R68" i="3"/>
  <c r="R38" i="3"/>
  <c r="R77" i="3"/>
  <c r="R64" i="3"/>
  <c r="R66" i="3"/>
  <c r="R36" i="3"/>
  <c r="R45" i="3"/>
  <c r="R73" i="3"/>
  <c r="R11" i="3"/>
  <c r="R79" i="3"/>
  <c r="R12" i="3"/>
  <c r="R52" i="3"/>
  <c r="R39" i="3"/>
  <c r="S53" i="3" l="1"/>
  <c r="S101" i="3"/>
  <c r="S48" i="3"/>
  <c r="S64" i="3"/>
  <c r="S97" i="3"/>
  <c r="S66" i="3"/>
  <c r="S41" i="3"/>
  <c r="S55" i="3"/>
  <c r="S67" i="3"/>
  <c r="S11" i="3"/>
  <c r="S51" i="3"/>
  <c r="S26" i="3"/>
  <c r="S38" i="3"/>
  <c r="S77" i="3"/>
  <c r="S25" i="3"/>
  <c r="S33" i="3"/>
  <c r="S42" i="3"/>
  <c r="S79" i="3"/>
  <c r="S28" i="3"/>
  <c r="S52" i="3"/>
  <c r="S15" i="3"/>
  <c r="S58" i="3"/>
  <c r="S96" i="3"/>
  <c r="S31" i="3"/>
  <c r="T8" i="3"/>
  <c r="S49" i="3"/>
  <c r="S78" i="3"/>
  <c r="S39" i="3"/>
  <c r="S81" i="3"/>
  <c r="S45" i="3"/>
  <c r="S68" i="3"/>
  <c r="S44" i="3"/>
  <c r="S89" i="3"/>
  <c r="S27" i="3"/>
  <c r="S36" i="3"/>
  <c r="S65" i="3"/>
  <c r="S12" i="3"/>
  <c r="S30" i="3"/>
  <c r="S37" i="3"/>
  <c r="S43" i="3"/>
  <c r="S10" i="3"/>
  <c r="S54" i="3"/>
  <c r="S80" i="3"/>
  <c r="S103" i="3"/>
  <c r="S73" i="3"/>
  <c r="S9" i="3"/>
  <c r="S69" i="3"/>
  <c r="S100" i="3"/>
  <c r="S40" i="3"/>
  <c r="S7" i="3"/>
  <c r="S34" i="3"/>
  <c r="S50" i="3"/>
  <c r="S82" i="3"/>
  <c r="S70" i="3"/>
  <c r="S29" i="3"/>
  <c r="T66" i="3" l="1"/>
  <c r="T97" i="3"/>
  <c r="T31" i="3"/>
  <c r="T73" i="3"/>
  <c r="T55" i="3"/>
  <c r="T100" i="3"/>
  <c r="T40" i="3"/>
  <c r="T53" i="3"/>
  <c r="T78" i="3"/>
  <c r="T30" i="3"/>
  <c r="T50" i="3"/>
  <c r="T42" i="3"/>
  <c r="T77" i="3"/>
  <c r="T27" i="3"/>
  <c r="T96" i="3"/>
  <c r="T39" i="3"/>
  <c r="T65" i="3"/>
  <c r="T33" i="3"/>
  <c r="U8" i="3"/>
  <c r="T79" i="3"/>
  <c r="T28" i="3"/>
  <c r="T29" i="3"/>
  <c r="T58" i="3"/>
  <c r="T37" i="3"/>
  <c r="T41" i="3"/>
  <c r="T34" i="3"/>
  <c r="T69" i="3"/>
  <c r="T82" i="3"/>
  <c r="T44" i="3"/>
  <c r="T48" i="3"/>
  <c r="T81" i="3"/>
  <c r="T70" i="3"/>
  <c r="T52" i="3"/>
  <c r="T103" i="3"/>
  <c r="T101" i="3"/>
  <c r="T36" i="3"/>
  <c r="T7" i="3"/>
  <c r="T49" i="3"/>
  <c r="T54" i="3"/>
  <c r="T89" i="3"/>
  <c r="T12" i="3"/>
  <c r="T26" i="3"/>
  <c r="T38" i="3"/>
  <c r="T68" i="3"/>
  <c r="T15" i="3"/>
  <c r="T25" i="3"/>
  <c r="T43" i="3"/>
  <c r="T11" i="3"/>
  <c r="T67" i="3"/>
  <c r="T10" i="3"/>
  <c r="T51" i="3"/>
  <c r="T9" i="3"/>
  <c r="T45" i="3"/>
  <c r="T64" i="3"/>
  <c r="T80" i="3"/>
  <c r="U80" i="3" l="1"/>
  <c r="U41" i="3"/>
  <c r="U34" i="3"/>
  <c r="U66" i="3"/>
  <c r="U53" i="3"/>
  <c r="U37" i="3"/>
  <c r="U52" i="3"/>
  <c r="U68" i="3"/>
  <c r="U89" i="3"/>
  <c r="U82" i="3"/>
  <c r="U55" i="3"/>
  <c r="U69" i="3"/>
  <c r="V8" i="3"/>
  <c r="U36" i="3"/>
  <c r="U58" i="3"/>
  <c r="U50" i="3"/>
  <c r="U38" i="3"/>
  <c r="U48" i="3"/>
  <c r="U97" i="3"/>
  <c r="U30" i="3"/>
  <c r="U10" i="3"/>
  <c r="U12" i="3"/>
  <c r="U42" i="3"/>
  <c r="U29" i="3"/>
  <c r="U39" i="3"/>
  <c r="U26" i="3"/>
  <c r="U25" i="3"/>
  <c r="U51" i="3"/>
  <c r="U81" i="3"/>
  <c r="U65" i="3"/>
  <c r="U27" i="3"/>
  <c r="U101" i="3"/>
  <c r="U103" i="3"/>
  <c r="U11" i="3"/>
  <c r="U9" i="3"/>
  <c r="U96" i="3"/>
  <c r="U54" i="3"/>
  <c r="U70" i="3"/>
  <c r="U78" i="3"/>
  <c r="U33" i="3"/>
  <c r="U31" i="3"/>
  <c r="U64" i="3"/>
  <c r="U15" i="3"/>
  <c r="U45" i="3"/>
  <c r="U73" i="3"/>
  <c r="U49" i="3"/>
  <c r="U44" i="3"/>
  <c r="U7" i="3"/>
  <c r="U40" i="3"/>
  <c r="U100" i="3"/>
  <c r="U28" i="3"/>
  <c r="U79" i="3"/>
  <c r="U43" i="3"/>
  <c r="U67" i="3"/>
  <c r="U77" i="3"/>
  <c r="V77" i="3" l="1"/>
  <c r="V26" i="3"/>
  <c r="V69" i="3"/>
  <c r="V81" i="3"/>
  <c r="V31" i="3"/>
  <c r="V28" i="3"/>
  <c r="V51" i="3"/>
  <c r="V10" i="3"/>
  <c r="V78" i="3"/>
  <c r="V38" i="3"/>
  <c r="V96" i="3"/>
  <c r="V103" i="3"/>
  <c r="V64" i="3"/>
  <c r="V82" i="3"/>
  <c r="V54" i="3"/>
  <c r="V30" i="3"/>
  <c r="V68" i="3"/>
  <c r="V39" i="3"/>
  <c r="V52" i="3"/>
  <c r="V66" i="3"/>
  <c r="V97" i="3"/>
  <c r="V89" i="3"/>
  <c r="V53" i="3"/>
  <c r="V33" i="3"/>
  <c r="V58" i="3"/>
  <c r="V40" i="3"/>
  <c r="V37" i="3"/>
  <c r="V29" i="3"/>
  <c r="V44" i="3"/>
  <c r="V7" i="3"/>
  <c r="V65" i="3"/>
  <c r="V101" i="3"/>
  <c r="V48" i="3"/>
  <c r="V79" i="3"/>
  <c r="V11" i="3"/>
  <c r="V42" i="3"/>
  <c r="V67" i="3"/>
  <c r="V80" i="3"/>
  <c r="V15" i="3"/>
  <c r="V12" i="3"/>
  <c r="V36" i="3"/>
  <c r="V50" i="3"/>
  <c r="W8" i="3"/>
  <c r="V34" i="3"/>
  <c r="V45" i="3"/>
  <c r="V49" i="3"/>
  <c r="V100" i="3"/>
  <c r="V73" i="3"/>
  <c r="V25" i="3"/>
  <c r="V9" i="3"/>
  <c r="V55" i="3"/>
  <c r="V27" i="3"/>
  <c r="V43" i="3"/>
  <c r="V70" i="3"/>
  <c r="V41" i="3"/>
  <c r="W58" i="3" l="1"/>
  <c r="W34" i="3"/>
  <c r="W28" i="3"/>
  <c r="W89" i="3"/>
  <c r="W29" i="3"/>
  <c r="W81" i="3"/>
  <c r="W48" i="3"/>
  <c r="W77" i="3"/>
  <c r="W50" i="3"/>
  <c r="W100" i="3"/>
  <c r="W11" i="3"/>
  <c r="W69" i="3"/>
  <c r="W30" i="3"/>
  <c r="W78" i="3"/>
  <c r="W73" i="3"/>
  <c r="W51" i="3"/>
  <c r="W43" i="3"/>
  <c r="W52" i="3"/>
  <c r="W103" i="3"/>
  <c r="W41" i="3"/>
  <c r="W97" i="3"/>
  <c r="W33" i="3"/>
  <c r="W15" i="3"/>
  <c r="W53" i="3"/>
  <c r="W40" i="3"/>
  <c r="W36" i="3"/>
  <c r="W96" i="3"/>
  <c r="W64" i="3"/>
  <c r="W45" i="3"/>
  <c r="W54" i="3"/>
  <c r="W9" i="3"/>
  <c r="W42" i="3"/>
  <c r="W49" i="3"/>
  <c r="W101" i="3"/>
  <c r="W66" i="3"/>
  <c r="W10" i="3"/>
  <c r="W80" i="3"/>
  <c r="W38" i="3"/>
  <c r="W27" i="3"/>
  <c r="W79" i="3"/>
  <c r="W68" i="3"/>
  <c r="W26" i="3"/>
  <c r="X8" i="3"/>
  <c r="W25" i="3"/>
  <c r="W39" i="3"/>
  <c r="W55" i="3"/>
  <c r="W44" i="3"/>
  <c r="W70" i="3"/>
  <c r="W12" i="3"/>
  <c r="W82" i="3"/>
  <c r="W31" i="3"/>
  <c r="W65" i="3"/>
  <c r="W37" i="3"/>
  <c r="W67" i="3"/>
  <c r="W7" i="3"/>
  <c r="X54" i="3" l="1"/>
  <c r="Y8" i="3"/>
  <c r="X27" i="3"/>
  <c r="X80" i="3"/>
  <c r="X50" i="3"/>
  <c r="X79" i="3"/>
  <c r="X53" i="3"/>
  <c r="X100" i="3"/>
  <c r="X81" i="3"/>
  <c r="X26" i="3"/>
  <c r="X64" i="3"/>
  <c r="X10" i="3"/>
  <c r="X78" i="3"/>
  <c r="X33" i="3"/>
  <c r="X52" i="3"/>
  <c r="X89" i="3"/>
  <c r="X7" i="3"/>
  <c r="X68" i="3"/>
  <c r="X66" i="3"/>
  <c r="X96" i="3"/>
  <c r="X65" i="3"/>
  <c r="X9" i="3"/>
  <c r="X43" i="3"/>
  <c r="X69" i="3"/>
  <c r="X36" i="3"/>
  <c r="X97" i="3"/>
  <c r="X41" i="3"/>
  <c r="X11" i="3"/>
  <c r="X58" i="3"/>
  <c r="X34" i="3"/>
  <c r="X37" i="3"/>
  <c r="X48" i="3"/>
  <c r="X70" i="3"/>
  <c r="X40" i="3"/>
  <c r="X39" i="3"/>
  <c r="X73" i="3"/>
  <c r="X45" i="3"/>
  <c r="X31" i="3"/>
  <c r="X28" i="3"/>
  <c r="X25" i="3"/>
  <c r="X101" i="3"/>
  <c r="X77" i="3"/>
  <c r="X30" i="3"/>
  <c r="X82" i="3"/>
  <c r="X15" i="3"/>
  <c r="X103" i="3"/>
  <c r="X49" i="3"/>
  <c r="X67" i="3"/>
  <c r="X55" i="3"/>
  <c r="X51" i="3"/>
  <c r="X12" i="3"/>
  <c r="X44" i="3"/>
  <c r="X29" i="3"/>
  <c r="X42" i="3"/>
  <c r="X38" i="3"/>
  <c r="Y55" i="3" l="1"/>
  <c r="Y82" i="3"/>
  <c r="Y53" i="3"/>
  <c r="Y25" i="3"/>
  <c r="Y73" i="3"/>
  <c r="Y78" i="3"/>
  <c r="Y69" i="3"/>
  <c r="Y54" i="3"/>
  <c r="Y43" i="3"/>
  <c r="Y77" i="3"/>
  <c r="Y41" i="3"/>
  <c r="Y51" i="3"/>
  <c r="Y64" i="3"/>
  <c r="Y80" i="3"/>
  <c r="Y36" i="3"/>
  <c r="Y65" i="3"/>
  <c r="Y11" i="3"/>
  <c r="Y7" i="3"/>
  <c r="Y33" i="3"/>
  <c r="Y9" i="3"/>
  <c r="Y30" i="3"/>
  <c r="Y38" i="3"/>
  <c r="Z8" i="3"/>
  <c r="Y97" i="3"/>
  <c r="Y58" i="3"/>
  <c r="Y70" i="3"/>
  <c r="Y29" i="3"/>
  <c r="Y44" i="3"/>
  <c r="Y34" i="3"/>
  <c r="Y12" i="3"/>
  <c r="Y103" i="3"/>
  <c r="Y66" i="3"/>
  <c r="Y49" i="3"/>
  <c r="Y26" i="3"/>
  <c r="Y52" i="3"/>
  <c r="Y67" i="3"/>
  <c r="Y40" i="3"/>
  <c r="Y27" i="3"/>
  <c r="Y37" i="3"/>
  <c r="Y45" i="3"/>
  <c r="Y39" i="3"/>
  <c r="Y42" i="3"/>
  <c r="Y10" i="3"/>
  <c r="Y79" i="3"/>
  <c r="Y101" i="3"/>
  <c r="Y96" i="3"/>
  <c r="Y50" i="3"/>
  <c r="Y15" i="3"/>
  <c r="Y89" i="3"/>
  <c r="Y31" i="3"/>
  <c r="Y48" i="3"/>
  <c r="Y81" i="3"/>
  <c r="Y68" i="3"/>
  <c r="Y28" i="3"/>
  <c r="Y100" i="3"/>
  <c r="Z70" i="3" l="1"/>
  <c r="Z103" i="3"/>
  <c r="Z77" i="3"/>
  <c r="Z38" i="3"/>
  <c r="Z30" i="3"/>
  <c r="Z52" i="3"/>
  <c r="Z41" i="3"/>
  <c r="Z78" i="3"/>
  <c r="Z42" i="3"/>
  <c r="Z28" i="3"/>
  <c r="Z11" i="3"/>
  <c r="Z27" i="3"/>
  <c r="Z37" i="3"/>
  <c r="Z29" i="3"/>
  <c r="Z58" i="3"/>
  <c r="Z49" i="3"/>
  <c r="Z51" i="3"/>
  <c r="Z33" i="3"/>
  <c r="Z65" i="3"/>
  <c r="Z43" i="3"/>
  <c r="Z25" i="3"/>
  <c r="Z7" i="3"/>
  <c r="AA8" i="3"/>
  <c r="Z36" i="3"/>
  <c r="Z101" i="3"/>
  <c r="Z31" i="3"/>
  <c r="Z54" i="3"/>
  <c r="Z67" i="3"/>
  <c r="Z66" i="3"/>
  <c r="Z96" i="3"/>
  <c r="Z44" i="3"/>
  <c r="Z79" i="3"/>
  <c r="Z9" i="3"/>
  <c r="Z40" i="3"/>
  <c r="Z34" i="3"/>
  <c r="Z53" i="3"/>
  <c r="Z39" i="3"/>
  <c r="Z55" i="3"/>
  <c r="Z64" i="3"/>
  <c r="Z100" i="3"/>
  <c r="Z48" i="3"/>
  <c r="Z15" i="3"/>
  <c r="Z80" i="3"/>
  <c r="Z45" i="3"/>
  <c r="Z89" i="3"/>
  <c r="Z50" i="3"/>
  <c r="Z97" i="3"/>
  <c r="Z81" i="3"/>
  <c r="Z69" i="3"/>
  <c r="Z82" i="3"/>
  <c r="Z10" i="3"/>
  <c r="Z26" i="3"/>
  <c r="Z73" i="3"/>
  <c r="Z68" i="3"/>
  <c r="Z12" i="3"/>
  <c r="AA52" i="3" l="1"/>
  <c r="AA29" i="3"/>
  <c r="AB8" i="3"/>
  <c r="AA39" i="3"/>
  <c r="AA37" i="3"/>
  <c r="AA40" i="3"/>
  <c r="AA97" i="3"/>
  <c r="AA78" i="3"/>
  <c r="AA31" i="3"/>
  <c r="AA100" i="3"/>
  <c r="AA33" i="3"/>
  <c r="AA49" i="3"/>
  <c r="AA67" i="3"/>
  <c r="AA43" i="3"/>
  <c r="AA81" i="3"/>
  <c r="AA10" i="3"/>
  <c r="AA101" i="3"/>
  <c r="AA7" i="3"/>
  <c r="AA9" i="3"/>
  <c r="AA30" i="3"/>
  <c r="AA68" i="3"/>
  <c r="AA80" i="3"/>
  <c r="AA69" i="3"/>
  <c r="AA50" i="3"/>
  <c r="AA34" i="3"/>
  <c r="AA38" i="3"/>
  <c r="AA45" i="3"/>
  <c r="AA41" i="3"/>
  <c r="AA103" i="3"/>
  <c r="AA12" i="3"/>
  <c r="AA77" i="3"/>
  <c r="AA11" i="3"/>
  <c r="AA66" i="3"/>
  <c r="AA15" i="3"/>
  <c r="AA79" i="3"/>
  <c r="AA82" i="3"/>
  <c r="AA65" i="3"/>
  <c r="AA96" i="3"/>
  <c r="AA53" i="3"/>
  <c r="AA73" i="3"/>
  <c r="AA28" i="3"/>
  <c r="AA42" i="3"/>
  <c r="AA27" i="3"/>
  <c r="AA25" i="3"/>
  <c r="AA89" i="3"/>
  <c r="AA48" i="3"/>
  <c r="AA58" i="3"/>
  <c r="AA51" i="3"/>
  <c r="AA36" i="3"/>
  <c r="AA44" i="3"/>
  <c r="AA54" i="3"/>
  <c r="AA64" i="3"/>
  <c r="AA26" i="3"/>
  <c r="AA55" i="3"/>
  <c r="AA70" i="3"/>
  <c r="AB66" i="3" l="1"/>
  <c r="AB36" i="3"/>
  <c r="AB42" i="3"/>
  <c r="AB49" i="3"/>
  <c r="AB52" i="3"/>
  <c r="AB33" i="3"/>
  <c r="AB103" i="3"/>
  <c r="AB89" i="3"/>
  <c r="AB28" i="3"/>
  <c r="AB65" i="3"/>
  <c r="AB79" i="3"/>
  <c r="AB73" i="3"/>
  <c r="AB58" i="3"/>
  <c r="AB27" i="3"/>
  <c r="AB25" i="3"/>
  <c r="AB15" i="3"/>
  <c r="AB55" i="3"/>
  <c r="AB37" i="3"/>
  <c r="AB50" i="3"/>
  <c r="AB69" i="3"/>
  <c r="AB40" i="3"/>
  <c r="AB11" i="3"/>
  <c r="AB34" i="3"/>
  <c r="AB38" i="3"/>
  <c r="AB68" i="3"/>
  <c r="AB77" i="3"/>
  <c r="AB26" i="3"/>
  <c r="AB53" i="3"/>
  <c r="AB45" i="3"/>
  <c r="AB51" i="3"/>
  <c r="AB82" i="3"/>
  <c r="AB64" i="3"/>
  <c r="AB29" i="3"/>
  <c r="AB12" i="3"/>
  <c r="AB81" i="3"/>
  <c r="AB97" i="3"/>
  <c r="AB44" i="3"/>
  <c r="AB7" i="3"/>
  <c r="AB80" i="3"/>
  <c r="AB67" i="3"/>
  <c r="AC8" i="3"/>
  <c r="AB70" i="3"/>
  <c r="AB10" i="3"/>
  <c r="AB30" i="3"/>
  <c r="AB100" i="3"/>
  <c r="AB78" i="3"/>
  <c r="AB41" i="3"/>
  <c r="AB96" i="3"/>
  <c r="AB48" i="3"/>
  <c r="AB101" i="3"/>
  <c r="AB43" i="3"/>
  <c r="AB39" i="3"/>
  <c r="AB54" i="3"/>
  <c r="AB9" i="3"/>
  <c r="AB31" i="3"/>
  <c r="AC64" i="3" l="1"/>
  <c r="AC40" i="3"/>
  <c r="AC39" i="3"/>
  <c r="AC49" i="3"/>
  <c r="AC34" i="3"/>
  <c r="AC66" i="3"/>
  <c r="AC48" i="3"/>
  <c r="AC25" i="3"/>
  <c r="AC79" i="3"/>
  <c r="AC69" i="3"/>
  <c r="AC53" i="3"/>
  <c r="AC45" i="3"/>
  <c r="AC96" i="3"/>
  <c r="AC78" i="3"/>
  <c r="AC27" i="3"/>
  <c r="AC28" i="3"/>
  <c r="AC44" i="3"/>
  <c r="AC42" i="3"/>
  <c r="AC15" i="3"/>
  <c r="AC31" i="3"/>
  <c r="AC38" i="3"/>
  <c r="AC73" i="3"/>
  <c r="AD8" i="3"/>
  <c r="AC26" i="3"/>
  <c r="AC103" i="3"/>
  <c r="AC58" i="3"/>
  <c r="AC81" i="3"/>
  <c r="AC52" i="3"/>
  <c r="AC55" i="3"/>
  <c r="AC77" i="3"/>
  <c r="AC97" i="3"/>
  <c r="AC67" i="3"/>
  <c r="AC11" i="3"/>
  <c r="AC50" i="3"/>
  <c r="AC29" i="3"/>
  <c r="AC68" i="3"/>
  <c r="AC33" i="3"/>
  <c r="AC7" i="3"/>
  <c r="AC36" i="3"/>
  <c r="AC89" i="3"/>
  <c r="AC100" i="3"/>
  <c r="AC101" i="3"/>
  <c r="AC70" i="3"/>
  <c r="AC41" i="3"/>
  <c r="AC54" i="3"/>
  <c r="AC43" i="3"/>
  <c r="AC12" i="3"/>
  <c r="AC9" i="3"/>
  <c r="AC51" i="3"/>
  <c r="AC30" i="3"/>
  <c r="AC65" i="3"/>
  <c r="AC10" i="3"/>
  <c r="AC80" i="3"/>
  <c r="AC82" i="3"/>
  <c r="AC37" i="3"/>
  <c r="AD79" i="3" l="1"/>
  <c r="AD73" i="3"/>
  <c r="AD28" i="3"/>
  <c r="AD55" i="3"/>
  <c r="AD9" i="3"/>
  <c r="AD45" i="3"/>
  <c r="AD10" i="3"/>
  <c r="AD64" i="3"/>
  <c r="AD53" i="3"/>
  <c r="AD66" i="3"/>
  <c r="AD100" i="3"/>
  <c r="AD43" i="3"/>
  <c r="AD103" i="3"/>
  <c r="AD29" i="3"/>
  <c r="AD80" i="3"/>
  <c r="AD26" i="3"/>
  <c r="AD49" i="3"/>
  <c r="AD58" i="3"/>
  <c r="AD7" i="3"/>
  <c r="AD25" i="3"/>
  <c r="AD101" i="3"/>
  <c r="AD70" i="3"/>
  <c r="AD30" i="3"/>
  <c r="AD68" i="3"/>
  <c r="AD12" i="3"/>
  <c r="AD44" i="3"/>
  <c r="AD52" i="3"/>
  <c r="AD67" i="3"/>
  <c r="AD82" i="3"/>
  <c r="AD27" i="3"/>
  <c r="AD33" i="3"/>
  <c r="AD51" i="3"/>
  <c r="AD15" i="3"/>
  <c r="AD96" i="3"/>
  <c r="AD36" i="3"/>
  <c r="AD38" i="3"/>
  <c r="AD54" i="3"/>
  <c r="AD34" i="3"/>
  <c r="AD42" i="3"/>
  <c r="AD78" i="3"/>
  <c r="AD11" i="3"/>
  <c r="AD65" i="3"/>
  <c r="AD50" i="3"/>
  <c r="AD89" i="3"/>
  <c r="AD81" i="3"/>
  <c r="AD39" i="3"/>
  <c r="AD69" i="3"/>
  <c r="AD37" i="3"/>
  <c r="AD31" i="3"/>
  <c r="AD41" i="3"/>
  <c r="AD77" i="3"/>
  <c r="AE8" i="3"/>
  <c r="AD48" i="3"/>
  <c r="AD40" i="3"/>
  <c r="AD97" i="3"/>
  <c r="AE81" i="3" l="1"/>
  <c r="AE9" i="3"/>
  <c r="AE42" i="3"/>
  <c r="AE45" i="3"/>
  <c r="AE53" i="3"/>
  <c r="AE103" i="3"/>
  <c r="AE68" i="3"/>
  <c r="AE77" i="3"/>
  <c r="AE96" i="3"/>
  <c r="AE39" i="3"/>
  <c r="AE41" i="3"/>
  <c r="AE11" i="3"/>
  <c r="AE26" i="3"/>
  <c r="AE64" i="3"/>
  <c r="AE50" i="3"/>
  <c r="AE89" i="3"/>
  <c r="AE36" i="3"/>
  <c r="AE29" i="3"/>
  <c r="AE69" i="3"/>
  <c r="AE78" i="3"/>
  <c r="AE37" i="3"/>
  <c r="AE30" i="3"/>
  <c r="AE51" i="3"/>
  <c r="AE80" i="3"/>
  <c r="AE52" i="3"/>
  <c r="AE66" i="3"/>
  <c r="AE49" i="3"/>
  <c r="AE67" i="3"/>
  <c r="AE82" i="3"/>
  <c r="AE7" i="3"/>
  <c r="AE38" i="3"/>
  <c r="AE58" i="3"/>
  <c r="AE44" i="3"/>
  <c r="AE34" i="3"/>
  <c r="AE40" i="3"/>
  <c r="AE79" i="3"/>
  <c r="AE12" i="3"/>
  <c r="AE48" i="3"/>
  <c r="AE43" i="3"/>
  <c r="AE10" i="3"/>
  <c r="AE73" i="3"/>
  <c r="AE28" i="3"/>
  <c r="AE25" i="3"/>
  <c r="AE31" i="3"/>
  <c r="AE27" i="3"/>
  <c r="AE65" i="3"/>
  <c r="AE101" i="3"/>
  <c r="AE54" i="3"/>
  <c r="AE97" i="3"/>
  <c r="AE100" i="3"/>
  <c r="AF8" i="3"/>
  <c r="AE55" i="3"/>
  <c r="AE15" i="3"/>
  <c r="AE33" i="3"/>
  <c r="AE70" i="3"/>
  <c r="AF67" i="3" l="1"/>
  <c r="AF37" i="3"/>
  <c r="AF41" i="3"/>
  <c r="AF68" i="3"/>
  <c r="AF52" i="3"/>
  <c r="AF7" i="3"/>
  <c r="AF73" i="3"/>
  <c r="AF49" i="3"/>
  <c r="AF69" i="3"/>
  <c r="AF10" i="3"/>
  <c r="AF33" i="3"/>
  <c r="AF28" i="3"/>
  <c r="AF81" i="3"/>
  <c r="AF79" i="3"/>
  <c r="AF31" i="3"/>
  <c r="AF53" i="3"/>
  <c r="AF26" i="3"/>
  <c r="AF77" i="3"/>
  <c r="AF100" i="3"/>
  <c r="AF40" i="3"/>
  <c r="AF103" i="3"/>
  <c r="AF29" i="3"/>
  <c r="AF11" i="3"/>
  <c r="AF39" i="3"/>
  <c r="AF15" i="3"/>
  <c r="AF51" i="3"/>
  <c r="AF9" i="3"/>
  <c r="AF78" i="3"/>
  <c r="AF80" i="3"/>
  <c r="AF12" i="3"/>
  <c r="AF44" i="3"/>
  <c r="AF27" i="3"/>
  <c r="AF97" i="3"/>
  <c r="AF55" i="3"/>
  <c r="AF36" i="3"/>
  <c r="AF30" i="3"/>
  <c r="AF34" i="3"/>
  <c r="AF58" i="3"/>
  <c r="AF101" i="3"/>
  <c r="AF38" i="3"/>
  <c r="AF70" i="3"/>
  <c r="AF50" i="3"/>
  <c r="AF43" i="3"/>
  <c r="AF66" i="3"/>
  <c r="AF25" i="3"/>
  <c r="AF96" i="3"/>
  <c r="AF48" i="3"/>
  <c r="AF42" i="3"/>
  <c r="AF54" i="3"/>
  <c r="AF89" i="3"/>
  <c r="AF64" i="3"/>
  <c r="AF82" i="3"/>
  <c r="AG8" i="3"/>
  <c r="AF45" i="3"/>
  <c r="AF65" i="3"/>
  <c r="AG54" i="3" l="1"/>
  <c r="AG100" i="3"/>
  <c r="AG25" i="3"/>
  <c r="AG80" i="3"/>
  <c r="AG64" i="3"/>
  <c r="AG79" i="3"/>
  <c r="AG7" i="3"/>
  <c r="AG48" i="3"/>
  <c r="AG66" i="3"/>
  <c r="AG30" i="3"/>
  <c r="AG40" i="3"/>
  <c r="AG42" i="3"/>
  <c r="AG50" i="3"/>
  <c r="AG103" i="3"/>
  <c r="AG9" i="3"/>
  <c r="AG33" i="3"/>
  <c r="AG52" i="3"/>
  <c r="AG101" i="3"/>
  <c r="AG28" i="3"/>
  <c r="AG37" i="3"/>
  <c r="AG15" i="3"/>
  <c r="AH8" i="3"/>
  <c r="AG39" i="3"/>
  <c r="AG89" i="3"/>
  <c r="AG36" i="3"/>
  <c r="AG96" i="3"/>
  <c r="AG68" i="3"/>
  <c r="AG10" i="3"/>
  <c r="AG67" i="3"/>
  <c r="AG82" i="3"/>
  <c r="AG73" i="3"/>
  <c r="AG29" i="3"/>
  <c r="AG43" i="3"/>
  <c r="AG58" i="3"/>
  <c r="AG49" i="3"/>
  <c r="AG53" i="3"/>
  <c r="AG97" i="3"/>
  <c r="AG38" i="3"/>
  <c r="AG11" i="3"/>
  <c r="AG41" i="3"/>
  <c r="AG78" i="3"/>
  <c r="AG27" i="3"/>
  <c r="AG65" i="3"/>
  <c r="AG81" i="3"/>
  <c r="AG70" i="3"/>
  <c r="AG34" i="3"/>
  <c r="AG69" i="3"/>
  <c r="AG44" i="3"/>
  <c r="AG77" i="3"/>
  <c r="AG51" i="3"/>
  <c r="AG45" i="3"/>
  <c r="AG12" i="3"/>
  <c r="AG31" i="3"/>
  <c r="AG26" i="3"/>
  <c r="AG55" i="3"/>
  <c r="AH51" i="3" l="1"/>
  <c r="AH96" i="3"/>
  <c r="AH29" i="3"/>
  <c r="AH37" i="3"/>
  <c r="AH10" i="3"/>
  <c r="AH55" i="3"/>
  <c r="AH45" i="3"/>
  <c r="AH79" i="3"/>
  <c r="AH101" i="3"/>
  <c r="AH25" i="3"/>
  <c r="AH81" i="3"/>
  <c r="AH36" i="3"/>
  <c r="AH34" i="3"/>
  <c r="AH58" i="3"/>
  <c r="AH77" i="3"/>
  <c r="AH52" i="3"/>
  <c r="AH42" i="3"/>
  <c r="AH26" i="3"/>
  <c r="AH40" i="3"/>
  <c r="AH43" i="3"/>
  <c r="AH50" i="3"/>
  <c r="AH67" i="3"/>
  <c r="AH7" i="3"/>
  <c r="AH54" i="3"/>
  <c r="AH66" i="3"/>
  <c r="AH12" i="3"/>
  <c r="AH28" i="3"/>
  <c r="AH39" i="3"/>
  <c r="AH30" i="3"/>
  <c r="AH64" i="3"/>
  <c r="AH69" i="3"/>
  <c r="AH97" i="3"/>
  <c r="AH9" i="3"/>
  <c r="AH49" i="3"/>
  <c r="AI8" i="3"/>
  <c r="AH11" i="3"/>
  <c r="AH44" i="3"/>
  <c r="AH68" i="3"/>
  <c r="AH82" i="3"/>
  <c r="AH78" i="3"/>
  <c r="AH103" i="3"/>
  <c r="AH33" i="3"/>
  <c r="AH65" i="3"/>
  <c r="AH53" i="3"/>
  <c r="AH89" i="3"/>
  <c r="AH38" i="3"/>
  <c r="AH100" i="3"/>
  <c r="AH31" i="3"/>
  <c r="AH70" i="3"/>
  <c r="AH80" i="3"/>
  <c r="AH73" i="3"/>
  <c r="AH15" i="3"/>
  <c r="AH41" i="3"/>
  <c r="AH48" i="3"/>
  <c r="AH27" i="3"/>
  <c r="AI78" i="3" l="1"/>
  <c r="AI30" i="3"/>
  <c r="AI37" i="3"/>
  <c r="AI26" i="3"/>
  <c r="AI10" i="3"/>
  <c r="AI96" i="3"/>
  <c r="AI36" i="3"/>
  <c r="AI58" i="3"/>
  <c r="AI100" i="3"/>
  <c r="AI11" i="3"/>
  <c r="AI82" i="3"/>
  <c r="AI55" i="3"/>
  <c r="AI80" i="3"/>
  <c r="AI81" i="3"/>
  <c r="AI15" i="3"/>
  <c r="AI42" i="3"/>
  <c r="AI77" i="3"/>
  <c r="AI27" i="3"/>
  <c r="AI43" i="3"/>
  <c r="AI66" i="3"/>
  <c r="AI50" i="3"/>
  <c r="AI103" i="3"/>
  <c r="AI34" i="3"/>
  <c r="AI49" i="3"/>
  <c r="AI97" i="3"/>
  <c r="AI9" i="3"/>
  <c r="AI45" i="3"/>
  <c r="AI64" i="3"/>
  <c r="AI7" i="3"/>
  <c r="AI40" i="3"/>
  <c r="AI51" i="3"/>
  <c r="AI53" i="3"/>
  <c r="AI67" i="3"/>
  <c r="AI101" i="3"/>
  <c r="AI28" i="3"/>
  <c r="AI73" i="3"/>
  <c r="AI79" i="3"/>
  <c r="AI39" i="3"/>
  <c r="AJ8" i="3"/>
  <c r="AI69" i="3"/>
  <c r="AI44" i="3"/>
  <c r="AI68" i="3"/>
  <c r="AI33" i="3"/>
  <c r="AI25" i="3"/>
  <c r="AI52" i="3"/>
  <c r="AI65" i="3"/>
  <c r="AI29" i="3"/>
  <c r="AI89" i="3"/>
  <c r="AI12" i="3"/>
  <c r="AI41" i="3"/>
  <c r="AI54" i="3"/>
  <c r="AI70" i="3"/>
  <c r="AI38" i="3"/>
  <c r="AI48" i="3"/>
  <c r="AI31" i="3"/>
  <c r="AJ70" i="3" l="1"/>
  <c r="AJ51" i="3"/>
  <c r="AJ33" i="3"/>
  <c r="AJ101" i="3"/>
  <c r="AJ28" i="3"/>
  <c r="AJ73" i="3"/>
  <c r="AJ43" i="3"/>
  <c r="AJ81" i="3"/>
  <c r="AJ9" i="3"/>
  <c r="AJ49" i="3"/>
  <c r="AJ44" i="3"/>
  <c r="AJ31" i="3"/>
  <c r="AJ69" i="3"/>
  <c r="AJ103" i="3"/>
  <c r="AK8" i="3"/>
  <c r="AJ37" i="3"/>
  <c r="AJ12" i="3"/>
  <c r="AJ41" i="3"/>
  <c r="AJ68" i="3"/>
  <c r="AJ53" i="3"/>
  <c r="AJ25" i="3"/>
  <c r="AJ67" i="3"/>
  <c r="AJ55" i="3"/>
  <c r="AJ45" i="3"/>
  <c r="AJ29" i="3"/>
  <c r="AJ36" i="3"/>
  <c r="AJ64" i="3"/>
  <c r="AJ79" i="3"/>
  <c r="AJ11" i="3"/>
  <c r="AJ100" i="3"/>
  <c r="AJ48" i="3"/>
  <c r="AJ10" i="3"/>
  <c r="AJ26" i="3"/>
  <c r="AJ40" i="3"/>
  <c r="AJ50" i="3"/>
  <c r="AJ96" i="3"/>
  <c r="AJ27" i="3"/>
  <c r="AJ66" i="3"/>
  <c r="AJ80" i="3"/>
  <c r="AJ58" i="3"/>
  <c r="AJ54" i="3"/>
  <c r="AJ30" i="3"/>
  <c r="AJ65" i="3"/>
  <c r="AJ78" i="3"/>
  <c r="AJ89" i="3"/>
  <c r="AJ39" i="3"/>
  <c r="AJ42" i="3"/>
  <c r="AJ82" i="3"/>
  <c r="AJ34" i="3"/>
  <c r="AJ52" i="3"/>
  <c r="AJ7" i="3"/>
  <c r="AJ77" i="3"/>
  <c r="AJ15" i="3"/>
  <c r="AJ97" i="3"/>
  <c r="AJ38" i="3"/>
  <c r="AK70" i="3" l="1"/>
  <c r="AK97" i="3"/>
  <c r="AK80" i="3"/>
  <c r="AK73" i="3"/>
  <c r="AK54" i="3"/>
  <c r="AK26" i="3"/>
  <c r="AK7" i="3"/>
  <c r="AK39" i="3"/>
  <c r="AK48" i="3"/>
  <c r="AK42" i="3"/>
  <c r="AK66" i="3"/>
  <c r="AK43" i="3"/>
  <c r="AK37" i="3"/>
  <c r="AK34" i="3"/>
  <c r="AK29" i="3"/>
  <c r="AK53" i="3"/>
  <c r="AK55" i="3"/>
  <c r="AK36" i="3"/>
  <c r="AK28" i="3"/>
  <c r="AK101" i="3"/>
  <c r="AK64" i="3"/>
  <c r="AK58" i="3"/>
  <c r="AK89" i="3"/>
  <c r="AK11" i="3"/>
  <c r="AK103" i="3"/>
  <c r="AK44" i="3"/>
  <c r="AK81" i="3"/>
  <c r="AK65" i="3"/>
  <c r="AK31" i="3"/>
  <c r="AK25" i="3"/>
  <c r="AK52" i="3"/>
  <c r="AK38" i="3"/>
  <c r="AK41" i="3"/>
  <c r="AK51" i="3"/>
  <c r="AK78" i="3"/>
  <c r="AK82" i="3"/>
  <c r="AK96" i="3"/>
  <c r="AK77" i="3"/>
  <c r="AK68" i="3"/>
  <c r="AK33" i="3"/>
  <c r="AK67" i="3"/>
  <c r="AK10" i="3"/>
  <c r="AK12" i="3"/>
  <c r="AK79" i="3"/>
  <c r="AK49" i="3"/>
  <c r="AK30" i="3"/>
  <c r="AK45" i="3"/>
  <c r="AK9" i="3"/>
  <c r="AK40" i="3"/>
  <c r="AK27" i="3"/>
  <c r="AK100" i="3"/>
  <c r="AK69" i="3"/>
  <c r="AK15" i="3"/>
  <c r="AL8" i="3"/>
  <c r="AK50" i="3"/>
  <c r="AL70" i="3" l="1"/>
  <c r="AL15" i="3"/>
  <c r="AL39" i="3"/>
  <c r="AL54" i="3"/>
  <c r="AL97" i="3"/>
  <c r="AL89" i="3"/>
  <c r="AL100" i="3"/>
  <c r="AL66" i="3"/>
  <c r="AL10" i="3"/>
  <c r="AL48" i="3"/>
  <c r="AL81" i="3"/>
  <c r="AM8" i="3"/>
  <c r="AL42" i="3"/>
  <c r="AL77" i="3"/>
  <c r="AL52" i="3"/>
  <c r="AL45" i="3"/>
  <c r="AL34" i="3"/>
  <c r="AL96" i="3"/>
  <c r="AL37" i="3"/>
  <c r="AL49" i="3"/>
  <c r="AL64" i="3"/>
  <c r="AL44" i="3"/>
  <c r="AL27" i="3"/>
  <c r="AL78" i="3"/>
  <c r="AL31" i="3"/>
  <c r="AL50" i="3"/>
  <c r="AL101" i="3"/>
  <c r="AL79" i="3"/>
  <c r="AL36" i="3"/>
  <c r="AL68" i="3"/>
  <c r="AL29" i="3"/>
  <c r="AL58" i="3"/>
  <c r="AL73" i="3"/>
  <c r="AL67" i="3"/>
  <c r="AL40" i="3"/>
  <c r="AL103" i="3"/>
  <c r="AL11" i="3"/>
  <c r="AL9" i="3"/>
  <c r="AL43" i="3"/>
  <c r="AL38" i="3"/>
  <c r="AL65" i="3"/>
  <c r="AL33" i="3"/>
  <c r="AL28" i="3"/>
  <c r="AL25" i="3"/>
  <c r="AL69" i="3"/>
  <c r="AL7" i="3"/>
  <c r="AL30" i="3"/>
  <c r="AL53" i="3"/>
  <c r="AL41" i="3"/>
  <c r="AL80" i="3"/>
  <c r="AL82" i="3"/>
  <c r="AL51" i="3"/>
  <c r="AL12" i="3"/>
  <c r="AL55" i="3"/>
  <c r="AL26" i="3"/>
  <c r="AM68" i="3" l="1"/>
  <c r="AM12" i="3"/>
  <c r="AM27" i="3"/>
  <c r="AM53" i="3"/>
  <c r="AM101" i="3"/>
  <c r="AM34" i="3"/>
  <c r="AM29" i="3"/>
  <c r="AM80" i="3"/>
  <c r="AM42" i="3"/>
  <c r="AM70" i="3"/>
  <c r="AM82" i="3"/>
  <c r="AM31" i="3"/>
  <c r="AM81" i="3"/>
  <c r="AM15" i="3"/>
  <c r="AM50" i="3"/>
  <c r="AN8" i="3"/>
  <c r="AM41" i="3"/>
  <c r="AM58" i="3"/>
  <c r="AM54" i="3"/>
  <c r="AM78" i="3"/>
  <c r="AM38" i="3"/>
  <c r="AM44" i="3"/>
  <c r="AM89" i="3"/>
  <c r="AM9" i="3"/>
  <c r="AM25" i="3"/>
  <c r="AM11" i="3"/>
  <c r="AM48" i="3"/>
  <c r="AM77" i="3"/>
  <c r="AM10" i="3"/>
  <c r="AM79" i="3"/>
  <c r="AM55" i="3"/>
  <c r="AM66" i="3"/>
  <c r="AM73" i="3"/>
  <c r="AM49" i="3"/>
  <c r="AM43" i="3"/>
  <c r="AM39" i="3"/>
  <c r="AM97" i="3"/>
  <c r="AM69" i="3"/>
  <c r="AM37" i="3"/>
  <c r="AM67" i="3"/>
  <c r="AM7" i="3"/>
  <c r="AM26" i="3"/>
  <c r="AM52" i="3"/>
  <c r="AM45" i="3"/>
  <c r="AM40" i="3"/>
  <c r="AM64" i="3"/>
  <c r="AM103" i="3"/>
  <c r="AM33" i="3"/>
  <c r="AM36" i="3"/>
  <c r="AM96" i="3"/>
  <c r="AM28" i="3"/>
  <c r="AM51" i="3"/>
  <c r="AM100" i="3"/>
  <c r="AM30" i="3"/>
  <c r="AM65" i="3"/>
  <c r="AN81" i="3" l="1"/>
  <c r="AN15" i="3"/>
  <c r="AN50" i="3"/>
  <c r="AN97" i="3"/>
  <c r="AN30" i="3"/>
  <c r="AN79" i="3"/>
  <c r="AN26" i="3"/>
  <c r="AN101" i="3"/>
  <c r="AN48" i="3"/>
  <c r="AN103" i="3"/>
  <c r="AN31" i="3"/>
  <c r="AN11" i="3"/>
  <c r="AN82" i="3"/>
  <c r="AN54" i="3"/>
  <c r="AN27" i="3"/>
  <c r="AN65" i="3"/>
  <c r="AN89" i="3"/>
  <c r="AN55" i="3"/>
  <c r="AN42" i="3"/>
  <c r="AN66" i="3"/>
  <c r="AN51" i="3"/>
  <c r="AO8" i="3"/>
  <c r="AN39" i="3"/>
  <c r="AN70" i="3"/>
  <c r="AN44" i="3"/>
  <c r="AN37" i="3"/>
  <c r="AN52" i="3"/>
  <c r="AN96" i="3"/>
  <c r="AN34" i="3"/>
  <c r="AN43" i="3"/>
  <c r="AN40" i="3"/>
  <c r="AN38" i="3"/>
  <c r="AN67" i="3"/>
  <c r="AN68" i="3"/>
  <c r="AN29" i="3"/>
  <c r="AN69" i="3"/>
  <c r="AN64" i="3"/>
  <c r="AN10" i="3"/>
  <c r="AN41" i="3"/>
  <c r="AN73" i="3"/>
  <c r="AN53" i="3"/>
  <c r="AN36" i="3"/>
  <c r="AN80" i="3"/>
  <c r="AN7" i="3"/>
  <c r="AN9" i="3"/>
  <c r="AN77" i="3"/>
  <c r="AN12" i="3"/>
  <c r="AN25" i="3"/>
  <c r="AN49" i="3"/>
  <c r="AN78" i="3"/>
  <c r="AN100" i="3"/>
  <c r="AN45" i="3"/>
  <c r="AN33" i="3"/>
  <c r="AN58" i="3"/>
  <c r="AN28" i="3"/>
  <c r="AO64" i="3" l="1"/>
  <c r="AO33" i="3"/>
  <c r="AO48" i="3"/>
  <c r="AO81" i="3"/>
  <c r="AO43" i="3"/>
  <c r="AO12" i="3"/>
  <c r="AO50" i="3"/>
  <c r="AO25" i="3"/>
  <c r="AO54" i="3"/>
  <c r="AO97" i="3"/>
  <c r="AO79" i="3"/>
  <c r="AO31" i="3"/>
  <c r="AO51" i="3"/>
  <c r="AO38" i="3"/>
  <c r="AO27" i="3"/>
  <c r="AO29" i="3"/>
  <c r="AO7" i="3"/>
  <c r="AO58" i="3"/>
  <c r="AO53" i="3"/>
  <c r="AO39" i="3"/>
  <c r="AO68" i="3"/>
  <c r="AO26" i="3"/>
  <c r="AO80" i="3"/>
  <c r="AO40" i="3"/>
  <c r="AO66" i="3"/>
  <c r="AO101" i="3"/>
  <c r="AO52" i="3"/>
  <c r="AO78" i="3"/>
  <c r="AO96" i="3"/>
  <c r="AO45" i="3"/>
  <c r="AO11" i="3"/>
  <c r="AO28" i="3"/>
  <c r="AO70" i="3"/>
  <c r="AO73" i="3"/>
  <c r="AO34" i="3"/>
  <c r="AO42" i="3"/>
  <c r="AO103" i="3"/>
  <c r="AO44" i="3"/>
  <c r="AP8" i="3"/>
  <c r="AO82" i="3"/>
  <c r="AO41" i="3"/>
  <c r="AO30" i="3"/>
  <c r="AO77" i="3"/>
  <c r="AO89" i="3"/>
  <c r="AO10" i="3"/>
  <c r="AO15" i="3"/>
  <c r="AO69" i="3"/>
  <c r="AO9" i="3"/>
  <c r="AO55" i="3"/>
  <c r="AO49" i="3"/>
  <c r="AO36" i="3"/>
  <c r="AO100" i="3"/>
  <c r="AO65" i="3"/>
  <c r="AO67" i="3"/>
  <c r="AO37" i="3"/>
  <c r="AP48" i="3" l="1"/>
  <c r="AP66" i="3"/>
  <c r="AP43" i="3"/>
  <c r="AP30" i="3"/>
  <c r="AP12" i="3"/>
  <c r="AP9" i="3"/>
  <c r="AP54" i="3"/>
  <c r="AP10" i="3"/>
  <c r="AQ8" i="3"/>
  <c r="AP11" i="3"/>
  <c r="AP7" i="3"/>
  <c r="AP36" i="3"/>
  <c r="AP33" i="3"/>
  <c r="AP29" i="3"/>
  <c r="AP100" i="3"/>
  <c r="AP73" i="3"/>
  <c r="AP69" i="3"/>
  <c r="AP82" i="3"/>
  <c r="AP50" i="3"/>
  <c r="AP64" i="3"/>
  <c r="AP31" i="3"/>
  <c r="AP44" i="3"/>
  <c r="AP25" i="3"/>
  <c r="AP51" i="3"/>
  <c r="AP96" i="3"/>
  <c r="AP103" i="3"/>
  <c r="AP77" i="3"/>
  <c r="AP78" i="3"/>
  <c r="AP58" i="3"/>
  <c r="AP70" i="3"/>
  <c r="AP28" i="3"/>
  <c r="AP39" i="3"/>
  <c r="AP80" i="3"/>
  <c r="AP26" i="3"/>
  <c r="AP41" i="3"/>
  <c r="AP27" i="3"/>
  <c r="AP81" i="3"/>
  <c r="AP97" i="3"/>
  <c r="AP67" i="3"/>
  <c r="AP38" i="3"/>
  <c r="AP68" i="3"/>
  <c r="AP55" i="3"/>
  <c r="AP101" i="3"/>
  <c r="AP15" i="3"/>
  <c r="AP49" i="3"/>
  <c r="AP89" i="3"/>
  <c r="AP53" i="3"/>
  <c r="AP45" i="3"/>
  <c r="AP65" i="3"/>
  <c r="AP40" i="3"/>
  <c r="AP37" i="3"/>
  <c r="AP52" i="3"/>
  <c r="AP42" i="3"/>
  <c r="AP79" i="3"/>
  <c r="AP34" i="3"/>
  <c r="AQ55" i="3" l="1"/>
  <c r="AQ101" i="3"/>
  <c r="AQ49" i="3"/>
  <c r="AQ44" i="3"/>
  <c r="AQ45" i="3"/>
  <c r="AQ66" i="3"/>
  <c r="AQ31" i="3"/>
  <c r="AQ41" i="3"/>
  <c r="AQ82" i="3"/>
  <c r="AQ52" i="3"/>
  <c r="AQ39" i="3"/>
  <c r="AQ48" i="3"/>
  <c r="AQ42" i="3"/>
  <c r="AQ100" i="3"/>
  <c r="AQ34" i="3"/>
  <c r="AQ78" i="3"/>
  <c r="AQ7" i="3"/>
  <c r="AQ67" i="3"/>
  <c r="AQ43" i="3"/>
  <c r="AQ26" i="3"/>
  <c r="AQ53" i="3"/>
  <c r="AQ96" i="3"/>
  <c r="AQ30" i="3"/>
  <c r="AQ70" i="3"/>
  <c r="AQ79" i="3"/>
  <c r="AQ69" i="3"/>
  <c r="AQ68" i="3"/>
  <c r="AQ12" i="3"/>
  <c r="AQ64" i="3"/>
  <c r="AQ58" i="3"/>
  <c r="AQ38" i="3"/>
  <c r="AQ89" i="3"/>
  <c r="AQ11" i="3"/>
  <c r="AQ50" i="3"/>
  <c r="AQ103" i="3"/>
  <c r="AQ27" i="3"/>
  <c r="AQ81" i="3"/>
  <c r="AQ25" i="3"/>
  <c r="AQ29" i="3"/>
  <c r="AQ73" i="3"/>
  <c r="AQ65" i="3"/>
  <c r="AQ97" i="3"/>
  <c r="AQ15" i="3"/>
  <c r="AQ77" i="3"/>
  <c r="AQ80" i="3"/>
  <c r="AR8" i="3"/>
  <c r="AQ37" i="3"/>
  <c r="AQ9" i="3"/>
  <c r="AQ28" i="3"/>
  <c r="AQ54" i="3"/>
  <c r="AQ40" i="3"/>
  <c r="AQ33" i="3"/>
  <c r="AQ10" i="3"/>
  <c r="AQ51" i="3"/>
  <c r="AQ36" i="3"/>
  <c r="AR51" i="3" l="1"/>
  <c r="AR96" i="3"/>
  <c r="AR44" i="3"/>
  <c r="AR66" i="3"/>
  <c r="AR42" i="3"/>
  <c r="AR67" i="3"/>
  <c r="AR68" i="3"/>
  <c r="AR40" i="3"/>
  <c r="AR80" i="3"/>
  <c r="AR26" i="3"/>
  <c r="AR33" i="3"/>
  <c r="AR29" i="3"/>
  <c r="AR50" i="3"/>
  <c r="AR28" i="3"/>
  <c r="AR82" i="3"/>
  <c r="AR58" i="3"/>
  <c r="AR73" i="3"/>
  <c r="AR7" i="3"/>
  <c r="AR34" i="3"/>
  <c r="AR54" i="3"/>
  <c r="AR11" i="3"/>
  <c r="AR30" i="3"/>
  <c r="AR43" i="3"/>
  <c r="AS8" i="3"/>
  <c r="AR10" i="3"/>
  <c r="AR78" i="3"/>
  <c r="AR65" i="3"/>
  <c r="AR52" i="3"/>
  <c r="AR36" i="3"/>
  <c r="AR100" i="3"/>
  <c r="AR64" i="3"/>
  <c r="AR70" i="3"/>
  <c r="AR103" i="3"/>
  <c r="AR15" i="3"/>
  <c r="AR53" i="3"/>
  <c r="AR12" i="3"/>
  <c r="AR45" i="3"/>
  <c r="AR55" i="3"/>
  <c r="AR27" i="3"/>
  <c r="AR89" i="3"/>
  <c r="AR37" i="3"/>
  <c r="AR39" i="3"/>
  <c r="AR77" i="3"/>
  <c r="AR48" i="3"/>
  <c r="AR31" i="3"/>
  <c r="AR97" i="3"/>
  <c r="AR25" i="3"/>
  <c r="AR79" i="3"/>
  <c r="AR41" i="3"/>
  <c r="AR101" i="3"/>
  <c r="AR81" i="3"/>
  <c r="AR69" i="3"/>
  <c r="AR9" i="3"/>
  <c r="AR38" i="3"/>
  <c r="AR49" i="3"/>
  <c r="AS67" i="3" l="1"/>
  <c r="AS54" i="3"/>
  <c r="AS26" i="3"/>
  <c r="AS29" i="3"/>
  <c r="AT8" i="3"/>
  <c r="AS15" i="3"/>
  <c r="AS30" i="3"/>
  <c r="AS65" i="3"/>
  <c r="AS44" i="3"/>
  <c r="AS73" i="3"/>
  <c r="AS50" i="3"/>
  <c r="AS100" i="3"/>
  <c r="AS28" i="3"/>
  <c r="AS33" i="3"/>
  <c r="AS64" i="3"/>
  <c r="AS80" i="3"/>
  <c r="AS45" i="3"/>
  <c r="AS40" i="3"/>
  <c r="AS12" i="3"/>
  <c r="AS27" i="3"/>
  <c r="AS39" i="3"/>
  <c r="AS81" i="3"/>
  <c r="AS37" i="3"/>
  <c r="AS48" i="3"/>
  <c r="AS42" i="3"/>
  <c r="AS34" i="3"/>
  <c r="AS82" i="3"/>
  <c r="AS89" i="3"/>
  <c r="AS79" i="3"/>
  <c r="AS78" i="3"/>
  <c r="AS101" i="3"/>
  <c r="AS53" i="3"/>
  <c r="AS10" i="3"/>
  <c r="AS66" i="3"/>
  <c r="AS36" i="3"/>
  <c r="AS70" i="3"/>
  <c r="AS9" i="3"/>
  <c r="AS69" i="3"/>
  <c r="AS43" i="3"/>
  <c r="AS7" i="3"/>
  <c r="AS96" i="3"/>
  <c r="AS51" i="3"/>
  <c r="AS25" i="3"/>
  <c r="AS103" i="3"/>
  <c r="AS97" i="3"/>
  <c r="AS11" i="3"/>
  <c r="AS31" i="3"/>
  <c r="AS68" i="3"/>
  <c r="AS49" i="3"/>
  <c r="AS55" i="3"/>
  <c r="AS38" i="3"/>
  <c r="AS52" i="3"/>
  <c r="AS77" i="3"/>
  <c r="AS58" i="3"/>
  <c r="AS41" i="3"/>
  <c r="AT73" i="3" l="1"/>
  <c r="AT26" i="3"/>
  <c r="AT30" i="3"/>
  <c r="AT51" i="3"/>
  <c r="AT37" i="3"/>
  <c r="AT9" i="3"/>
  <c r="AT54" i="3"/>
  <c r="AT89" i="3"/>
  <c r="AT15" i="3"/>
  <c r="AT39" i="3"/>
  <c r="AT96" i="3"/>
  <c r="AT52" i="3"/>
  <c r="AT34" i="3"/>
  <c r="AT66" i="3"/>
  <c r="AT25" i="3"/>
  <c r="AT50" i="3"/>
  <c r="AT36" i="3"/>
  <c r="AT44" i="3"/>
  <c r="AT48" i="3"/>
  <c r="AT43" i="3"/>
  <c r="AT81" i="3"/>
  <c r="AT28" i="3"/>
  <c r="AT100" i="3"/>
  <c r="AT80" i="3"/>
  <c r="AT27" i="3"/>
  <c r="AT31" i="3"/>
  <c r="AT64" i="3"/>
  <c r="AT7" i="3"/>
  <c r="AT55" i="3"/>
  <c r="AT40" i="3"/>
  <c r="AT38" i="3"/>
  <c r="AT101" i="3"/>
  <c r="AT70" i="3"/>
  <c r="AT41" i="3"/>
  <c r="AT78" i="3"/>
  <c r="AT77" i="3"/>
  <c r="AT12" i="3"/>
  <c r="AT82" i="3"/>
  <c r="AT29" i="3"/>
  <c r="AT68" i="3"/>
  <c r="AT69" i="3"/>
  <c r="AT103" i="3"/>
  <c r="AU8" i="3"/>
  <c r="AT58" i="3"/>
  <c r="AT33" i="3"/>
  <c r="AT65" i="3"/>
  <c r="AT53" i="3"/>
  <c r="AT49" i="3"/>
  <c r="AT10" i="3"/>
  <c r="AT97" i="3"/>
  <c r="AT45" i="3"/>
  <c r="AT42" i="3"/>
  <c r="AT79" i="3"/>
  <c r="AT11" i="3"/>
  <c r="AT67" i="3"/>
  <c r="AU64" i="3" l="1"/>
  <c r="AU44" i="3"/>
  <c r="AU79" i="3"/>
  <c r="AU38" i="3"/>
  <c r="AU36" i="3"/>
  <c r="AU78" i="3"/>
  <c r="AU25" i="3"/>
  <c r="AU15" i="3"/>
  <c r="AU54" i="3"/>
  <c r="AV8" i="3"/>
  <c r="AU33" i="3"/>
  <c r="AU66" i="3"/>
  <c r="AU7" i="3"/>
  <c r="AU48" i="3"/>
  <c r="AU80" i="3"/>
  <c r="AU96" i="3"/>
  <c r="AU50" i="3"/>
  <c r="AU67" i="3"/>
  <c r="AU69" i="3"/>
  <c r="AU58" i="3"/>
  <c r="AU43" i="3"/>
  <c r="AU37" i="3"/>
  <c r="AU97" i="3"/>
  <c r="AU49" i="3"/>
  <c r="AU11" i="3"/>
  <c r="AU42" i="3"/>
  <c r="AU77" i="3"/>
  <c r="AU12" i="3"/>
  <c r="AU51" i="3"/>
  <c r="AU26" i="3"/>
  <c r="AU100" i="3"/>
  <c r="AU34" i="3"/>
  <c r="AU29" i="3"/>
  <c r="AU73" i="3"/>
  <c r="AU89" i="3"/>
  <c r="AU103" i="3"/>
  <c r="AU81" i="3"/>
  <c r="AU9" i="3"/>
  <c r="AU40" i="3"/>
  <c r="AU82" i="3"/>
  <c r="AU28" i="3"/>
  <c r="AU53" i="3"/>
  <c r="AU68" i="3"/>
  <c r="AU30" i="3"/>
  <c r="AU65" i="3"/>
  <c r="AU101" i="3"/>
  <c r="AU41" i="3"/>
  <c r="AU52" i="3"/>
  <c r="AU39" i="3"/>
  <c r="AU55" i="3"/>
  <c r="AU70" i="3"/>
  <c r="AU27" i="3"/>
  <c r="AU45" i="3"/>
  <c r="AU10" i="3"/>
  <c r="AU31" i="3"/>
  <c r="AV9" i="3" l="1"/>
  <c r="AV49" i="3"/>
  <c r="AV78" i="3"/>
  <c r="AV40" i="3"/>
  <c r="AV58" i="3"/>
  <c r="AV67" i="3"/>
  <c r="AV80" i="3"/>
  <c r="AV101" i="3"/>
  <c r="AV28" i="3"/>
  <c r="AV54" i="3"/>
  <c r="AW8" i="3"/>
  <c r="AV65" i="3"/>
  <c r="AV26" i="3"/>
  <c r="AV103" i="3"/>
  <c r="AV70" i="3"/>
  <c r="AV77" i="3"/>
  <c r="AV50" i="3"/>
  <c r="AV25" i="3"/>
  <c r="AV43" i="3"/>
  <c r="AV36" i="3"/>
  <c r="AV33" i="3"/>
  <c r="AV38" i="3"/>
  <c r="AV42" i="3"/>
  <c r="AV64" i="3"/>
  <c r="AV51" i="3"/>
  <c r="AV66" i="3"/>
  <c r="AV12" i="3"/>
  <c r="AV52" i="3"/>
  <c r="AV73" i="3"/>
  <c r="AV100" i="3"/>
  <c r="AV55" i="3"/>
  <c r="AV53" i="3"/>
  <c r="AV39" i="3"/>
  <c r="AV89" i="3"/>
  <c r="AV37" i="3"/>
  <c r="AV34" i="3"/>
  <c r="AV11" i="3"/>
  <c r="AV97" i="3"/>
  <c r="AV96" i="3"/>
  <c r="AV44" i="3"/>
  <c r="AV41" i="3"/>
  <c r="AV27" i="3"/>
  <c r="AV30" i="3"/>
  <c r="AV79" i="3"/>
  <c r="AV15" i="3"/>
  <c r="AV45" i="3"/>
  <c r="AV7" i="3"/>
  <c r="AV31" i="3"/>
  <c r="AV68" i="3"/>
  <c r="AV29" i="3"/>
  <c r="AV10" i="3"/>
  <c r="AV82" i="3"/>
  <c r="AV48" i="3"/>
  <c r="AV81" i="3"/>
  <c r="AV69" i="3"/>
  <c r="AW101" i="3" l="1"/>
  <c r="AW45" i="3"/>
  <c r="AW68" i="3"/>
  <c r="AW12" i="3"/>
  <c r="AW27" i="3"/>
  <c r="AW28" i="3"/>
  <c r="AW25" i="3"/>
  <c r="AW49" i="3"/>
  <c r="AW77" i="3"/>
  <c r="AW26" i="3"/>
  <c r="AW55" i="3"/>
  <c r="AW97" i="3"/>
  <c r="AW82" i="3"/>
  <c r="AX8" i="3"/>
  <c r="AW103" i="3"/>
  <c r="AW11" i="3"/>
  <c r="AW43" i="3"/>
  <c r="AW66" i="3"/>
  <c r="AW30" i="3"/>
  <c r="AW53" i="3"/>
  <c r="AW48" i="3"/>
  <c r="AW96" i="3"/>
  <c r="AW50" i="3"/>
  <c r="AW36" i="3"/>
  <c r="AW9" i="3"/>
  <c r="AW33" i="3"/>
  <c r="AW78" i="3"/>
  <c r="AW29" i="3"/>
  <c r="AW51" i="3"/>
  <c r="AW65" i="3"/>
  <c r="AW44" i="3"/>
  <c r="AW39" i="3"/>
  <c r="AW100" i="3"/>
  <c r="AW7" i="3"/>
  <c r="AW34" i="3"/>
  <c r="AW37" i="3"/>
  <c r="AW10" i="3"/>
  <c r="AW42" i="3"/>
  <c r="AW64" i="3"/>
  <c r="AW67" i="3"/>
  <c r="AW73" i="3"/>
  <c r="AW52" i="3"/>
  <c r="AW58" i="3"/>
  <c r="AW70" i="3"/>
  <c r="AW41" i="3"/>
  <c r="AW79" i="3"/>
  <c r="AW89" i="3"/>
  <c r="AW81" i="3"/>
  <c r="AW38" i="3"/>
  <c r="AW80" i="3"/>
  <c r="AW15" i="3"/>
  <c r="AW31" i="3"/>
  <c r="AW40" i="3"/>
  <c r="AW54" i="3"/>
  <c r="AW69" i="3"/>
  <c r="AX64" i="3" l="1"/>
  <c r="AX33" i="3"/>
  <c r="AX77" i="3"/>
  <c r="AX100" i="3"/>
  <c r="AX52" i="3"/>
  <c r="AX9" i="3"/>
  <c r="AX28" i="3"/>
  <c r="AX69" i="3"/>
  <c r="AX67" i="3"/>
  <c r="AX97" i="3"/>
  <c r="AX81" i="3"/>
  <c r="AX50" i="3"/>
  <c r="AX96" i="3"/>
  <c r="AX70" i="3"/>
  <c r="AX82" i="3"/>
  <c r="AX79" i="3"/>
  <c r="AX45" i="3"/>
  <c r="AX68" i="3"/>
  <c r="AX42" i="3"/>
  <c r="AX78" i="3"/>
  <c r="AX34" i="3"/>
  <c r="AX31" i="3"/>
  <c r="AX39" i="3"/>
  <c r="AX26" i="3"/>
  <c r="AX11" i="3"/>
  <c r="AX44" i="3"/>
  <c r="AX80" i="3"/>
  <c r="AX53" i="3"/>
  <c r="AY8" i="3"/>
  <c r="AX73" i="3"/>
  <c r="AX40" i="3"/>
  <c r="AX66" i="3"/>
  <c r="AX36" i="3"/>
  <c r="AX55" i="3"/>
  <c r="AX12" i="3"/>
  <c r="AX30" i="3"/>
  <c r="AX51" i="3"/>
  <c r="AX101" i="3"/>
  <c r="AX25" i="3"/>
  <c r="AX37" i="3"/>
  <c r="AX49" i="3"/>
  <c r="AX103" i="3"/>
  <c r="AX58" i="3"/>
  <c r="AX48" i="3"/>
  <c r="AX41" i="3"/>
  <c r="AX15" i="3"/>
  <c r="AX89" i="3"/>
  <c r="AX7" i="3"/>
  <c r="AX65" i="3"/>
  <c r="AX10" i="3"/>
  <c r="AX43" i="3"/>
  <c r="AX27" i="3"/>
  <c r="AX38" i="3"/>
  <c r="AX29" i="3"/>
  <c r="AX54" i="3"/>
  <c r="AY58" i="3" l="1"/>
  <c r="AY9" i="3"/>
  <c r="AY50" i="3"/>
  <c r="AY70" i="3"/>
  <c r="AY37" i="3"/>
  <c r="AY49" i="3"/>
  <c r="AY81" i="3"/>
  <c r="AY96" i="3"/>
  <c r="AZ8" i="3"/>
  <c r="AY43" i="3"/>
  <c r="AY77" i="3"/>
  <c r="AY39" i="3"/>
  <c r="AY42" i="3"/>
  <c r="AY67" i="3"/>
  <c r="AY44" i="3"/>
  <c r="AY97" i="3"/>
  <c r="AY27" i="3"/>
  <c r="AY54" i="3"/>
  <c r="AY100" i="3"/>
  <c r="AY28" i="3"/>
  <c r="AY69" i="3"/>
  <c r="AY51" i="3"/>
  <c r="AY38" i="3"/>
  <c r="AY31" i="3"/>
  <c r="AY55" i="3"/>
  <c r="AY12" i="3"/>
  <c r="AY101" i="3"/>
  <c r="AY40" i="3"/>
  <c r="AY45" i="3"/>
  <c r="AY79" i="3"/>
  <c r="AY33" i="3"/>
  <c r="AY82" i="3"/>
  <c r="AY10" i="3"/>
  <c r="AY78" i="3"/>
  <c r="AY11" i="3"/>
  <c r="AY15" i="3"/>
  <c r="AY73" i="3"/>
  <c r="AY26" i="3"/>
  <c r="AY52" i="3"/>
  <c r="AY80" i="3"/>
  <c r="AY25" i="3"/>
  <c r="AY68" i="3"/>
  <c r="AY29" i="3"/>
  <c r="AY34" i="3"/>
  <c r="AY65" i="3"/>
  <c r="AY53" i="3"/>
  <c r="AY103" i="3"/>
  <c r="AY36" i="3"/>
  <c r="AY64" i="3"/>
  <c r="AY89" i="3"/>
  <c r="AY30" i="3"/>
  <c r="AY48" i="3"/>
  <c r="AY66" i="3"/>
  <c r="AY7" i="3"/>
  <c r="AY41" i="3"/>
  <c r="AZ55" i="3" l="1"/>
  <c r="AZ103" i="3"/>
  <c r="AZ25" i="3"/>
  <c r="AZ49" i="3"/>
  <c r="AZ101" i="3"/>
  <c r="AZ36" i="3"/>
  <c r="AZ42" i="3"/>
  <c r="AZ89" i="3"/>
  <c r="AZ48" i="3"/>
  <c r="AZ68" i="3"/>
  <c r="AZ11" i="3"/>
  <c r="AZ38" i="3"/>
  <c r="AZ97" i="3"/>
  <c r="AZ39" i="3"/>
  <c r="AZ33" i="3"/>
  <c r="AZ66" i="3"/>
  <c r="AZ58" i="3"/>
  <c r="AZ26" i="3"/>
  <c r="AZ53" i="3"/>
  <c r="AZ96" i="3"/>
  <c r="AZ40" i="3"/>
  <c r="AZ7" i="3"/>
  <c r="AZ64" i="3"/>
  <c r="AZ69" i="3"/>
  <c r="AZ81" i="3"/>
  <c r="AZ82" i="3"/>
  <c r="AZ80" i="3"/>
  <c r="AZ30" i="3"/>
  <c r="AZ70" i="3"/>
  <c r="AZ37" i="3"/>
  <c r="AZ29" i="3"/>
  <c r="AZ10" i="3"/>
  <c r="AZ9" i="3"/>
  <c r="AZ79" i="3"/>
  <c r="BA8" i="3"/>
  <c r="AZ15" i="3"/>
  <c r="AZ65" i="3"/>
  <c r="AZ52" i="3"/>
  <c r="AZ28" i="3"/>
  <c r="AZ50" i="3"/>
  <c r="AZ77" i="3"/>
  <c r="AZ31" i="3"/>
  <c r="AZ51" i="3"/>
  <c r="AZ34" i="3"/>
  <c r="AZ43" i="3"/>
  <c r="AZ12" i="3"/>
  <c r="AZ44" i="3"/>
  <c r="AZ78" i="3"/>
  <c r="AZ54" i="3"/>
  <c r="AZ100" i="3"/>
  <c r="AZ67" i="3"/>
  <c r="AZ73" i="3"/>
  <c r="AZ27" i="3"/>
  <c r="AZ45" i="3"/>
  <c r="AZ41" i="3"/>
  <c r="BA54" i="3" l="1"/>
  <c r="BA82" i="3"/>
  <c r="BA49" i="3"/>
  <c r="BA77" i="3"/>
  <c r="BA9" i="3"/>
  <c r="BA36" i="3"/>
  <c r="BA52" i="3"/>
  <c r="BA100" i="3"/>
  <c r="BA29" i="3"/>
  <c r="BA79" i="3"/>
  <c r="BA97" i="3"/>
  <c r="BA41" i="3"/>
  <c r="BA10" i="3"/>
  <c r="BA45" i="3"/>
  <c r="BA68" i="3"/>
  <c r="BA12" i="3"/>
  <c r="BA48" i="3"/>
  <c r="BA80" i="3"/>
  <c r="BA33" i="3"/>
  <c r="BA40" i="3"/>
  <c r="BA39" i="3"/>
  <c r="BA55" i="3"/>
  <c r="BA67" i="3"/>
  <c r="BA89" i="3"/>
  <c r="BA50" i="3"/>
  <c r="BA25" i="3"/>
  <c r="BA11" i="3"/>
  <c r="BA15" i="3"/>
  <c r="BB8" i="3"/>
  <c r="BA69" i="3"/>
  <c r="BA73" i="3"/>
  <c r="BA34" i="3"/>
  <c r="BA30" i="3"/>
  <c r="BA38" i="3"/>
  <c r="BA26" i="3"/>
  <c r="BA44" i="3"/>
  <c r="BA53" i="3"/>
  <c r="BA96" i="3"/>
  <c r="BA28" i="3"/>
  <c r="BA64" i="3"/>
  <c r="BA103" i="3"/>
  <c r="BA70" i="3"/>
  <c r="BA81" i="3"/>
  <c r="BA27" i="3"/>
  <c r="BA65" i="3"/>
  <c r="BA66" i="3"/>
  <c r="BA42" i="3"/>
  <c r="BA101" i="3"/>
  <c r="BA51" i="3"/>
  <c r="BA78" i="3"/>
  <c r="BA7" i="3"/>
  <c r="BA43" i="3"/>
  <c r="BA58" i="3"/>
  <c r="BA31" i="3"/>
  <c r="BA37" i="3"/>
  <c r="BB97" i="3" l="1"/>
  <c r="BB11" i="3"/>
  <c r="BB40" i="3"/>
  <c r="BB53" i="3"/>
  <c r="BB45" i="3"/>
  <c r="BB29" i="3"/>
  <c r="BB69" i="3"/>
  <c r="BB28" i="3"/>
  <c r="BB48" i="3"/>
  <c r="BB9" i="3"/>
  <c r="BB65" i="3"/>
  <c r="BB44" i="3"/>
  <c r="BC8" i="3"/>
  <c r="BB37" i="3"/>
  <c r="BB68" i="3"/>
  <c r="BB7" i="3"/>
  <c r="BB33" i="3"/>
  <c r="BB64" i="3"/>
  <c r="BB66" i="3"/>
  <c r="BB25" i="3"/>
  <c r="BB78" i="3"/>
  <c r="BB42" i="3"/>
  <c r="BB26" i="3"/>
  <c r="BB100" i="3"/>
  <c r="BB81" i="3"/>
  <c r="BB82" i="3"/>
  <c r="BB77" i="3"/>
  <c r="BB41" i="3"/>
  <c r="BB12" i="3"/>
  <c r="BB54" i="3"/>
  <c r="BB73" i="3"/>
  <c r="BB58" i="3"/>
  <c r="BB55" i="3"/>
  <c r="BB96" i="3"/>
  <c r="BB30" i="3"/>
  <c r="BB50" i="3"/>
  <c r="BB70" i="3"/>
  <c r="BB89" i="3"/>
  <c r="BB101" i="3"/>
  <c r="BB79" i="3"/>
  <c r="BB80" i="3"/>
  <c r="BB10" i="3"/>
  <c r="BB38" i="3"/>
  <c r="BB36" i="3"/>
  <c r="BB39" i="3"/>
  <c r="BB51" i="3"/>
  <c r="BB52" i="3"/>
  <c r="BB43" i="3"/>
  <c r="BB67" i="3"/>
  <c r="BB27" i="3"/>
  <c r="BB15" i="3"/>
  <c r="BB34" i="3"/>
  <c r="BB31" i="3"/>
  <c r="BB49" i="3"/>
  <c r="BB103" i="3"/>
  <c r="BC80" i="3" l="1"/>
  <c r="BC27" i="3"/>
  <c r="BC37" i="3"/>
  <c r="BC69" i="3"/>
  <c r="BC10" i="3"/>
  <c r="BC38" i="3"/>
  <c r="BC73" i="3"/>
  <c r="BC82" i="3"/>
  <c r="BC50" i="3"/>
  <c r="BC97" i="3"/>
  <c r="BC9" i="3"/>
  <c r="BC44" i="3"/>
  <c r="BC103" i="3"/>
  <c r="BC36" i="3"/>
  <c r="BC54" i="3"/>
  <c r="BC41" i="3"/>
  <c r="BC70" i="3"/>
  <c r="BC30" i="3"/>
  <c r="BC51" i="3"/>
  <c r="BC68" i="3"/>
  <c r="BC11" i="3"/>
  <c r="BC7" i="3"/>
  <c r="BC29" i="3"/>
  <c r="BC81" i="3"/>
  <c r="BC33" i="3"/>
  <c r="BC96" i="3"/>
  <c r="BC52" i="3"/>
  <c r="BC49" i="3"/>
  <c r="BC58" i="3"/>
  <c r="BC39" i="3"/>
  <c r="BC53" i="3"/>
  <c r="BC25" i="3"/>
  <c r="BC43" i="3"/>
  <c r="BC65" i="3"/>
  <c r="BC100" i="3"/>
  <c r="BC67" i="3"/>
  <c r="BC34" i="3"/>
  <c r="BC42" i="3"/>
  <c r="BC77" i="3"/>
  <c r="BD8" i="3"/>
  <c r="BC64" i="3"/>
  <c r="BC89" i="3"/>
  <c r="BC28" i="3"/>
  <c r="BC45" i="3"/>
  <c r="BC40" i="3"/>
  <c r="BC55" i="3"/>
  <c r="BC31" i="3"/>
  <c r="BC15" i="3"/>
  <c r="BC26" i="3"/>
  <c r="BC101" i="3"/>
  <c r="BC12" i="3"/>
  <c r="BC48" i="3"/>
  <c r="BC79" i="3"/>
  <c r="BC66" i="3"/>
  <c r="BC78" i="3"/>
  <c r="BD67" i="3" l="1"/>
  <c r="BD78" i="3"/>
  <c r="BD79" i="3"/>
  <c r="BD12" i="3"/>
  <c r="BD101" i="3"/>
  <c r="BD68" i="3"/>
  <c r="BD44" i="3"/>
  <c r="BD66" i="3"/>
  <c r="BD38" i="3"/>
  <c r="BD41" i="3"/>
  <c r="BD31" i="3"/>
  <c r="BD43" i="3"/>
  <c r="BD103" i="3"/>
  <c r="BD42" i="3"/>
  <c r="BD81" i="3"/>
  <c r="BD77" i="3"/>
  <c r="BD15" i="3"/>
  <c r="BD52" i="3"/>
  <c r="BD28" i="3"/>
  <c r="BD10" i="3"/>
  <c r="BD11" i="3"/>
  <c r="BD82" i="3"/>
  <c r="BD53" i="3"/>
  <c r="BD27" i="3"/>
  <c r="BD30" i="3"/>
  <c r="BD50" i="3"/>
  <c r="BD45" i="3"/>
  <c r="BD37" i="3"/>
  <c r="BD96" i="3"/>
  <c r="BD73" i="3"/>
  <c r="BD80" i="3"/>
  <c r="BD97" i="3"/>
  <c r="BD36" i="3"/>
  <c r="BD7" i="3"/>
  <c r="BD70" i="3"/>
  <c r="BD65" i="3"/>
  <c r="BD69" i="3"/>
  <c r="BD51" i="3"/>
  <c r="BD89" i="3"/>
  <c r="BD64" i="3"/>
  <c r="BD55" i="3"/>
  <c r="BD9" i="3"/>
  <c r="BD34" i="3"/>
  <c r="BD39" i="3"/>
  <c r="BE8" i="3"/>
  <c r="BD26" i="3"/>
  <c r="BD58" i="3"/>
  <c r="BD29" i="3"/>
  <c r="BD48" i="3"/>
  <c r="BD100" i="3"/>
  <c r="BD54" i="3"/>
  <c r="BD25" i="3"/>
  <c r="BD33" i="3"/>
  <c r="BD49" i="3"/>
  <c r="BD40" i="3"/>
  <c r="BE66" i="3" l="1"/>
  <c r="BE100" i="3"/>
  <c r="BE28" i="3"/>
  <c r="BE40" i="3"/>
  <c r="BE38" i="3"/>
  <c r="BE44" i="3"/>
  <c r="BE26" i="3"/>
  <c r="BE64" i="3"/>
  <c r="BE79" i="3"/>
  <c r="BE25" i="3"/>
  <c r="BE11" i="3"/>
  <c r="BE39" i="3"/>
  <c r="BE37" i="3"/>
  <c r="BE67" i="3"/>
  <c r="BE7" i="3"/>
  <c r="BE12" i="3"/>
  <c r="BE33" i="3"/>
  <c r="BF8" i="3"/>
  <c r="BE68" i="3"/>
  <c r="BE96" i="3"/>
  <c r="BE50" i="3"/>
  <c r="BE81" i="3"/>
  <c r="BE53" i="3"/>
  <c r="BE51" i="3"/>
  <c r="BE42" i="3"/>
  <c r="BE10" i="3"/>
  <c r="BE52" i="3"/>
  <c r="BE78" i="3"/>
  <c r="BE48" i="3"/>
  <c r="BE97" i="3"/>
  <c r="BE101" i="3"/>
  <c r="BE34" i="3"/>
  <c r="BE55" i="3"/>
  <c r="BE58" i="3"/>
  <c r="BE41" i="3"/>
  <c r="BE80" i="3"/>
  <c r="BE54" i="3"/>
  <c r="BE15" i="3"/>
  <c r="BE89" i="3"/>
  <c r="BE73" i="3"/>
  <c r="BE103" i="3"/>
  <c r="BE27" i="3"/>
  <c r="BE36" i="3"/>
  <c r="BE82" i="3"/>
  <c r="BE29" i="3"/>
  <c r="BE45" i="3"/>
  <c r="BE31" i="3"/>
  <c r="BE9" i="3"/>
  <c r="BE43" i="3"/>
  <c r="BE77" i="3"/>
  <c r="BE30" i="3"/>
  <c r="BE69" i="3"/>
  <c r="BE70" i="3"/>
  <c r="BE65" i="3"/>
  <c r="BE49" i="3"/>
  <c r="BF66" i="3" l="1"/>
  <c r="BF81" i="3"/>
  <c r="BF27" i="3"/>
  <c r="BF11" i="3"/>
  <c r="BF80" i="3"/>
  <c r="BF58" i="3"/>
  <c r="BF31" i="3"/>
  <c r="BF42" i="3"/>
  <c r="BF36" i="3"/>
  <c r="BF37" i="3"/>
  <c r="BF44" i="3"/>
  <c r="BF50" i="3"/>
  <c r="BF68" i="3"/>
  <c r="BF15" i="3"/>
  <c r="BF51" i="3"/>
  <c r="BG8" i="3"/>
  <c r="BF33" i="3"/>
  <c r="BF52" i="3"/>
  <c r="BF79" i="3"/>
  <c r="BF34" i="3"/>
  <c r="BF96" i="3"/>
  <c r="BF9" i="3"/>
  <c r="BF103" i="3"/>
  <c r="BF54" i="3"/>
  <c r="BF10" i="3"/>
  <c r="BF97" i="3"/>
  <c r="BF48" i="3"/>
  <c r="BF29" i="3"/>
  <c r="BF77" i="3"/>
  <c r="BF73" i="3"/>
  <c r="BF43" i="3"/>
  <c r="BF69" i="3"/>
  <c r="BF49" i="3"/>
  <c r="BF40" i="3"/>
  <c r="BF64" i="3"/>
  <c r="BF30" i="3"/>
  <c r="BF41" i="3"/>
  <c r="BF53" i="3"/>
  <c r="BF89" i="3"/>
  <c r="BF67" i="3"/>
  <c r="BF45" i="3"/>
  <c r="BF101" i="3"/>
  <c r="BF7" i="3"/>
  <c r="BF39" i="3"/>
  <c r="BF26" i="3"/>
  <c r="BF70" i="3"/>
  <c r="BF65" i="3"/>
  <c r="BF38" i="3"/>
  <c r="BF25" i="3"/>
  <c r="BF100" i="3"/>
  <c r="BF12" i="3"/>
  <c r="BF55" i="3"/>
  <c r="BF78" i="3"/>
  <c r="BF82" i="3"/>
  <c r="BF28" i="3"/>
  <c r="BG81" i="3" l="1"/>
  <c r="BG9" i="3"/>
  <c r="BH8" i="3"/>
  <c r="BG27" i="3"/>
  <c r="BG68" i="3"/>
  <c r="BG96" i="3"/>
  <c r="BG53" i="3"/>
  <c r="BG89" i="3"/>
  <c r="BG79" i="3"/>
  <c r="BG10" i="3"/>
  <c r="BG11" i="3"/>
  <c r="BG37" i="3"/>
  <c r="BG97" i="3"/>
  <c r="BG15" i="3"/>
  <c r="BG42" i="3"/>
  <c r="BG69" i="3"/>
  <c r="BG65" i="3"/>
  <c r="BG12" i="3"/>
  <c r="BG80" i="3"/>
  <c r="BG100" i="3"/>
  <c r="BG54" i="3"/>
  <c r="BG51" i="3"/>
  <c r="BG77" i="3"/>
  <c r="BG101" i="3"/>
  <c r="BG45" i="3"/>
  <c r="BG38" i="3"/>
  <c r="BG43" i="3"/>
  <c r="BG48" i="3"/>
  <c r="BG28" i="3"/>
  <c r="BG33" i="3"/>
  <c r="BG58" i="3"/>
  <c r="BG66" i="3"/>
  <c r="BG40" i="3"/>
  <c r="BG103" i="3"/>
  <c r="BG82" i="3"/>
  <c r="BG25" i="3"/>
  <c r="BG31" i="3"/>
  <c r="BG34" i="3"/>
  <c r="BG30" i="3"/>
  <c r="BG70" i="3"/>
  <c r="BG67" i="3"/>
  <c r="BG7" i="3"/>
  <c r="BG26" i="3"/>
  <c r="BG50" i="3"/>
  <c r="BG73" i="3"/>
  <c r="BG52" i="3"/>
  <c r="BG49" i="3"/>
  <c r="BG78" i="3"/>
  <c r="BG36" i="3"/>
  <c r="BG44" i="3"/>
  <c r="BG29" i="3"/>
  <c r="BG41" i="3"/>
  <c r="BG39" i="3"/>
  <c r="BG64" i="3"/>
  <c r="BG55" i="3"/>
  <c r="BH50" i="3" l="1"/>
  <c r="BH101" i="3"/>
  <c r="BH11" i="3"/>
  <c r="BH41" i="3"/>
  <c r="BH78" i="3"/>
  <c r="BH100" i="3"/>
  <c r="BH40" i="3"/>
  <c r="BH77" i="3"/>
  <c r="BH12" i="3"/>
  <c r="BH31" i="3"/>
  <c r="BH51" i="3"/>
  <c r="BH25" i="3"/>
  <c r="BH48" i="3"/>
  <c r="BH70" i="3"/>
  <c r="BH65" i="3"/>
  <c r="BH44" i="3"/>
  <c r="BH52" i="3"/>
  <c r="BH58" i="3"/>
  <c r="BH73" i="3"/>
  <c r="BI8" i="3"/>
  <c r="BH28" i="3"/>
  <c r="BH96" i="3"/>
  <c r="BH43" i="3"/>
  <c r="BH53" i="3"/>
  <c r="BH37" i="3"/>
  <c r="BH7" i="3"/>
  <c r="BH80" i="3"/>
  <c r="BH29" i="3"/>
  <c r="BH34" i="3"/>
  <c r="BH15" i="3"/>
  <c r="BH30" i="3"/>
  <c r="BH42" i="3"/>
  <c r="BH39" i="3"/>
  <c r="BH64" i="3"/>
  <c r="BH97" i="3"/>
  <c r="BH33" i="3"/>
  <c r="BH45" i="3"/>
  <c r="BH67" i="3"/>
  <c r="BH38" i="3"/>
  <c r="BH26" i="3"/>
  <c r="BH66" i="3"/>
  <c r="BH27" i="3"/>
  <c r="BH103" i="3"/>
  <c r="BH49" i="3"/>
  <c r="BH81" i="3"/>
  <c r="BH10" i="3"/>
  <c r="BH68" i="3"/>
  <c r="BH82" i="3"/>
  <c r="BH9" i="3"/>
  <c r="BH89" i="3"/>
  <c r="BH54" i="3"/>
  <c r="BH55" i="3"/>
  <c r="BH69" i="3"/>
  <c r="BH79" i="3"/>
  <c r="BH36" i="3"/>
  <c r="BI80" i="3" l="1"/>
  <c r="BI7" i="3"/>
  <c r="BI31" i="3"/>
  <c r="BI53" i="3"/>
  <c r="BI48" i="3"/>
  <c r="BI58" i="3"/>
  <c r="BI51" i="3"/>
  <c r="BI81" i="3"/>
  <c r="BI38" i="3"/>
  <c r="BI79" i="3"/>
  <c r="BI42" i="3"/>
  <c r="BI11" i="3"/>
  <c r="BI39" i="3"/>
  <c r="BI64" i="3"/>
  <c r="BI97" i="3"/>
  <c r="BI25" i="3"/>
  <c r="BI101" i="3"/>
  <c r="BI52" i="3"/>
  <c r="BI43" i="3"/>
  <c r="BI68" i="3"/>
  <c r="BI15" i="3"/>
  <c r="BI40" i="3"/>
  <c r="BI27" i="3"/>
  <c r="BI50" i="3"/>
  <c r="BJ8" i="3"/>
  <c r="BI26" i="3"/>
  <c r="BI54" i="3"/>
  <c r="BI49" i="3"/>
  <c r="BI12" i="3"/>
  <c r="BI36" i="3"/>
  <c r="BI66" i="3"/>
  <c r="BI67" i="3"/>
  <c r="BI82" i="3"/>
  <c r="BI9" i="3"/>
  <c r="BI73" i="3"/>
  <c r="BI44" i="3"/>
  <c r="BI70" i="3"/>
  <c r="BI10" i="3"/>
  <c r="BI69" i="3"/>
  <c r="BI29" i="3"/>
  <c r="BI89" i="3"/>
  <c r="BI78" i="3"/>
  <c r="BI28" i="3"/>
  <c r="BI96" i="3"/>
  <c r="BI33" i="3"/>
  <c r="BI65" i="3"/>
  <c r="BI30" i="3"/>
  <c r="BI37" i="3"/>
  <c r="BI55" i="3"/>
  <c r="BI103" i="3"/>
  <c r="BI41" i="3"/>
  <c r="BI77" i="3"/>
  <c r="BI45" i="3"/>
  <c r="BI100" i="3"/>
  <c r="BI34" i="3"/>
  <c r="BJ58" i="3" l="1"/>
  <c r="BJ11" i="3"/>
  <c r="BJ79" i="3"/>
  <c r="BJ65" i="3"/>
  <c r="BJ10" i="3"/>
  <c r="BJ28" i="3"/>
  <c r="BJ42" i="3"/>
  <c r="BJ54" i="3"/>
  <c r="BJ49" i="3"/>
  <c r="BJ82" i="3"/>
  <c r="BJ25" i="3"/>
  <c r="BJ68" i="3"/>
  <c r="BJ50" i="3"/>
  <c r="BJ12" i="3"/>
  <c r="BJ33" i="3"/>
  <c r="BJ41" i="3"/>
  <c r="BJ39" i="3"/>
  <c r="BJ9" i="3"/>
  <c r="BJ97" i="3"/>
  <c r="BJ38" i="3"/>
  <c r="BJ96" i="3"/>
  <c r="BJ52" i="3"/>
  <c r="BJ53" i="3"/>
  <c r="BJ100" i="3"/>
  <c r="BJ15" i="3"/>
  <c r="BJ45" i="3"/>
  <c r="BJ101" i="3"/>
  <c r="BJ36" i="3"/>
  <c r="BJ67" i="3"/>
  <c r="BJ73" i="3"/>
  <c r="BJ7" i="3"/>
  <c r="BJ48" i="3"/>
  <c r="BJ103" i="3"/>
  <c r="BJ31" i="3"/>
  <c r="BJ51" i="3"/>
  <c r="BJ89" i="3"/>
  <c r="BJ44" i="3"/>
  <c r="BJ78" i="3"/>
  <c r="BJ55" i="3"/>
  <c r="BJ80" i="3"/>
  <c r="BJ34" i="3"/>
  <c r="BJ29" i="3"/>
  <c r="BJ70" i="3"/>
  <c r="BJ43" i="3"/>
  <c r="BJ81" i="3"/>
  <c r="BJ77" i="3"/>
  <c r="BJ64" i="3"/>
  <c r="BJ37" i="3"/>
  <c r="BJ40" i="3"/>
  <c r="BJ26" i="3"/>
  <c r="BJ27" i="3"/>
  <c r="BJ66" i="3"/>
  <c r="BK8" i="3"/>
  <c r="BJ30" i="3"/>
  <c r="BJ69" i="3"/>
  <c r="BK55" i="3" l="1"/>
  <c r="BK11" i="3"/>
  <c r="BK101" i="3"/>
  <c r="BK48" i="3"/>
  <c r="BK33" i="3"/>
  <c r="BK89" i="3"/>
  <c r="BK34" i="3"/>
  <c r="BK54" i="3"/>
  <c r="BK69" i="3"/>
  <c r="BK58" i="3"/>
  <c r="BK36" i="3"/>
  <c r="BK53" i="3"/>
  <c r="BK70" i="3"/>
  <c r="BK40" i="3"/>
  <c r="BK51" i="3"/>
  <c r="BK50" i="3"/>
  <c r="BK67" i="3"/>
  <c r="BK27" i="3"/>
  <c r="BK52" i="3"/>
  <c r="BK103" i="3"/>
  <c r="BK30" i="3"/>
  <c r="BK79" i="3"/>
  <c r="BK42" i="3"/>
  <c r="BK45" i="3"/>
  <c r="BK7" i="3"/>
  <c r="BK77" i="3"/>
  <c r="BK38" i="3"/>
  <c r="BK100" i="3"/>
  <c r="BK37" i="3"/>
  <c r="BK26" i="3"/>
  <c r="BK12" i="3"/>
  <c r="BK10" i="3"/>
  <c r="BK41" i="3"/>
  <c r="BK80" i="3"/>
  <c r="BK9" i="3"/>
  <c r="BK28" i="3"/>
  <c r="BK66" i="3"/>
  <c r="BK78" i="3"/>
  <c r="BL8" i="3"/>
  <c r="BK65" i="3"/>
  <c r="BK49" i="3"/>
  <c r="BK39" i="3"/>
  <c r="BK68" i="3"/>
  <c r="BK25" i="3"/>
  <c r="BK73" i="3"/>
  <c r="BK29" i="3"/>
  <c r="BK82" i="3"/>
  <c r="BK81" i="3"/>
  <c r="BK97" i="3"/>
  <c r="BK15" i="3"/>
  <c r="BK43" i="3"/>
  <c r="BK96" i="3"/>
  <c r="BK44" i="3"/>
  <c r="BK64" i="3"/>
  <c r="BK31" i="3"/>
  <c r="BL51" i="3" l="1"/>
  <c r="BL77" i="3"/>
  <c r="BL11" i="3"/>
  <c r="BL42" i="3"/>
  <c r="BL27" i="3"/>
  <c r="BL68" i="3"/>
  <c r="BL29" i="3"/>
  <c r="BL44" i="3"/>
  <c r="BL103" i="3"/>
  <c r="BL38" i="3"/>
  <c r="BL80" i="3"/>
  <c r="BL50" i="3"/>
  <c r="BL55" i="3"/>
  <c r="BL52" i="3"/>
  <c r="BL26" i="3"/>
  <c r="BL40" i="3"/>
  <c r="BL33" i="3"/>
  <c r="BL81" i="3"/>
  <c r="BL12" i="3"/>
  <c r="BL67" i="3"/>
  <c r="BL7" i="3"/>
  <c r="BL97" i="3"/>
  <c r="BL39" i="3"/>
  <c r="BL100" i="3"/>
  <c r="BL101" i="3"/>
  <c r="BL30" i="3"/>
  <c r="BL54" i="3"/>
  <c r="BL58" i="3"/>
  <c r="BL10" i="3"/>
  <c r="BL69" i="3"/>
  <c r="BL53" i="3"/>
  <c r="BL37" i="3"/>
  <c r="BL66" i="3"/>
  <c r="BL45" i="3"/>
  <c r="BL78" i="3"/>
  <c r="BL64" i="3"/>
  <c r="BL48" i="3"/>
  <c r="BL65" i="3"/>
  <c r="BL49" i="3"/>
  <c r="BL41" i="3"/>
  <c r="BL43" i="3"/>
  <c r="BL96" i="3"/>
  <c r="BL28" i="3"/>
  <c r="BL31" i="3"/>
  <c r="BL25" i="3"/>
  <c r="BL79" i="3"/>
  <c r="BL9" i="3"/>
  <c r="BM8" i="3"/>
  <c r="BL36" i="3"/>
  <c r="BL82" i="3"/>
  <c r="BL15" i="3"/>
  <c r="BL89" i="3"/>
  <c r="BL34" i="3"/>
  <c r="BL70" i="3"/>
  <c r="BL73" i="3"/>
  <c r="BM77" i="3" l="1"/>
  <c r="BM101" i="3"/>
  <c r="BM96" i="3"/>
  <c r="BM28" i="3"/>
  <c r="BM44" i="3"/>
  <c r="BM54" i="3"/>
  <c r="BM70" i="3"/>
  <c r="BM26" i="3"/>
  <c r="BM103" i="3"/>
  <c r="BM41" i="3"/>
  <c r="BM68" i="3"/>
  <c r="BM97" i="3"/>
  <c r="BM69" i="3"/>
  <c r="BM49" i="3"/>
  <c r="BM45" i="3"/>
  <c r="BM15" i="3"/>
  <c r="BM43" i="3"/>
  <c r="BM53" i="3"/>
  <c r="BM65" i="3"/>
  <c r="BM39" i="3"/>
  <c r="BM64" i="3"/>
  <c r="BM29" i="3"/>
  <c r="BM80" i="3"/>
  <c r="BM82" i="3"/>
  <c r="BN8" i="3"/>
  <c r="BM30" i="3"/>
  <c r="BM38" i="3"/>
  <c r="BM34" i="3"/>
  <c r="BM52" i="3"/>
  <c r="BM11" i="3"/>
  <c r="BM51" i="3"/>
  <c r="BM81" i="3"/>
  <c r="BM40" i="3"/>
  <c r="BM78" i="3"/>
  <c r="BM100" i="3"/>
  <c r="BM25" i="3"/>
  <c r="BM50" i="3"/>
  <c r="BM31" i="3"/>
  <c r="BM67" i="3"/>
  <c r="BM73" i="3"/>
  <c r="BM9" i="3"/>
  <c r="BM42" i="3"/>
  <c r="BM58" i="3"/>
  <c r="BM27" i="3"/>
  <c r="BM36" i="3"/>
  <c r="BM12" i="3"/>
  <c r="BM37" i="3"/>
  <c r="BM66" i="3"/>
  <c r="BM89" i="3"/>
  <c r="BM79" i="3"/>
  <c r="BM7" i="3"/>
  <c r="BM10" i="3"/>
  <c r="BM33" i="3"/>
  <c r="BM48" i="3"/>
  <c r="BM55" i="3"/>
  <c r="BN65" i="3" l="1"/>
  <c r="BN89" i="3"/>
  <c r="BN78" i="3"/>
  <c r="BN69" i="3"/>
  <c r="BN80" i="3"/>
  <c r="BN51" i="3"/>
  <c r="BN36" i="3"/>
  <c r="BN48" i="3"/>
  <c r="BN37" i="3"/>
  <c r="BN100" i="3"/>
  <c r="BN64" i="3"/>
  <c r="BN42" i="3"/>
  <c r="BN33" i="3"/>
  <c r="BN15" i="3"/>
  <c r="BN28" i="3"/>
  <c r="BN50" i="3"/>
  <c r="BN39" i="3"/>
  <c r="BN34" i="3"/>
  <c r="BN29" i="3"/>
  <c r="BN25" i="3"/>
  <c r="BN43" i="3"/>
  <c r="BN31" i="3"/>
  <c r="BN10" i="3"/>
  <c r="BN52" i="3"/>
  <c r="BO8" i="3"/>
  <c r="BN82" i="3"/>
  <c r="BN54" i="3"/>
  <c r="BN70" i="3"/>
  <c r="BN9" i="3"/>
  <c r="BN27" i="3"/>
  <c r="BN30" i="3"/>
  <c r="BN103" i="3"/>
  <c r="BN73" i="3"/>
  <c r="BN96" i="3"/>
  <c r="BN79" i="3"/>
  <c r="BN97" i="3"/>
  <c r="BN41" i="3"/>
  <c r="BN7" i="3"/>
  <c r="BN58" i="3"/>
  <c r="BN66" i="3"/>
  <c r="BN67" i="3"/>
  <c r="BN44" i="3"/>
  <c r="BN26" i="3"/>
  <c r="BN12" i="3"/>
  <c r="BN40" i="3"/>
  <c r="BN101" i="3"/>
  <c r="BN53" i="3"/>
  <c r="BN45" i="3"/>
  <c r="BN38" i="3"/>
  <c r="BN68" i="3"/>
  <c r="BN77" i="3"/>
  <c r="BN11" i="3"/>
  <c r="BN55" i="3"/>
  <c r="BN81" i="3"/>
  <c r="BN49" i="3"/>
  <c r="BO64" i="3" l="1"/>
  <c r="BO96" i="3"/>
  <c r="BO33" i="3"/>
  <c r="BO53" i="3"/>
  <c r="BO44" i="3"/>
  <c r="BO82" i="3"/>
  <c r="BO25" i="3"/>
  <c r="BO50" i="3"/>
  <c r="BO70" i="3"/>
  <c r="BO49" i="3"/>
  <c r="BO81" i="3"/>
  <c r="BO100" i="3"/>
  <c r="BO80" i="3"/>
  <c r="BO12" i="3"/>
  <c r="BO103" i="3"/>
  <c r="BO69" i="3"/>
  <c r="BO36" i="3"/>
  <c r="BO68" i="3"/>
  <c r="BO30" i="3"/>
  <c r="BO78" i="3"/>
  <c r="BO54" i="3"/>
  <c r="BO65" i="3"/>
  <c r="BO45" i="3"/>
  <c r="BO42" i="3"/>
  <c r="BO15" i="3"/>
  <c r="BO67" i="3"/>
  <c r="BO31" i="3"/>
  <c r="BO41" i="3"/>
  <c r="BO39" i="3"/>
  <c r="BO55" i="3"/>
  <c r="BO66" i="3"/>
  <c r="BO52" i="3"/>
  <c r="BO79" i="3"/>
  <c r="BO97" i="3"/>
  <c r="BO101" i="3"/>
  <c r="BO9" i="3"/>
  <c r="BO37" i="3"/>
  <c r="BO40" i="3"/>
  <c r="BO48" i="3"/>
  <c r="BO27" i="3"/>
  <c r="BO34" i="3"/>
  <c r="BO43" i="3"/>
  <c r="BO7" i="3"/>
  <c r="BP8" i="3"/>
  <c r="BO10" i="3"/>
  <c r="BO77" i="3"/>
  <c r="BO29" i="3"/>
  <c r="BO28" i="3"/>
  <c r="BO38" i="3"/>
  <c r="BO73" i="3"/>
  <c r="BO26" i="3"/>
  <c r="BO58" i="3"/>
  <c r="BO51" i="3"/>
  <c r="BO89" i="3"/>
  <c r="BO11" i="3"/>
  <c r="BP77" i="3" l="1"/>
  <c r="BP38" i="3"/>
  <c r="BP41" i="3"/>
  <c r="BP31" i="3"/>
  <c r="BP42" i="3"/>
  <c r="BP58" i="3"/>
  <c r="BP39" i="3"/>
  <c r="BP40" i="3"/>
  <c r="BP43" i="3"/>
  <c r="BP69" i="3"/>
  <c r="BP54" i="3"/>
  <c r="BP100" i="3"/>
  <c r="BP81" i="3"/>
  <c r="BP78" i="3"/>
  <c r="BP49" i="3"/>
  <c r="BP29" i="3"/>
  <c r="BP65" i="3"/>
  <c r="BP33" i="3"/>
  <c r="BP28" i="3"/>
  <c r="BP66" i="3"/>
  <c r="BP64" i="3"/>
  <c r="BP53" i="3"/>
  <c r="BP51" i="3"/>
  <c r="BP44" i="3"/>
  <c r="BP7" i="3"/>
  <c r="BP45" i="3"/>
  <c r="BP11" i="3"/>
  <c r="BP9" i="3"/>
  <c r="BP26" i="3"/>
  <c r="BP12" i="3"/>
  <c r="BP82" i="3"/>
  <c r="BP34" i="3"/>
  <c r="BP15" i="3"/>
  <c r="BP96" i="3"/>
  <c r="BQ8" i="3"/>
  <c r="BP80" i="3"/>
  <c r="BP97" i="3"/>
  <c r="BP103" i="3"/>
  <c r="BP73" i="3"/>
  <c r="BP48" i="3"/>
  <c r="BP70" i="3"/>
  <c r="BP89" i="3"/>
  <c r="BP55" i="3"/>
  <c r="BP52" i="3"/>
  <c r="BP79" i="3"/>
  <c r="BP25" i="3"/>
  <c r="BP37" i="3"/>
  <c r="BP27" i="3"/>
  <c r="BP67" i="3"/>
  <c r="BP68" i="3"/>
  <c r="BP101" i="3"/>
  <c r="BP30" i="3"/>
  <c r="BP10" i="3"/>
  <c r="BP36" i="3"/>
  <c r="BP50" i="3"/>
  <c r="BQ69" i="3" l="1"/>
  <c r="BQ34" i="3"/>
  <c r="BQ42" i="3"/>
  <c r="BQ39" i="3"/>
  <c r="BQ48" i="3"/>
  <c r="BQ43" i="3"/>
  <c r="BQ51" i="3"/>
  <c r="BQ103" i="3"/>
  <c r="BQ33" i="3"/>
  <c r="BQ68" i="3"/>
  <c r="BQ101" i="3"/>
  <c r="BR8" i="3"/>
  <c r="BQ9" i="3"/>
  <c r="BQ10" i="3"/>
  <c r="BQ27" i="3"/>
  <c r="BQ26" i="3"/>
  <c r="BQ64" i="3"/>
  <c r="BQ40" i="3"/>
  <c r="BQ7" i="3"/>
  <c r="BQ67" i="3"/>
  <c r="BQ77" i="3"/>
  <c r="BQ70" i="3"/>
  <c r="BQ100" i="3"/>
  <c r="BQ30" i="3"/>
  <c r="BQ29" i="3"/>
  <c r="BQ37" i="3"/>
  <c r="BQ50" i="3"/>
  <c r="BQ55" i="3"/>
  <c r="BQ52" i="3"/>
  <c r="BQ66" i="3"/>
  <c r="BQ79" i="3"/>
  <c r="BQ11" i="3"/>
  <c r="BQ38" i="3"/>
  <c r="BQ73" i="3"/>
  <c r="BQ25" i="3"/>
  <c r="BQ15" i="3"/>
  <c r="BQ31" i="3"/>
  <c r="BQ12" i="3"/>
  <c r="BQ28" i="3"/>
  <c r="BQ53" i="3"/>
  <c r="BQ82" i="3"/>
  <c r="BQ41" i="3"/>
  <c r="BQ65" i="3"/>
  <c r="BQ81" i="3"/>
  <c r="BQ58" i="3"/>
  <c r="BQ54" i="3"/>
  <c r="BQ49" i="3"/>
  <c r="BQ96" i="3"/>
  <c r="BQ97" i="3"/>
  <c r="BQ80" i="3"/>
  <c r="BQ36" i="3"/>
  <c r="BQ44" i="3"/>
  <c r="BQ89" i="3"/>
  <c r="BQ45" i="3"/>
  <c r="BQ78" i="3"/>
  <c r="BR78" i="3" l="1"/>
  <c r="BR73" i="3"/>
  <c r="BR69" i="3"/>
  <c r="BR67" i="3"/>
  <c r="BR33" i="3"/>
  <c r="BR15" i="3"/>
  <c r="BR96" i="3"/>
  <c r="BR51" i="3"/>
  <c r="BR49" i="3"/>
  <c r="BR64" i="3"/>
  <c r="BR79" i="3"/>
  <c r="BR54" i="3"/>
  <c r="BR103" i="3"/>
  <c r="BR12" i="3"/>
  <c r="BR81" i="3"/>
  <c r="BR50" i="3"/>
  <c r="BR44" i="3"/>
  <c r="BR45" i="3"/>
  <c r="BR80" i="3"/>
  <c r="BR29" i="3"/>
  <c r="BR77" i="3"/>
  <c r="BR100" i="3"/>
  <c r="BR48" i="3"/>
  <c r="BR31" i="3"/>
  <c r="BR42" i="3"/>
  <c r="BR25" i="3"/>
  <c r="BR34" i="3"/>
  <c r="BR9" i="3"/>
  <c r="BR58" i="3"/>
  <c r="BR11" i="3"/>
  <c r="BR37" i="3"/>
  <c r="BR40" i="3"/>
  <c r="BR10" i="3"/>
  <c r="BR27" i="3"/>
  <c r="BR101" i="3"/>
  <c r="BR55" i="3"/>
  <c r="BR52" i="3"/>
  <c r="BR66" i="3"/>
  <c r="BR89" i="3"/>
  <c r="BR70" i="3"/>
  <c r="BR68" i="3"/>
  <c r="BR97" i="3"/>
  <c r="BR7" i="3"/>
  <c r="BR30" i="3"/>
  <c r="BR26" i="3"/>
  <c r="BR41" i="3"/>
  <c r="BR28" i="3"/>
  <c r="BR38" i="3"/>
  <c r="BR53" i="3"/>
  <c r="BR82" i="3"/>
  <c r="BR39" i="3"/>
  <c r="BS8" i="3"/>
  <c r="BR36" i="3"/>
  <c r="BR43" i="3"/>
  <c r="BR65" i="3"/>
  <c r="BS78" i="3" l="1"/>
  <c r="BS31" i="3"/>
  <c r="BS26" i="3"/>
  <c r="BS33" i="3"/>
  <c r="BS48" i="3"/>
  <c r="BS97" i="3"/>
  <c r="BS42" i="3"/>
  <c r="BS25" i="3"/>
  <c r="BS44" i="3"/>
  <c r="BS10" i="3"/>
  <c r="BS103" i="3"/>
  <c r="BS69" i="3"/>
  <c r="BS66" i="3"/>
  <c r="BS73" i="3"/>
  <c r="BS89" i="3"/>
  <c r="BT8" i="3"/>
  <c r="BS39" i="3"/>
  <c r="BS40" i="3"/>
  <c r="BS38" i="3"/>
  <c r="BS30" i="3"/>
  <c r="BS37" i="3"/>
  <c r="BS15" i="3"/>
  <c r="BS67" i="3"/>
  <c r="BS43" i="3"/>
  <c r="BS79" i="3"/>
  <c r="BS82" i="3"/>
  <c r="BS68" i="3"/>
  <c r="BS100" i="3"/>
  <c r="BS41" i="3"/>
  <c r="BS29" i="3"/>
  <c r="BS96" i="3"/>
  <c r="BS65" i="3"/>
  <c r="BS58" i="3"/>
  <c r="BS80" i="3"/>
  <c r="BS9" i="3"/>
  <c r="BS27" i="3"/>
  <c r="BS49" i="3"/>
  <c r="BS52" i="3"/>
  <c r="BS7" i="3"/>
  <c r="BS36" i="3"/>
  <c r="BS12" i="3"/>
  <c r="BS81" i="3"/>
  <c r="BS34" i="3"/>
  <c r="BS28" i="3"/>
  <c r="BS77" i="3"/>
  <c r="BS64" i="3"/>
  <c r="BS54" i="3"/>
  <c r="BS55" i="3"/>
  <c r="BS51" i="3"/>
  <c r="BS70" i="3"/>
  <c r="BS11" i="3"/>
  <c r="BS50" i="3"/>
  <c r="BS45" i="3"/>
  <c r="BS53" i="3"/>
  <c r="BS101" i="3"/>
  <c r="BT65" i="3" l="1"/>
  <c r="BT79" i="3"/>
  <c r="BU8" i="3"/>
  <c r="BT27" i="3"/>
  <c r="BT49" i="3"/>
  <c r="BT34" i="3"/>
  <c r="BT81" i="3"/>
  <c r="BT7" i="3"/>
  <c r="BT50" i="3"/>
  <c r="BT53" i="3"/>
  <c r="BT101" i="3"/>
  <c r="BT36" i="3"/>
  <c r="BT25" i="3"/>
  <c r="BT52" i="3"/>
  <c r="BT96" i="3"/>
  <c r="BT26" i="3"/>
  <c r="BT44" i="3"/>
  <c r="BT70" i="3"/>
  <c r="BT30" i="3"/>
  <c r="BT10" i="3"/>
  <c r="BT15" i="3"/>
  <c r="BT40" i="3"/>
  <c r="BT51" i="3"/>
  <c r="BT97" i="3"/>
  <c r="BT80" i="3"/>
  <c r="BT41" i="3"/>
  <c r="BT45" i="3"/>
  <c r="BT9" i="3"/>
  <c r="BT11" i="3"/>
  <c r="BT43" i="3"/>
  <c r="BT69" i="3"/>
  <c r="BT55" i="3"/>
  <c r="BT12" i="3"/>
  <c r="BT77" i="3"/>
  <c r="BT33" i="3"/>
  <c r="BT38" i="3"/>
  <c r="BT68" i="3"/>
  <c r="BT103" i="3"/>
  <c r="BT31" i="3"/>
  <c r="BT67" i="3"/>
  <c r="BT48" i="3"/>
  <c r="BT39" i="3"/>
  <c r="BT42" i="3"/>
  <c r="BT28" i="3"/>
  <c r="BT78" i="3"/>
  <c r="BT89" i="3"/>
  <c r="BT66" i="3"/>
  <c r="BT100" i="3"/>
  <c r="BT82" i="3"/>
  <c r="BT29" i="3"/>
  <c r="BT37" i="3"/>
  <c r="BT73" i="3"/>
  <c r="BT64" i="3"/>
  <c r="BT58" i="3"/>
  <c r="BT54" i="3"/>
  <c r="BU54" i="3" l="1"/>
  <c r="BU80" i="3"/>
  <c r="BU68" i="3"/>
  <c r="BU97" i="3"/>
  <c r="BU34" i="3"/>
  <c r="BU49" i="3"/>
  <c r="BU70" i="3"/>
  <c r="BU53" i="3"/>
  <c r="BU51" i="3"/>
  <c r="BU77" i="3"/>
  <c r="BU36" i="3"/>
  <c r="BU40" i="3"/>
  <c r="BU26" i="3"/>
  <c r="BU45" i="3"/>
  <c r="BU43" i="3"/>
  <c r="BU73" i="3"/>
  <c r="BU96" i="3"/>
  <c r="BU27" i="3"/>
  <c r="BU48" i="3"/>
  <c r="BU12" i="3"/>
  <c r="BU33" i="3"/>
  <c r="BU37" i="3"/>
  <c r="BU41" i="3"/>
  <c r="BU58" i="3"/>
  <c r="BU66" i="3"/>
  <c r="BU44" i="3"/>
  <c r="BU30" i="3"/>
  <c r="BU7" i="3"/>
  <c r="BU29" i="3"/>
  <c r="BU15" i="3"/>
  <c r="BU38" i="3"/>
  <c r="BU78" i="3"/>
  <c r="BU81" i="3"/>
  <c r="BU100" i="3"/>
  <c r="BU79" i="3"/>
  <c r="BV8" i="3"/>
  <c r="BU89" i="3"/>
  <c r="BU10" i="3"/>
  <c r="BU25" i="3"/>
  <c r="BU31" i="3"/>
  <c r="BU64" i="3"/>
  <c r="BU67" i="3"/>
  <c r="BU101" i="3"/>
  <c r="BU28" i="3"/>
  <c r="BU9" i="3"/>
  <c r="BU11" i="3"/>
  <c r="BU39" i="3"/>
  <c r="BU65" i="3"/>
  <c r="BU55" i="3"/>
  <c r="BU52" i="3"/>
  <c r="BU50" i="3"/>
  <c r="BU103" i="3"/>
  <c r="BU69" i="3"/>
  <c r="BU82" i="3"/>
  <c r="BU42" i="3"/>
  <c r="BV51" i="3" l="1"/>
  <c r="BV80" i="3"/>
  <c r="BW8" i="3"/>
  <c r="BV11" i="3"/>
  <c r="BV69" i="3"/>
  <c r="BV50" i="3"/>
  <c r="BV96" i="3"/>
  <c r="BV58" i="3"/>
  <c r="BV45" i="3"/>
  <c r="BV55" i="3"/>
  <c r="BV100" i="3"/>
  <c r="BV82" i="3"/>
  <c r="BV103" i="3"/>
  <c r="BV42" i="3"/>
  <c r="BV30" i="3"/>
  <c r="BV49" i="3"/>
  <c r="BV54" i="3"/>
  <c r="BV34" i="3"/>
  <c r="BV53" i="3"/>
  <c r="BV73" i="3"/>
  <c r="BV78" i="3"/>
  <c r="BV40" i="3"/>
  <c r="BV33" i="3"/>
  <c r="BV97" i="3"/>
  <c r="BV38" i="3"/>
  <c r="BV15" i="3"/>
  <c r="BV37" i="3"/>
  <c r="BV48" i="3"/>
  <c r="BV43" i="3"/>
  <c r="BV65" i="3"/>
  <c r="BV29" i="3"/>
  <c r="BV101" i="3"/>
  <c r="BV39" i="3"/>
  <c r="BV67" i="3"/>
  <c r="BV27" i="3"/>
  <c r="BV12" i="3"/>
  <c r="BV10" i="3"/>
  <c r="BV89" i="3"/>
  <c r="BV26" i="3"/>
  <c r="BV7" i="3"/>
  <c r="BV52" i="3"/>
  <c r="BV9" i="3"/>
  <c r="BV25" i="3"/>
  <c r="BV44" i="3"/>
  <c r="BV41" i="3"/>
  <c r="BV70" i="3"/>
  <c r="BV79" i="3"/>
  <c r="BV81" i="3"/>
  <c r="BV64" i="3"/>
  <c r="BV36" i="3"/>
  <c r="BV31" i="3"/>
  <c r="BV28" i="3"/>
  <c r="BV68" i="3"/>
  <c r="BV66" i="3"/>
  <c r="BV77" i="3"/>
  <c r="BW82" i="3" l="1"/>
  <c r="BW103" i="3"/>
  <c r="BW15" i="3"/>
  <c r="BW49" i="3"/>
  <c r="BW79" i="3"/>
  <c r="BW55" i="3"/>
  <c r="BW51" i="3"/>
  <c r="BW67" i="3"/>
  <c r="BW39" i="3"/>
  <c r="BW34" i="3"/>
  <c r="BW50" i="3"/>
  <c r="BW70" i="3"/>
  <c r="BW7" i="3"/>
  <c r="BW41" i="3"/>
  <c r="BW73" i="3"/>
  <c r="BW53" i="3"/>
  <c r="BW64" i="3"/>
  <c r="BW52" i="3"/>
  <c r="BW100" i="3"/>
  <c r="BW12" i="3"/>
  <c r="BW45" i="3"/>
  <c r="BW30" i="3"/>
  <c r="BW44" i="3"/>
  <c r="BW66" i="3"/>
  <c r="BX8" i="3"/>
  <c r="BW37" i="3"/>
  <c r="BW48" i="3"/>
  <c r="BW33" i="3"/>
  <c r="BW58" i="3"/>
  <c r="BW80" i="3"/>
  <c r="BW9" i="3"/>
  <c r="BW40" i="3"/>
  <c r="BW29" i="3"/>
  <c r="BW77" i="3"/>
  <c r="BW28" i="3"/>
  <c r="BW42" i="3"/>
  <c r="BW54" i="3"/>
  <c r="BW27" i="3"/>
  <c r="BW38" i="3"/>
  <c r="BW26" i="3"/>
  <c r="BW68" i="3"/>
  <c r="BW101" i="3"/>
  <c r="BW31" i="3"/>
  <c r="BW96" i="3"/>
  <c r="BW10" i="3"/>
  <c r="BW81" i="3"/>
  <c r="BW89" i="3"/>
  <c r="BW11" i="3"/>
  <c r="BW97" i="3"/>
  <c r="BW78" i="3"/>
  <c r="BW65" i="3"/>
  <c r="BW43" i="3"/>
  <c r="BW69" i="3"/>
  <c r="BW36" i="3"/>
  <c r="BW25" i="3"/>
  <c r="BX54" i="3" l="1"/>
  <c r="BX101" i="3"/>
  <c r="BX48" i="3"/>
  <c r="BX41" i="3"/>
  <c r="BX40" i="3"/>
  <c r="BX82" i="3"/>
  <c r="BX39" i="3"/>
  <c r="BX50" i="3"/>
  <c r="BX70" i="3"/>
  <c r="BX38" i="3"/>
  <c r="BX66" i="3"/>
  <c r="BX29" i="3"/>
  <c r="BX36" i="3"/>
  <c r="BX49" i="3"/>
  <c r="BX11" i="3"/>
  <c r="BX97" i="3"/>
  <c r="BX69" i="3"/>
  <c r="BX64" i="3"/>
  <c r="BY8" i="3"/>
  <c r="BX51" i="3"/>
  <c r="BX81" i="3"/>
  <c r="BX9" i="3"/>
  <c r="BX96" i="3"/>
  <c r="BX55" i="3"/>
  <c r="BX34" i="3"/>
  <c r="BX73" i="3"/>
  <c r="BX65" i="3"/>
  <c r="BX30" i="3"/>
  <c r="BX45" i="3"/>
  <c r="BX103" i="3"/>
  <c r="BX12" i="3"/>
  <c r="BX43" i="3"/>
  <c r="BX79" i="3"/>
  <c r="BX80" i="3"/>
  <c r="BX42" i="3"/>
  <c r="BX77" i="3"/>
  <c r="BX7" i="3"/>
  <c r="BX31" i="3"/>
  <c r="BX52" i="3"/>
  <c r="BX28" i="3"/>
  <c r="BX25" i="3"/>
  <c r="BX15" i="3"/>
  <c r="BX44" i="3"/>
  <c r="BX100" i="3"/>
  <c r="BX26" i="3"/>
  <c r="BX67" i="3"/>
  <c r="BX89" i="3"/>
  <c r="BX37" i="3"/>
  <c r="BX78" i="3"/>
  <c r="BX27" i="3"/>
  <c r="BX33" i="3"/>
  <c r="BX68" i="3"/>
  <c r="BX58" i="3"/>
  <c r="BX10" i="3"/>
  <c r="BX53" i="3"/>
  <c r="BY67" i="3" l="1"/>
  <c r="BY58" i="3"/>
  <c r="BY80" i="3"/>
  <c r="BY15" i="3"/>
  <c r="BY70" i="3"/>
  <c r="BY44" i="3"/>
  <c r="BY81" i="3"/>
  <c r="BY96" i="3"/>
  <c r="BY41" i="3"/>
  <c r="BY73" i="3"/>
  <c r="BY45" i="3"/>
  <c r="BY25" i="3"/>
  <c r="BY36" i="3"/>
  <c r="BY82" i="3"/>
  <c r="BY12" i="3"/>
  <c r="BY53" i="3"/>
  <c r="BY77" i="3"/>
  <c r="BY42" i="3"/>
  <c r="BY64" i="3"/>
  <c r="BY7" i="3"/>
  <c r="BY10" i="3"/>
  <c r="BY69" i="3"/>
  <c r="BY38" i="3"/>
  <c r="BY9" i="3"/>
  <c r="BY43" i="3"/>
  <c r="BZ8" i="3"/>
  <c r="BY37" i="3"/>
  <c r="BY48" i="3"/>
  <c r="BY27" i="3"/>
  <c r="BY101" i="3"/>
  <c r="BY78" i="3"/>
  <c r="BY26" i="3"/>
  <c r="BY11" i="3"/>
  <c r="BY28" i="3"/>
  <c r="BY51" i="3"/>
  <c r="BY100" i="3"/>
  <c r="BY39" i="3"/>
  <c r="BY33" i="3"/>
  <c r="BY30" i="3"/>
  <c r="BY50" i="3"/>
  <c r="BY66" i="3"/>
  <c r="BY52" i="3"/>
  <c r="BY89" i="3"/>
  <c r="BY55" i="3"/>
  <c r="BY40" i="3"/>
  <c r="BY34" i="3"/>
  <c r="BY68" i="3"/>
  <c r="BY31" i="3"/>
  <c r="BY65" i="3"/>
  <c r="BY54" i="3"/>
  <c r="BY103" i="3"/>
  <c r="BY49" i="3"/>
  <c r="BY97" i="3"/>
  <c r="BY79" i="3"/>
  <c r="BY29" i="3"/>
  <c r="BZ73" i="3" l="1"/>
  <c r="BZ50" i="3"/>
  <c r="BZ79" i="3"/>
  <c r="BZ29" i="3"/>
  <c r="BZ97" i="3"/>
  <c r="BZ40" i="3"/>
  <c r="BZ53" i="3"/>
  <c r="BZ81" i="3"/>
  <c r="BZ64" i="3"/>
  <c r="BZ45" i="3"/>
  <c r="BZ41" i="3"/>
  <c r="BZ7" i="3"/>
  <c r="BZ42" i="3"/>
  <c r="BZ68" i="3"/>
  <c r="BZ11" i="3"/>
  <c r="BZ43" i="3"/>
  <c r="BZ27" i="3"/>
  <c r="BZ54" i="3"/>
  <c r="BZ25" i="3"/>
  <c r="BZ103" i="3"/>
  <c r="BZ12" i="3"/>
  <c r="BZ82" i="3"/>
  <c r="BZ31" i="3"/>
  <c r="BZ26" i="3"/>
  <c r="BZ65" i="3"/>
  <c r="BZ28" i="3"/>
  <c r="BZ70" i="3"/>
  <c r="BZ15" i="3"/>
  <c r="BZ9" i="3"/>
  <c r="BZ44" i="3"/>
  <c r="BZ69" i="3"/>
  <c r="BZ58" i="3"/>
  <c r="BZ51" i="3"/>
  <c r="BZ100" i="3"/>
  <c r="BZ80" i="3"/>
  <c r="BZ30" i="3"/>
  <c r="BZ49" i="3"/>
  <c r="BZ66" i="3"/>
  <c r="BZ10" i="3"/>
  <c r="BZ39" i="3"/>
  <c r="BZ48" i="3"/>
  <c r="BZ96" i="3"/>
  <c r="CA8" i="3"/>
  <c r="BZ78" i="3"/>
  <c r="BZ55" i="3"/>
  <c r="BZ37" i="3"/>
  <c r="BZ77" i="3"/>
  <c r="BZ89" i="3"/>
  <c r="BZ34" i="3"/>
  <c r="BZ38" i="3"/>
  <c r="BZ101" i="3"/>
  <c r="BZ36" i="3"/>
  <c r="BZ33" i="3"/>
  <c r="BZ52" i="3"/>
  <c r="BZ67" i="3"/>
  <c r="CA66" i="3" l="1"/>
  <c r="CA12" i="3"/>
  <c r="CA37" i="3"/>
  <c r="CA79" i="3"/>
  <c r="CA29" i="3"/>
  <c r="CA89" i="3"/>
  <c r="CA15" i="3"/>
  <c r="CA40" i="3"/>
  <c r="CA52" i="3"/>
  <c r="CA77" i="3"/>
  <c r="CA27" i="3"/>
  <c r="CA49" i="3"/>
  <c r="CA78" i="3"/>
  <c r="CA26" i="3"/>
  <c r="CA53" i="3"/>
  <c r="CA38" i="3"/>
  <c r="CA10" i="3"/>
  <c r="CA58" i="3"/>
  <c r="CA34" i="3"/>
  <c r="CA103" i="3"/>
  <c r="CA7" i="3"/>
  <c r="CA39" i="3"/>
  <c r="CA70" i="3"/>
  <c r="CA65" i="3"/>
  <c r="CA44" i="3"/>
  <c r="CA48" i="3"/>
  <c r="CA64" i="3"/>
  <c r="CA33" i="3"/>
  <c r="CA45" i="3"/>
  <c r="CA41" i="3"/>
  <c r="CA97" i="3"/>
  <c r="CA25" i="3"/>
  <c r="CA9" i="3"/>
  <c r="CA81" i="3"/>
  <c r="CA43" i="3"/>
  <c r="CA80" i="3"/>
  <c r="CA82" i="3"/>
  <c r="CA28" i="3"/>
  <c r="CA96" i="3"/>
  <c r="CA36" i="3"/>
  <c r="CA69" i="3"/>
  <c r="CA42" i="3"/>
  <c r="CA101" i="3"/>
  <c r="CA31" i="3"/>
  <c r="CA54" i="3"/>
  <c r="CA50" i="3"/>
  <c r="CA30" i="3"/>
  <c r="CA67" i="3"/>
  <c r="CA55" i="3"/>
  <c r="CA73" i="3"/>
  <c r="CA100" i="3"/>
  <c r="CA11" i="3"/>
  <c r="CA51" i="3"/>
  <c r="CB8" i="3"/>
  <c r="CA68" i="3"/>
  <c r="CB78" i="3" l="1"/>
  <c r="CB31" i="3"/>
  <c r="CB77" i="3"/>
  <c r="CB34" i="3"/>
  <c r="CB40" i="3"/>
  <c r="CB11" i="3"/>
  <c r="CB64" i="3"/>
  <c r="CB70" i="3"/>
  <c r="CB67" i="3"/>
  <c r="CB82" i="3"/>
  <c r="CB41" i="3"/>
  <c r="CB26" i="3"/>
  <c r="CB25" i="3"/>
  <c r="CB48" i="3"/>
  <c r="CB42" i="3"/>
  <c r="CB81" i="3"/>
  <c r="CB73" i="3"/>
  <c r="CB45" i="3"/>
  <c r="CB54" i="3"/>
  <c r="CB29" i="3"/>
  <c r="CB43" i="3"/>
  <c r="CC8" i="3"/>
  <c r="CB80" i="3"/>
  <c r="CB55" i="3"/>
  <c r="CB39" i="3"/>
  <c r="CB9" i="3"/>
  <c r="CB100" i="3"/>
  <c r="CB12" i="3"/>
  <c r="CB69" i="3"/>
  <c r="CB33" i="3"/>
  <c r="CB38" i="3"/>
  <c r="CB37" i="3"/>
  <c r="CB30" i="3"/>
  <c r="CB51" i="3"/>
  <c r="CB65" i="3"/>
  <c r="CB66" i="3"/>
  <c r="CB103" i="3"/>
  <c r="CB27" i="3"/>
  <c r="CB28" i="3"/>
  <c r="CB52" i="3"/>
  <c r="CB44" i="3"/>
  <c r="CB50" i="3"/>
  <c r="CB15" i="3"/>
  <c r="CB97" i="3"/>
  <c r="CB53" i="3"/>
  <c r="CB36" i="3"/>
  <c r="CB101" i="3"/>
  <c r="CB68" i="3"/>
  <c r="CB89" i="3"/>
  <c r="CB96" i="3"/>
  <c r="CB79" i="3"/>
  <c r="CB10" i="3"/>
  <c r="CB58" i="3"/>
  <c r="CB49" i="3"/>
  <c r="CB7" i="3"/>
  <c r="CC58" i="3" l="1"/>
  <c r="CC34" i="3"/>
  <c r="CC52" i="3"/>
  <c r="CC70" i="3"/>
  <c r="CC42" i="3"/>
  <c r="CC101" i="3"/>
  <c r="CC7" i="3"/>
  <c r="CC89" i="3"/>
  <c r="CC73" i="3"/>
  <c r="CD8" i="3"/>
  <c r="CC27" i="3"/>
  <c r="CC55" i="3"/>
  <c r="CC97" i="3"/>
  <c r="CC38" i="3"/>
  <c r="CC77" i="3"/>
  <c r="CC69" i="3"/>
  <c r="CC41" i="3"/>
  <c r="CC37" i="3"/>
  <c r="CC45" i="3"/>
  <c r="CC81" i="3"/>
  <c r="CC33" i="3"/>
  <c r="CC39" i="3"/>
  <c r="CC65" i="3"/>
  <c r="CC31" i="3"/>
  <c r="CC28" i="3"/>
  <c r="CC53" i="3"/>
  <c r="CC96" i="3"/>
  <c r="CC11" i="3"/>
  <c r="CC49" i="3"/>
  <c r="CC100" i="3"/>
  <c r="CC48" i="3"/>
  <c r="CC103" i="3"/>
  <c r="CC43" i="3"/>
  <c r="CC66" i="3"/>
  <c r="CC30" i="3"/>
  <c r="CC50" i="3"/>
  <c r="CC80" i="3"/>
  <c r="CC12" i="3"/>
  <c r="CC36" i="3"/>
  <c r="CC25" i="3"/>
  <c r="CC51" i="3"/>
  <c r="CC68" i="3"/>
  <c r="CC10" i="3"/>
  <c r="CC40" i="3"/>
  <c r="CC26" i="3"/>
  <c r="CC54" i="3"/>
  <c r="CC82" i="3"/>
  <c r="CC79" i="3"/>
  <c r="CC64" i="3"/>
  <c r="CC67" i="3"/>
  <c r="CC9" i="3"/>
  <c r="CC44" i="3"/>
  <c r="CC78" i="3"/>
  <c r="CC15" i="3"/>
  <c r="CC29" i="3"/>
  <c r="CD52" i="3" l="1"/>
  <c r="CD103" i="3"/>
  <c r="CD78" i="3"/>
  <c r="CD89" i="3"/>
  <c r="CD30" i="3"/>
  <c r="CD31" i="3"/>
  <c r="CD45" i="3"/>
  <c r="CD73" i="3"/>
  <c r="CD40" i="3"/>
  <c r="CD29" i="3"/>
  <c r="CD55" i="3"/>
  <c r="CD44" i="3"/>
  <c r="CD70" i="3"/>
  <c r="CD53" i="3"/>
  <c r="CD50" i="3"/>
  <c r="CD100" i="3"/>
  <c r="CD10" i="3"/>
  <c r="CD68" i="3"/>
  <c r="CD7" i="3"/>
  <c r="CD66" i="3"/>
  <c r="CD64" i="3"/>
  <c r="CD41" i="3"/>
  <c r="CD26" i="3"/>
  <c r="CD9" i="3"/>
  <c r="CD12" i="3"/>
  <c r="CD38" i="3"/>
  <c r="CD77" i="3"/>
  <c r="CD96" i="3"/>
  <c r="CD37" i="3"/>
  <c r="CD11" i="3"/>
  <c r="CD27" i="3"/>
  <c r="CD69" i="3"/>
  <c r="CD33" i="3"/>
  <c r="CD36" i="3"/>
  <c r="CD79" i="3"/>
  <c r="CD34" i="3"/>
  <c r="CD82" i="3"/>
  <c r="CD65" i="3"/>
  <c r="CD51" i="3"/>
  <c r="CD101" i="3"/>
  <c r="CD15" i="3"/>
  <c r="CD49" i="3"/>
  <c r="CD81" i="3"/>
  <c r="CD54" i="3"/>
  <c r="CD25" i="3"/>
  <c r="CD67" i="3"/>
  <c r="CD97" i="3"/>
  <c r="CD42" i="3"/>
  <c r="CD48" i="3"/>
  <c r="CD80" i="3"/>
  <c r="CD43" i="3"/>
  <c r="CD39" i="3"/>
  <c r="CD58" i="3"/>
  <c r="CE8" i="3"/>
  <c r="CD28" i="3"/>
  <c r="CE67" i="3" l="1"/>
  <c r="CE97" i="3"/>
  <c r="CE101" i="3"/>
  <c r="CE37" i="3"/>
  <c r="CE77" i="3"/>
  <c r="CE33" i="3"/>
  <c r="CE26" i="3"/>
  <c r="CE15" i="3"/>
  <c r="CE64" i="3"/>
  <c r="CE58" i="3"/>
  <c r="CE54" i="3"/>
  <c r="CE11" i="3"/>
  <c r="CE28" i="3"/>
  <c r="CE96" i="3"/>
  <c r="CE48" i="3"/>
  <c r="CE41" i="3"/>
  <c r="CE82" i="3"/>
  <c r="CE81" i="3"/>
  <c r="CE30" i="3"/>
  <c r="CF8" i="3"/>
  <c r="CE7" i="3"/>
  <c r="CE79" i="3"/>
  <c r="CE40" i="3"/>
  <c r="CE52" i="3"/>
  <c r="CE44" i="3"/>
  <c r="CE49" i="3"/>
  <c r="CE100" i="3"/>
  <c r="CE78" i="3"/>
  <c r="CE12" i="3"/>
  <c r="CE36" i="3"/>
  <c r="CE53" i="3"/>
  <c r="CE68" i="3"/>
  <c r="CE42" i="3"/>
  <c r="CE65" i="3"/>
  <c r="CE27" i="3"/>
  <c r="CE38" i="3"/>
  <c r="CE45" i="3"/>
  <c r="CE70" i="3"/>
  <c r="CE103" i="3"/>
  <c r="CE29" i="3"/>
  <c r="CE43" i="3"/>
  <c r="CE31" i="3"/>
  <c r="CE10" i="3"/>
  <c r="CE80" i="3"/>
  <c r="CE25" i="3"/>
  <c r="CE89" i="3"/>
  <c r="CE69" i="3"/>
  <c r="CE9" i="3"/>
  <c r="CE73" i="3"/>
  <c r="CE34" i="3"/>
  <c r="CE55" i="3"/>
  <c r="CE39" i="3"/>
  <c r="CE50" i="3"/>
  <c r="CE51" i="3"/>
  <c r="CE66" i="3"/>
  <c r="CF79" i="3" l="1"/>
  <c r="CF48" i="3"/>
  <c r="CF30" i="3"/>
  <c r="CF70" i="3"/>
  <c r="CF54" i="3"/>
  <c r="CF39" i="3"/>
  <c r="CF101" i="3"/>
  <c r="CF64" i="3"/>
  <c r="CF82" i="3"/>
  <c r="CF40" i="3"/>
  <c r="CF58" i="3"/>
  <c r="CF34" i="3"/>
  <c r="CF33" i="3"/>
  <c r="CF55" i="3"/>
  <c r="CF37" i="3"/>
  <c r="CF53" i="3"/>
  <c r="CF26" i="3"/>
  <c r="CF28" i="3"/>
  <c r="CF52" i="3"/>
  <c r="CF103" i="3"/>
  <c r="CF77" i="3"/>
  <c r="CF66" i="3"/>
  <c r="CF49" i="3"/>
  <c r="CF96" i="3"/>
  <c r="CF80" i="3"/>
  <c r="CF69" i="3"/>
  <c r="CF11" i="3"/>
  <c r="CF31" i="3"/>
  <c r="CF50" i="3"/>
  <c r="CF29" i="3"/>
  <c r="CF78" i="3"/>
  <c r="CF9" i="3"/>
  <c r="CF67" i="3"/>
  <c r="CF27" i="3"/>
  <c r="CF97" i="3"/>
  <c r="CG8" i="3"/>
  <c r="CF41" i="3"/>
  <c r="CF68" i="3"/>
  <c r="CF7" i="3"/>
  <c r="CF73" i="3"/>
  <c r="CF12" i="3"/>
  <c r="CF38" i="3"/>
  <c r="CF15" i="3"/>
  <c r="CF36" i="3"/>
  <c r="CF51" i="3"/>
  <c r="CF45" i="3"/>
  <c r="CF25" i="3"/>
  <c r="CF43" i="3"/>
  <c r="CF100" i="3"/>
  <c r="CF42" i="3"/>
  <c r="CF89" i="3"/>
  <c r="CF10" i="3"/>
  <c r="CF44" i="3"/>
  <c r="CF65" i="3"/>
  <c r="CF81" i="3"/>
  <c r="CG77" i="3" l="1"/>
  <c r="CG34" i="3"/>
  <c r="CG15" i="3"/>
  <c r="CG68" i="3"/>
  <c r="CG9" i="3"/>
  <c r="CG25" i="3"/>
  <c r="CG28" i="3"/>
  <c r="CG50" i="3"/>
  <c r="CG81" i="3"/>
  <c r="CG7" i="3"/>
  <c r="CG51" i="3"/>
  <c r="CG65" i="3"/>
  <c r="CG97" i="3"/>
  <c r="CG37" i="3"/>
  <c r="CG53" i="3"/>
  <c r="CG29" i="3"/>
  <c r="CG38" i="3"/>
  <c r="CG33" i="3"/>
  <c r="CG44" i="3"/>
  <c r="CG11" i="3"/>
  <c r="CG42" i="3"/>
  <c r="CG79" i="3"/>
  <c r="CG69" i="3"/>
  <c r="CG64" i="3"/>
  <c r="CH8" i="3"/>
  <c r="CG26" i="3"/>
  <c r="CG96" i="3"/>
  <c r="CG27" i="3"/>
  <c r="CG30" i="3"/>
  <c r="CG78" i="3"/>
  <c r="CG55" i="3"/>
  <c r="CG36" i="3"/>
  <c r="CG12" i="3"/>
  <c r="CG43" i="3"/>
  <c r="CG82" i="3"/>
  <c r="CG31" i="3"/>
  <c r="CG40" i="3"/>
  <c r="CG73" i="3"/>
  <c r="CG100" i="3"/>
  <c r="CG52" i="3"/>
  <c r="CG70" i="3"/>
  <c r="CG80" i="3"/>
  <c r="CG54" i="3"/>
  <c r="CG49" i="3"/>
  <c r="CG67" i="3"/>
  <c r="CG48" i="3"/>
  <c r="CG10" i="3"/>
  <c r="CG89" i="3"/>
  <c r="CG101" i="3"/>
  <c r="CG45" i="3"/>
  <c r="CG41" i="3"/>
  <c r="CG103" i="3"/>
  <c r="CG66" i="3"/>
  <c r="CG39" i="3"/>
  <c r="CG58" i="3"/>
  <c r="CH68" i="3" l="1"/>
  <c r="CH55" i="3"/>
  <c r="CH51" i="3"/>
  <c r="CH78" i="3"/>
  <c r="CH43" i="3"/>
  <c r="CH66" i="3"/>
  <c r="CH54" i="3"/>
  <c r="CH79" i="3"/>
  <c r="CH69" i="3"/>
  <c r="CH34" i="3"/>
  <c r="CH30" i="3"/>
  <c r="CH53" i="3"/>
  <c r="CH33" i="3"/>
  <c r="CH73" i="3"/>
  <c r="CH7" i="3"/>
  <c r="CH70" i="3"/>
  <c r="CH89" i="3"/>
  <c r="CH50" i="3"/>
  <c r="CH48" i="3"/>
  <c r="CH39" i="3"/>
  <c r="CH82" i="3"/>
  <c r="CH9" i="3"/>
  <c r="CH28" i="3"/>
  <c r="CH42" i="3"/>
  <c r="CH26" i="3"/>
  <c r="CH52" i="3"/>
  <c r="CH44" i="3"/>
  <c r="CH64" i="3"/>
  <c r="CH100" i="3"/>
  <c r="CH67" i="3"/>
  <c r="CH10" i="3"/>
  <c r="CH80" i="3"/>
  <c r="CH81" i="3"/>
  <c r="CH12" i="3"/>
  <c r="CH37" i="3"/>
  <c r="CH36" i="3"/>
  <c r="CH97" i="3"/>
  <c r="CH40" i="3"/>
  <c r="CH11" i="3"/>
  <c r="CH45" i="3"/>
  <c r="CH27" i="3"/>
  <c r="CH29" i="3"/>
  <c r="CH65" i="3"/>
  <c r="CH103" i="3"/>
  <c r="CH31" i="3"/>
  <c r="CH58" i="3"/>
  <c r="CH49" i="3"/>
  <c r="CH41" i="3"/>
  <c r="CH96" i="3"/>
  <c r="CI8" i="3"/>
  <c r="CH38" i="3"/>
  <c r="CH77" i="3"/>
  <c r="CH25" i="3"/>
  <c r="CH15" i="3"/>
  <c r="CH101" i="3"/>
  <c r="CI70" i="3" l="1"/>
  <c r="CI26" i="3"/>
  <c r="CI45" i="3"/>
  <c r="CI54" i="3"/>
  <c r="CI50" i="3"/>
  <c r="CI73" i="3"/>
  <c r="CI80" i="3"/>
  <c r="CI51" i="3"/>
  <c r="CI12" i="3"/>
  <c r="CI68" i="3"/>
  <c r="CI43" i="3"/>
  <c r="CI77" i="3"/>
  <c r="CI25" i="3"/>
  <c r="CI33" i="3"/>
  <c r="CI101" i="3"/>
  <c r="CI49" i="3"/>
  <c r="CI7" i="3"/>
  <c r="CI44" i="3"/>
  <c r="CI65" i="3"/>
  <c r="CI103" i="3"/>
  <c r="CI11" i="3"/>
  <c r="CI39" i="3"/>
  <c r="CI67" i="3"/>
  <c r="CI10" i="3"/>
  <c r="CI38" i="3"/>
  <c r="CI79" i="3"/>
  <c r="CJ8" i="3"/>
  <c r="CI29" i="3"/>
  <c r="CI100" i="3"/>
  <c r="CI15" i="3"/>
  <c r="CI48" i="3"/>
  <c r="CI58" i="3"/>
  <c r="CI52" i="3"/>
  <c r="CI82" i="3"/>
  <c r="CI66" i="3"/>
  <c r="CI36" i="3"/>
  <c r="CI34" i="3"/>
  <c r="CI31" i="3"/>
  <c r="CI81" i="3"/>
  <c r="CI27" i="3"/>
  <c r="CI53" i="3"/>
  <c r="CI42" i="3"/>
  <c r="CI28" i="3"/>
  <c r="CI69" i="3"/>
  <c r="CI40" i="3"/>
  <c r="CI89" i="3"/>
  <c r="CI30" i="3"/>
  <c r="CI78" i="3"/>
  <c r="CI9" i="3"/>
  <c r="CI37" i="3"/>
  <c r="CI64" i="3"/>
  <c r="CI97" i="3"/>
  <c r="CI96" i="3"/>
  <c r="CI55" i="3"/>
  <c r="CI41" i="3"/>
  <c r="CJ68" i="3" l="1"/>
  <c r="CJ41" i="3"/>
  <c r="CJ101" i="3"/>
  <c r="CJ7" i="3"/>
  <c r="CJ65" i="3"/>
  <c r="CJ45" i="3"/>
  <c r="CJ37" i="3"/>
  <c r="CJ58" i="3"/>
  <c r="CJ49" i="3"/>
  <c r="CJ78" i="3"/>
  <c r="CJ73" i="3"/>
  <c r="CJ70" i="3"/>
  <c r="CJ43" i="3"/>
  <c r="CJ36" i="3"/>
  <c r="CJ89" i="3"/>
  <c r="CJ82" i="3"/>
  <c r="CJ30" i="3"/>
  <c r="CJ54" i="3"/>
  <c r="CJ64" i="3"/>
  <c r="CJ52" i="3"/>
  <c r="CJ33" i="3"/>
  <c r="CJ55" i="3"/>
  <c r="CJ69" i="3"/>
  <c r="CK8" i="3"/>
  <c r="CJ11" i="3"/>
  <c r="CJ9" i="3"/>
  <c r="CJ26" i="3"/>
  <c r="CJ34" i="3"/>
  <c r="CJ51" i="3"/>
  <c r="CJ97" i="3"/>
  <c r="CJ77" i="3"/>
  <c r="CJ100" i="3"/>
  <c r="CJ27" i="3"/>
  <c r="CJ53" i="3"/>
  <c r="CJ67" i="3"/>
  <c r="CJ103" i="3"/>
  <c r="CJ81" i="3"/>
  <c r="CJ12" i="3"/>
  <c r="CJ66" i="3"/>
  <c r="CJ31" i="3"/>
  <c r="CJ25" i="3"/>
  <c r="CJ96" i="3"/>
  <c r="CJ50" i="3"/>
  <c r="CJ10" i="3"/>
  <c r="CJ38" i="3"/>
  <c r="CJ39" i="3"/>
  <c r="CJ40" i="3"/>
  <c r="CJ80" i="3"/>
  <c r="CJ15" i="3"/>
  <c r="CJ28" i="3"/>
  <c r="CJ29" i="3"/>
  <c r="CJ79" i="3"/>
  <c r="CJ48" i="3"/>
  <c r="CJ44" i="3"/>
  <c r="CJ42" i="3"/>
  <c r="CK66" i="3" l="1"/>
  <c r="CK42" i="3"/>
  <c r="CK68" i="3"/>
  <c r="CK51" i="3"/>
  <c r="CK77" i="3"/>
  <c r="CK97" i="3"/>
  <c r="CK70" i="3"/>
  <c r="CK44" i="3"/>
  <c r="CK12" i="3"/>
  <c r="CK52" i="3"/>
  <c r="CK67" i="3"/>
  <c r="CK15" i="3"/>
  <c r="CK89" i="3"/>
  <c r="CK49" i="3"/>
  <c r="CK39" i="3"/>
  <c r="CK29" i="3"/>
  <c r="CK58" i="3"/>
  <c r="CK33" i="3"/>
  <c r="CK96" i="3"/>
  <c r="CK38" i="3"/>
  <c r="CK73" i="3"/>
  <c r="CK36" i="3"/>
  <c r="CK79" i="3"/>
  <c r="CK9" i="3"/>
  <c r="CK101" i="3"/>
  <c r="CK11" i="3"/>
  <c r="CK53" i="3"/>
  <c r="CK41" i="3"/>
  <c r="CK80" i="3"/>
  <c r="CK103" i="3"/>
  <c r="CK30" i="3"/>
  <c r="CK43" i="3"/>
  <c r="CK7" i="3"/>
  <c r="CK55" i="3"/>
  <c r="CK82" i="3"/>
  <c r="CK25" i="3"/>
  <c r="CK65" i="3"/>
  <c r="CK28" i="3"/>
  <c r="CK10" i="3"/>
  <c r="CK69" i="3"/>
  <c r="CK100" i="3"/>
  <c r="CK81" i="3"/>
  <c r="CK40" i="3"/>
  <c r="CK64" i="3"/>
  <c r="CK37" i="3"/>
  <c r="CK48" i="3"/>
  <c r="CK50" i="3"/>
  <c r="CK78" i="3"/>
  <c r="CK34" i="3"/>
  <c r="CK45" i="3"/>
  <c r="CL8" i="3"/>
  <c r="CK31" i="3"/>
  <c r="CK27" i="3"/>
  <c r="CK54" i="3"/>
  <c r="CK26" i="3"/>
  <c r="CL82" i="3" l="1"/>
  <c r="CL73" i="3"/>
  <c r="CL67" i="3"/>
  <c r="CL44" i="3"/>
  <c r="CL78" i="3"/>
  <c r="CL34" i="3"/>
  <c r="CL43" i="3"/>
  <c r="CL11" i="3"/>
  <c r="CL79" i="3"/>
  <c r="CL65" i="3"/>
  <c r="CL58" i="3"/>
  <c r="CL27" i="3"/>
  <c r="CL39" i="3"/>
  <c r="CL48" i="3"/>
  <c r="CL70" i="3"/>
  <c r="CL49" i="3"/>
  <c r="CL26" i="3"/>
  <c r="CL29" i="3"/>
  <c r="CL25" i="3"/>
  <c r="CL55" i="3"/>
  <c r="CL12" i="3"/>
  <c r="CL38" i="3"/>
  <c r="CL15" i="3"/>
  <c r="CL33" i="3"/>
  <c r="CL7" i="3"/>
  <c r="CL89" i="3"/>
  <c r="CL81" i="3"/>
  <c r="CL52" i="3"/>
  <c r="CM8" i="3"/>
  <c r="CL53" i="3"/>
  <c r="CL54" i="3"/>
  <c r="CL28" i="3"/>
  <c r="CL51" i="3"/>
  <c r="CL68" i="3"/>
  <c r="CL101" i="3"/>
  <c r="CL66" i="3"/>
  <c r="CL69" i="3"/>
  <c r="CL9" i="3"/>
  <c r="CL45" i="3"/>
  <c r="CL50" i="3"/>
  <c r="CL31" i="3"/>
  <c r="CL37" i="3"/>
  <c r="CL10" i="3"/>
  <c r="CL42" i="3"/>
  <c r="CL30" i="3"/>
  <c r="CL96" i="3"/>
  <c r="CL97" i="3"/>
  <c r="CL100" i="3"/>
  <c r="CL80" i="3"/>
  <c r="CL64" i="3"/>
  <c r="CL41" i="3"/>
  <c r="CL103" i="3"/>
  <c r="CL36" i="3"/>
  <c r="CL40" i="3"/>
  <c r="CL77" i="3"/>
  <c r="CM55" i="3" l="1"/>
  <c r="CM97" i="3"/>
  <c r="CM25" i="3"/>
  <c r="CM73" i="3"/>
  <c r="CM79" i="3"/>
  <c r="CM40" i="3"/>
  <c r="CM53" i="3"/>
  <c r="CM100" i="3"/>
  <c r="CM78" i="3"/>
  <c r="CM28" i="3"/>
  <c r="CM39" i="3"/>
  <c r="CM45" i="3"/>
  <c r="CM66" i="3"/>
  <c r="CM38" i="3"/>
  <c r="CM43" i="3"/>
  <c r="CM64" i="3"/>
  <c r="CM9" i="3"/>
  <c r="CM37" i="3"/>
  <c r="CM36" i="3"/>
  <c r="CM69" i="3"/>
  <c r="CM27" i="3"/>
  <c r="CM101" i="3"/>
  <c r="CM103" i="3"/>
  <c r="CM15" i="3"/>
  <c r="CM41" i="3"/>
  <c r="CM11" i="3"/>
  <c r="CM82" i="3"/>
  <c r="CM58" i="3"/>
  <c r="CM12" i="3"/>
  <c r="CM50" i="3"/>
  <c r="CM81" i="3"/>
  <c r="CM80" i="3"/>
  <c r="CM51" i="3"/>
  <c r="CM70" i="3"/>
  <c r="CM44" i="3"/>
  <c r="CM34" i="3"/>
  <c r="CM48" i="3"/>
  <c r="CM96" i="3"/>
  <c r="CM67" i="3"/>
  <c r="CM7" i="3"/>
  <c r="CM30" i="3"/>
  <c r="CM65" i="3"/>
  <c r="CN8" i="3"/>
  <c r="CM42" i="3"/>
  <c r="CM54" i="3"/>
  <c r="CM49" i="3"/>
  <c r="CM29" i="3"/>
  <c r="CM52" i="3"/>
  <c r="CM89" i="3"/>
  <c r="CM68" i="3"/>
  <c r="CM31" i="3"/>
  <c r="CM33" i="3"/>
  <c r="CM77" i="3"/>
  <c r="CM10" i="3"/>
  <c r="CM26" i="3"/>
  <c r="CN82" i="3" l="1"/>
  <c r="CN31" i="3"/>
  <c r="CN43" i="3"/>
  <c r="CN49" i="3"/>
  <c r="CN77" i="3"/>
  <c r="CN15" i="3"/>
  <c r="CN36" i="3"/>
  <c r="CN27" i="3"/>
  <c r="CN69" i="3"/>
  <c r="CN73" i="3"/>
  <c r="CN78" i="3"/>
  <c r="CN10" i="3"/>
  <c r="CN44" i="3"/>
  <c r="CN51" i="3"/>
  <c r="CN42" i="3"/>
  <c r="CN54" i="3"/>
  <c r="CN68" i="3"/>
  <c r="CN81" i="3"/>
  <c r="CN101" i="3"/>
  <c r="CN29" i="3"/>
  <c r="CN7" i="3"/>
  <c r="CN52" i="3"/>
  <c r="CN26" i="3"/>
  <c r="CN53" i="3"/>
  <c r="CN100" i="3"/>
  <c r="CN9" i="3"/>
  <c r="CN11" i="3"/>
  <c r="CN64" i="3"/>
  <c r="CN79" i="3"/>
  <c r="CN67" i="3"/>
  <c r="CN70" i="3"/>
  <c r="CN55" i="3"/>
  <c r="CN66" i="3"/>
  <c r="CN33" i="3"/>
  <c r="CN28" i="3"/>
  <c r="CN80" i="3"/>
  <c r="CN34" i="3"/>
  <c r="CN96" i="3"/>
  <c r="CN45" i="3"/>
  <c r="CN39" i="3"/>
  <c r="CN12" i="3"/>
  <c r="CN41" i="3"/>
  <c r="CN97" i="3"/>
  <c r="CN38" i="3"/>
  <c r="CN30" i="3"/>
  <c r="CN65" i="3"/>
  <c r="CN89" i="3"/>
  <c r="CN40" i="3"/>
  <c r="CN48" i="3"/>
  <c r="CN103" i="3"/>
  <c r="CN25" i="3"/>
  <c r="CN50" i="3"/>
  <c r="CN58" i="3"/>
  <c r="CO8" i="3"/>
  <c r="CN37" i="3"/>
  <c r="CO67" i="3" l="1"/>
  <c r="CO31" i="3"/>
  <c r="CO41" i="3"/>
  <c r="CO55" i="3"/>
  <c r="CO30" i="3"/>
  <c r="CO26" i="3"/>
  <c r="CO73" i="3"/>
  <c r="CO79" i="3"/>
  <c r="CO38" i="3"/>
  <c r="CO11" i="3"/>
  <c r="CO42" i="3"/>
  <c r="CO58" i="3"/>
  <c r="CO49" i="3"/>
  <c r="CO50" i="3"/>
  <c r="CO66" i="3"/>
  <c r="CO34" i="3"/>
  <c r="CO51" i="3"/>
  <c r="CO100" i="3"/>
  <c r="CO25" i="3"/>
  <c r="CO70" i="3"/>
  <c r="CO9" i="3"/>
  <c r="CO68" i="3"/>
  <c r="CO33" i="3"/>
  <c r="CP8" i="3"/>
  <c r="CO97" i="3"/>
  <c r="CO89" i="3"/>
  <c r="CO69" i="3"/>
  <c r="CO44" i="3"/>
  <c r="CO53" i="3"/>
  <c r="CO10" i="3"/>
  <c r="CO37" i="3"/>
  <c r="CO65" i="3"/>
  <c r="CO96" i="3"/>
  <c r="CO28" i="3"/>
  <c r="CO45" i="3"/>
  <c r="CO103" i="3"/>
  <c r="CO80" i="3"/>
  <c r="CO27" i="3"/>
  <c r="CO77" i="3"/>
  <c r="CO12" i="3"/>
  <c r="CO48" i="3"/>
  <c r="CO82" i="3"/>
  <c r="CO78" i="3"/>
  <c r="CO7" i="3"/>
  <c r="CO39" i="3"/>
  <c r="CO54" i="3"/>
  <c r="CO101" i="3"/>
  <c r="CO40" i="3"/>
  <c r="CO52" i="3"/>
  <c r="CO36" i="3"/>
  <c r="CO29" i="3"/>
  <c r="CO81" i="3"/>
  <c r="CO43" i="3"/>
  <c r="CO64" i="3"/>
  <c r="CO15" i="3"/>
  <c r="CP69" i="3" l="1"/>
  <c r="CP7" i="3"/>
  <c r="CP37" i="3"/>
  <c r="CP52" i="3"/>
  <c r="CP97" i="3"/>
  <c r="CP29" i="3"/>
  <c r="CP103" i="3"/>
  <c r="CP45" i="3"/>
  <c r="CP78" i="3"/>
  <c r="CP10" i="3"/>
  <c r="CP40" i="3"/>
  <c r="CP80" i="3"/>
  <c r="CP65" i="3"/>
  <c r="CP33" i="3"/>
  <c r="CP70" i="3"/>
  <c r="CP81" i="3"/>
  <c r="CP49" i="3"/>
  <c r="CP66" i="3"/>
  <c r="CP44" i="3"/>
  <c r="CP54" i="3"/>
  <c r="CP38" i="3"/>
  <c r="CP30" i="3"/>
  <c r="CP50" i="3"/>
  <c r="CP53" i="3"/>
  <c r="CP51" i="3"/>
  <c r="CP27" i="3"/>
  <c r="CP64" i="3"/>
  <c r="CQ8" i="3"/>
  <c r="CP28" i="3"/>
  <c r="CP42" i="3"/>
  <c r="CP36" i="3"/>
  <c r="CP34" i="3"/>
  <c r="CP43" i="3"/>
  <c r="CP9" i="3"/>
  <c r="CP73" i="3"/>
  <c r="CP15" i="3"/>
  <c r="CP26" i="3"/>
  <c r="CP101" i="3"/>
  <c r="CP25" i="3"/>
  <c r="CP48" i="3"/>
  <c r="CP82" i="3"/>
  <c r="CP11" i="3"/>
  <c r="CP68" i="3"/>
  <c r="CP100" i="3"/>
  <c r="CP39" i="3"/>
  <c r="CP55" i="3"/>
  <c r="CP77" i="3"/>
  <c r="CP31" i="3"/>
  <c r="CP58" i="3"/>
  <c r="CP89" i="3"/>
  <c r="CP67" i="3"/>
  <c r="CP12" i="3"/>
  <c r="CP41" i="3"/>
  <c r="CP79" i="3"/>
  <c r="CP96" i="3"/>
  <c r="CQ73" i="3" l="1"/>
  <c r="CQ25" i="3"/>
  <c r="CQ29" i="3"/>
  <c r="CQ77" i="3"/>
  <c r="CQ101" i="3"/>
  <c r="CQ28" i="3"/>
  <c r="CQ38" i="3"/>
  <c r="CQ54" i="3"/>
  <c r="CQ15" i="3"/>
  <c r="CQ12" i="3"/>
  <c r="CQ40" i="3"/>
  <c r="CQ26" i="3"/>
  <c r="CQ66" i="3"/>
  <c r="CQ44" i="3"/>
  <c r="CQ55" i="3"/>
  <c r="CQ49" i="3"/>
  <c r="CQ82" i="3"/>
  <c r="CQ9" i="3"/>
  <c r="CQ42" i="3"/>
  <c r="CQ79" i="3"/>
  <c r="CQ64" i="3"/>
  <c r="CQ7" i="3"/>
  <c r="CQ33" i="3"/>
  <c r="CQ65" i="3"/>
  <c r="CQ30" i="3"/>
  <c r="CQ81" i="3"/>
  <c r="CQ70" i="3"/>
  <c r="CQ31" i="3"/>
  <c r="CQ50" i="3"/>
  <c r="CQ10" i="3"/>
  <c r="CQ100" i="3"/>
  <c r="CQ80" i="3"/>
  <c r="CQ67" i="3"/>
  <c r="CQ27" i="3"/>
  <c r="CQ41" i="3"/>
  <c r="CQ103" i="3"/>
  <c r="CQ96" i="3"/>
  <c r="CQ43" i="3"/>
  <c r="CQ68" i="3"/>
  <c r="CQ36" i="3"/>
  <c r="CQ69" i="3"/>
  <c r="CQ37" i="3"/>
  <c r="CQ53" i="3"/>
  <c r="CR8" i="3"/>
  <c r="CQ58" i="3"/>
  <c r="CQ51" i="3"/>
  <c r="CQ11" i="3"/>
  <c r="CQ48" i="3"/>
  <c r="CQ78" i="3"/>
  <c r="CQ39" i="3"/>
  <c r="CQ89" i="3"/>
  <c r="CQ45" i="3"/>
  <c r="CQ97" i="3"/>
  <c r="CQ34" i="3"/>
  <c r="CQ52" i="3"/>
  <c r="CR70" i="3" l="1"/>
  <c r="CR48" i="3"/>
  <c r="CR58" i="3"/>
  <c r="CR53" i="3"/>
  <c r="CR101" i="3"/>
  <c r="CR11" i="3"/>
  <c r="CR66" i="3"/>
  <c r="CR103" i="3"/>
  <c r="CR30" i="3"/>
  <c r="CR41" i="3"/>
  <c r="CR81" i="3"/>
  <c r="CR64" i="3"/>
  <c r="CR34" i="3"/>
  <c r="CR69" i="3"/>
  <c r="CR25" i="3"/>
  <c r="CR43" i="3"/>
  <c r="CR49" i="3"/>
  <c r="CR54" i="3"/>
  <c r="CR40" i="3"/>
  <c r="CR52" i="3"/>
  <c r="CR38" i="3"/>
  <c r="CR29" i="3"/>
  <c r="CR68" i="3"/>
  <c r="CR79" i="3"/>
  <c r="CR67" i="3"/>
  <c r="CR51" i="3"/>
  <c r="CR73" i="3"/>
  <c r="CR10" i="3"/>
  <c r="CR39" i="3"/>
  <c r="CR78" i="3"/>
  <c r="CR31" i="3"/>
  <c r="CS8" i="3"/>
  <c r="CR80" i="3"/>
  <c r="CR26" i="3"/>
  <c r="CR65" i="3"/>
  <c r="CR50" i="3"/>
  <c r="CR89" i="3"/>
  <c r="CR12" i="3"/>
  <c r="CR37" i="3"/>
  <c r="CR27" i="3"/>
  <c r="CR96" i="3"/>
  <c r="CR77" i="3"/>
  <c r="CR82" i="3"/>
  <c r="CR45" i="3"/>
  <c r="CR36" i="3"/>
  <c r="CR97" i="3"/>
  <c r="CR7" i="3"/>
  <c r="CR15" i="3"/>
  <c r="CR33" i="3"/>
  <c r="CR9" i="3"/>
  <c r="CR28" i="3"/>
  <c r="CR55" i="3"/>
  <c r="CR100" i="3"/>
  <c r="CR44" i="3"/>
  <c r="CR42" i="3"/>
  <c r="CS54" i="3" l="1"/>
  <c r="CS30" i="3"/>
  <c r="CS33" i="3"/>
  <c r="CS79" i="3"/>
  <c r="CS31" i="3"/>
  <c r="CS37" i="3"/>
  <c r="CS101" i="3"/>
  <c r="CS39" i="3"/>
  <c r="CS77" i="3"/>
  <c r="CS10" i="3"/>
  <c r="CS42" i="3"/>
  <c r="CS82" i="3"/>
  <c r="CS34" i="3"/>
  <c r="CS44" i="3"/>
  <c r="CS51" i="3"/>
  <c r="CS29" i="3"/>
  <c r="CS58" i="3"/>
  <c r="CS55" i="3"/>
  <c r="CS7" i="3"/>
  <c r="CS66" i="3"/>
  <c r="CS49" i="3"/>
  <c r="CS36" i="3"/>
  <c r="CS89" i="3"/>
  <c r="CS45" i="3"/>
  <c r="CS40" i="3"/>
  <c r="CS11" i="3"/>
  <c r="CS12" i="3"/>
  <c r="CT8" i="3"/>
  <c r="CS48" i="3"/>
  <c r="CS28" i="3"/>
  <c r="CS69" i="3"/>
  <c r="CS25" i="3"/>
  <c r="CS97" i="3"/>
  <c r="CS81" i="3"/>
  <c r="CS27" i="3"/>
  <c r="CS43" i="3"/>
  <c r="CS96" i="3"/>
  <c r="CS26" i="3"/>
  <c r="CS73" i="3"/>
  <c r="CS53" i="3"/>
  <c r="CS103" i="3"/>
  <c r="CS64" i="3"/>
  <c r="CS50" i="3"/>
  <c r="CS15" i="3"/>
  <c r="CS65" i="3"/>
  <c r="CS68" i="3"/>
  <c r="CS78" i="3"/>
  <c r="CS52" i="3"/>
  <c r="CS38" i="3"/>
  <c r="CS100" i="3"/>
  <c r="CS9" i="3"/>
  <c r="CS41" i="3"/>
  <c r="CS80" i="3"/>
  <c r="CS67" i="3"/>
  <c r="CS70" i="3"/>
  <c r="CT64" i="3" l="1"/>
  <c r="CT96" i="3"/>
  <c r="CT12" i="3"/>
  <c r="CT55" i="3"/>
  <c r="CT103" i="3"/>
  <c r="CT50" i="3"/>
  <c r="CT15" i="3"/>
  <c r="CT58" i="3"/>
  <c r="CT43" i="3"/>
  <c r="CT44" i="3"/>
  <c r="CT68" i="3"/>
  <c r="CT45" i="3"/>
  <c r="CT25" i="3"/>
  <c r="CT40" i="3"/>
  <c r="CT89" i="3"/>
  <c r="CT41" i="3"/>
  <c r="CT66" i="3"/>
  <c r="CT80" i="3"/>
  <c r="CT34" i="3"/>
  <c r="CT77" i="3"/>
  <c r="CT51" i="3"/>
  <c r="CT31" i="3"/>
  <c r="CT73" i="3"/>
  <c r="CT27" i="3"/>
  <c r="CT11" i="3"/>
  <c r="CT101" i="3"/>
  <c r="CT33" i="3"/>
  <c r="CT70" i="3"/>
  <c r="CU8" i="3"/>
  <c r="CT9" i="3"/>
  <c r="CT65" i="3"/>
  <c r="CT39" i="3"/>
  <c r="CT7" i="3"/>
  <c r="CT78" i="3"/>
  <c r="CT82" i="3"/>
  <c r="CT29" i="3"/>
  <c r="CT53" i="3"/>
  <c r="CT81" i="3"/>
  <c r="CT49" i="3"/>
  <c r="CT52" i="3"/>
  <c r="CT69" i="3"/>
  <c r="CT37" i="3"/>
  <c r="CT36" i="3"/>
  <c r="CT67" i="3"/>
  <c r="CT48" i="3"/>
  <c r="CT42" i="3"/>
  <c r="CT26" i="3"/>
  <c r="CT28" i="3"/>
  <c r="CT10" i="3"/>
  <c r="CT100" i="3"/>
  <c r="CT97" i="3"/>
  <c r="CT79" i="3"/>
  <c r="CT38" i="3"/>
  <c r="CT54" i="3"/>
  <c r="CT30" i="3"/>
  <c r="CU101" i="3" l="1"/>
  <c r="CV8" i="3"/>
  <c r="CU54" i="3"/>
  <c r="CU79" i="3"/>
  <c r="CU37" i="3"/>
  <c r="CU15" i="3"/>
  <c r="CU36" i="3"/>
  <c r="CU27" i="3"/>
  <c r="CU45" i="3"/>
  <c r="CU97" i="3"/>
  <c r="CU43" i="3"/>
  <c r="CU70" i="3"/>
  <c r="CU55" i="3"/>
  <c r="CU10" i="3"/>
  <c r="CU52" i="3"/>
  <c r="CU66" i="3"/>
  <c r="CU33" i="3"/>
  <c r="CU39" i="3"/>
  <c r="CU73" i="3"/>
  <c r="CU26" i="3"/>
  <c r="CU49" i="3"/>
  <c r="CU78" i="3"/>
  <c r="CU29" i="3"/>
  <c r="CU53" i="3"/>
  <c r="CU31" i="3"/>
  <c r="CU67" i="3"/>
  <c r="CU30" i="3"/>
  <c r="CU40" i="3"/>
  <c r="CU34" i="3"/>
  <c r="CU50" i="3"/>
  <c r="CU89" i="3"/>
  <c r="CU64" i="3"/>
  <c r="CU51" i="3"/>
  <c r="CU81" i="3"/>
  <c r="CU11" i="3"/>
  <c r="CU68" i="3"/>
  <c r="CU44" i="3"/>
  <c r="CU7" i="3"/>
  <c r="CU42" i="3"/>
  <c r="CU82" i="3"/>
  <c r="CU12" i="3"/>
  <c r="CU25" i="3"/>
  <c r="CU96" i="3"/>
  <c r="CU80" i="3"/>
  <c r="CU58" i="3"/>
  <c r="CU48" i="3"/>
  <c r="CU103" i="3"/>
  <c r="CU28" i="3"/>
  <c r="CU77" i="3"/>
  <c r="CU65" i="3"/>
  <c r="CU38" i="3"/>
  <c r="CU69" i="3"/>
  <c r="CU9" i="3"/>
  <c r="CU41" i="3"/>
  <c r="CU100" i="3"/>
  <c r="CV77" i="3" l="1"/>
  <c r="CV39" i="3"/>
  <c r="CV65" i="3"/>
  <c r="CV12" i="3"/>
  <c r="CV101" i="3"/>
  <c r="CV30" i="3"/>
  <c r="CV55" i="3"/>
  <c r="CV7" i="3"/>
  <c r="CV70" i="3"/>
  <c r="CV50" i="3"/>
  <c r="CV97" i="3"/>
  <c r="CV28" i="3"/>
  <c r="CV44" i="3"/>
  <c r="CV58" i="3"/>
  <c r="CV33" i="3"/>
  <c r="CV81" i="3"/>
  <c r="CV38" i="3"/>
  <c r="CV67" i="3"/>
  <c r="CV36" i="3"/>
  <c r="CV45" i="3"/>
  <c r="CV64" i="3"/>
  <c r="CV53" i="3"/>
  <c r="CV54" i="3"/>
  <c r="CV103" i="3"/>
  <c r="CV11" i="3"/>
  <c r="CV26" i="3"/>
  <c r="CV34" i="3"/>
  <c r="CW8" i="3"/>
  <c r="CV29" i="3"/>
  <c r="CV80" i="3"/>
  <c r="CV89" i="3"/>
  <c r="CV9" i="3"/>
  <c r="CV69" i="3"/>
  <c r="CV82" i="3"/>
  <c r="CV79" i="3"/>
  <c r="CV73" i="3"/>
  <c r="CV27" i="3"/>
  <c r="CV68" i="3"/>
  <c r="CV48" i="3"/>
  <c r="CV41" i="3"/>
  <c r="CV96" i="3"/>
  <c r="CV31" i="3"/>
  <c r="CV49" i="3"/>
  <c r="CV10" i="3"/>
  <c r="CV42" i="3"/>
  <c r="CV40" i="3"/>
  <c r="CV100" i="3"/>
  <c r="CV15" i="3"/>
  <c r="CV66" i="3"/>
  <c r="CV51" i="3"/>
  <c r="CV25" i="3"/>
  <c r="CV52" i="3"/>
  <c r="CV43" i="3"/>
  <c r="CV37" i="3"/>
  <c r="CV78" i="3"/>
  <c r="CW58" i="3" l="1"/>
  <c r="CW77" i="3"/>
  <c r="CW45" i="3"/>
  <c r="CW40" i="3"/>
  <c r="CW31" i="3"/>
  <c r="CW66" i="3"/>
  <c r="CW64" i="3"/>
  <c r="CW78" i="3"/>
  <c r="CW73" i="3"/>
  <c r="CW48" i="3"/>
  <c r="CW25" i="3"/>
  <c r="CW43" i="3"/>
  <c r="CW11" i="3"/>
  <c r="CW51" i="3"/>
  <c r="CW38" i="3"/>
  <c r="CW39" i="3"/>
  <c r="CW49" i="3"/>
  <c r="CW12" i="3"/>
  <c r="CW33" i="3"/>
  <c r="CW50" i="3"/>
  <c r="CW37" i="3"/>
  <c r="CW28" i="3"/>
  <c r="CW70" i="3"/>
  <c r="CW26" i="3"/>
  <c r="CW101" i="3"/>
  <c r="CW89" i="3"/>
  <c r="CW79" i="3"/>
  <c r="CW15" i="3"/>
  <c r="CW97" i="3"/>
  <c r="CW34" i="3"/>
  <c r="CW9" i="3"/>
  <c r="CW29" i="3"/>
  <c r="CW7" i="3"/>
  <c r="CW103" i="3"/>
  <c r="CW82" i="3"/>
  <c r="CW53" i="3"/>
  <c r="CX8" i="3"/>
  <c r="CW42" i="3"/>
  <c r="CW44" i="3"/>
  <c r="CW54" i="3"/>
  <c r="CW36" i="3"/>
  <c r="CW67" i="3"/>
  <c r="CW30" i="3"/>
  <c r="CW80" i="3"/>
  <c r="CW41" i="3"/>
  <c r="CW96" i="3"/>
  <c r="CW100" i="3"/>
  <c r="CW27" i="3"/>
  <c r="CW68" i="3"/>
  <c r="CW69" i="3"/>
  <c r="CW65" i="3"/>
  <c r="CW81" i="3"/>
  <c r="CW55" i="3"/>
  <c r="CW10" i="3"/>
  <c r="CW52" i="3"/>
  <c r="CX65" i="3" l="1"/>
  <c r="CX79" i="3"/>
  <c r="CX73" i="3"/>
  <c r="CX48" i="3"/>
  <c r="CX70" i="3"/>
  <c r="CX51" i="3"/>
  <c r="CX53" i="3"/>
  <c r="CX78" i="3"/>
  <c r="CX26" i="3"/>
  <c r="CX30" i="3"/>
  <c r="CX34" i="3"/>
  <c r="CX80" i="3"/>
  <c r="CX39" i="3"/>
  <c r="CX38" i="3"/>
  <c r="CX9" i="3"/>
  <c r="CX42" i="3"/>
  <c r="CX28" i="3"/>
  <c r="CX25" i="3"/>
  <c r="CX15" i="3"/>
  <c r="CX10" i="3"/>
  <c r="CX101" i="3"/>
  <c r="CX97" i="3"/>
  <c r="CX89" i="3"/>
  <c r="CX37" i="3"/>
  <c r="CX67" i="3"/>
  <c r="CX43" i="3"/>
  <c r="CX77" i="3"/>
  <c r="CX69" i="3"/>
  <c r="CX54" i="3"/>
  <c r="CX64" i="3"/>
  <c r="CX45" i="3"/>
  <c r="CX44" i="3"/>
  <c r="CX50" i="3"/>
  <c r="CX27" i="3"/>
  <c r="CX7" i="3"/>
  <c r="CX36" i="3"/>
  <c r="CX96" i="3"/>
  <c r="CX103" i="3"/>
  <c r="CX41" i="3"/>
  <c r="CX12" i="3"/>
  <c r="CX81" i="3"/>
  <c r="CX82" i="3"/>
  <c r="CX52" i="3"/>
  <c r="CX33" i="3"/>
  <c r="CX29" i="3"/>
  <c r="CX40" i="3"/>
  <c r="CX100" i="3"/>
  <c r="CX58" i="3"/>
  <c r="CX49" i="3"/>
  <c r="CX31" i="3"/>
  <c r="CY8" i="3"/>
  <c r="CX55" i="3"/>
  <c r="CX68" i="3"/>
  <c r="CX66" i="3"/>
  <c r="CX11" i="3"/>
  <c r="CY70" i="3" l="1"/>
  <c r="CY37" i="3"/>
  <c r="CY48" i="3"/>
  <c r="CY44" i="3"/>
  <c r="CY65" i="3"/>
  <c r="CY40" i="3"/>
  <c r="CY64" i="3"/>
  <c r="CY34" i="3"/>
  <c r="CY9" i="3"/>
  <c r="CY11" i="3"/>
  <c r="CY67" i="3"/>
  <c r="CY36" i="3"/>
  <c r="CY38" i="3"/>
  <c r="CY97" i="3"/>
  <c r="CY79" i="3"/>
  <c r="CY68" i="3"/>
  <c r="CY15" i="3"/>
  <c r="CY69" i="3"/>
  <c r="CY101" i="3"/>
  <c r="CY58" i="3"/>
  <c r="CY78" i="3"/>
  <c r="CY80" i="3"/>
  <c r="CY26" i="3"/>
  <c r="CY33" i="3"/>
  <c r="CY42" i="3"/>
  <c r="CY41" i="3"/>
  <c r="CY77" i="3"/>
  <c r="CY25" i="3"/>
  <c r="CY29" i="3"/>
  <c r="CZ8" i="3"/>
  <c r="CY30" i="3"/>
  <c r="CY100" i="3"/>
  <c r="CY49" i="3"/>
  <c r="CY45" i="3"/>
  <c r="CY50" i="3"/>
  <c r="CY27" i="3"/>
  <c r="CY10" i="3"/>
  <c r="CY28" i="3"/>
  <c r="CY53" i="3"/>
  <c r="CY7" i="3"/>
  <c r="CY54" i="3"/>
  <c r="CY52" i="3"/>
  <c r="CY82" i="3"/>
  <c r="CY81" i="3"/>
  <c r="CY66" i="3"/>
  <c r="CY39" i="3"/>
  <c r="CY31" i="3"/>
  <c r="CY51" i="3"/>
  <c r="CY73" i="3"/>
  <c r="CY55" i="3"/>
  <c r="CY43" i="3"/>
  <c r="CY12" i="3"/>
  <c r="CY103" i="3"/>
  <c r="CY89" i="3"/>
  <c r="CY96" i="3"/>
  <c r="CZ66" i="3" l="1"/>
  <c r="CZ11" i="3"/>
  <c r="CZ9" i="3"/>
  <c r="CZ27" i="3"/>
  <c r="CZ7" i="3"/>
  <c r="CZ77" i="3"/>
  <c r="CZ30" i="3"/>
  <c r="CZ65" i="3"/>
  <c r="CZ101" i="3"/>
  <c r="CZ103" i="3"/>
  <c r="CZ82" i="3"/>
  <c r="CZ68" i="3"/>
  <c r="CZ58" i="3"/>
  <c r="CZ79" i="3"/>
  <c r="CZ37" i="3"/>
  <c r="CZ55" i="3"/>
  <c r="CZ53" i="3"/>
  <c r="CZ51" i="3"/>
  <c r="CZ73" i="3"/>
  <c r="CZ31" i="3"/>
  <c r="CZ25" i="3"/>
  <c r="CZ43" i="3"/>
  <c r="CZ41" i="3"/>
  <c r="CZ39" i="3"/>
  <c r="CZ34" i="3"/>
  <c r="CZ12" i="3"/>
  <c r="CZ70" i="3"/>
  <c r="CZ96" i="3"/>
  <c r="CZ10" i="3"/>
  <c r="CZ29" i="3"/>
  <c r="CZ45" i="3"/>
  <c r="CZ50" i="3"/>
  <c r="CZ15" i="3"/>
  <c r="CZ69" i="3"/>
  <c r="CZ89" i="3"/>
  <c r="CZ80" i="3"/>
  <c r="CZ97" i="3"/>
  <c r="CZ48" i="3"/>
  <c r="CZ49" i="3"/>
  <c r="CZ26" i="3"/>
  <c r="CZ44" i="3"/>
  <c r="CZ38" i="3"/>
  <c r="CZ42" i="3"/>
  <c r="CZ40" i="3"/>
  <c r="CZ36" i="3"/>
  <c r="CZ33" i="3"/>
  <c r="CZ100" i="3"/>
  <c r="CZ28" i="3"/>
  <c r="DA8" i="3"/>
  <c r="CZ81" i="3"/>
  <c r="CZ54" i="3"/>
  <c r="CZ52" i="3"/>
  <c r="CZ78" i="3"/>
  <c r="CZ64" i="3"/>
  <c r="CZ67" i="3"/>
  <c r="DA66" i="3" l="1"/>
  <c r="DA96" i="3"/>
  <c r="DA81" i="3"/>
  <c r="DA68" i="3"/>
  <c r="DA44" i="3"/>
  <c r="DA42" i="3"/>
  <c r="DA58" i="3"/>
  <c r="DA53" i="3"/>
  <c r="DA79" i="3"/>
  <c r="DA64" i="3"/>
  <c r="DA50" i="3"/>
  <c r="DA51" i="3"/>
  <c r="DA38" i="3"/>
  <c r="DA30" i="3"/>
  <c r="DA27" i="3"/>
  <c r="DA7" i="3"/>
  <c r="DA10" i="3"/>
  <c r="DA100" i="3"/>
  <c r="DA45" i="3"/>
  <c r="DA49" i="3"/>
  <c r="DA31" i="3"/>
  <c r="DA67" i="3"/>
  <c r="DA54" i="3"/>
  <c r="DA97" i="3"/>
  <c r="DB8" i="3"/>
  <c r="DA77" i="3"/>
  <c r="DA15" i="3"/>
  <c r="DA103" i="3"/>
  <c r="DA33" i="3"/>
  <c r="DA28" i="3"/>
  <c r="DA40" i="3"/>
  <c r="DA48" i="3"/>
  <c r="DA29" i="3"/>
  <c r="DA36" i="3"/>
  <c r="DA89" i="3"/>
  <c r="DA26" i="3"/>
  <c r="DA9" i="3"/>
  <c r="DA70" i="3"/>
  <c r="DA82" i="3"/>
  <c r="DA78" i="3"/>
  <c r="DA80" i="3"/>
  <c r="DA43" i="3"/>
  <c r="DA41" i="3"/>
  <c r="DA34" i="3"/>
  <c r="DA37" i="3"/>
  <c r="DA12" i="3"/>
  <c r="DA69" i="3"/>
  <c r="DA73" i="3"/>
  <c r="DA65" i="3"/>
  <c r="DA52" i="3"/>
  <c r="DA39" i="3"/>
  <c r="DA25" i="3"/>
  <c r="DA11" i="3"/>
  <c r="DA101" i="3"/>
  <c r="DA55" i="3"/>
  <c r="DB103" i="3" l="1"/>
  <c r="DB78" i="3"/>
  <c r="DB82" i="3"/>
  <c r="DB101" i="3"/>
  <c r="DB55" i="3"/>
  <c r="DB40" i="3"/>
  <c r="DB48" i="3"/>
  <c r="DB80" i="3"/>
  <c r="DC8" i="3"/>
  <c r="DB12" i="3"/>
  <c r="DB43" i="3"/>
  <c r="DB64" i="3"/>
  <c r="DB58" i="3"/>
  <c r="DB66" i="3"/>
  <c r="DB44" i="3"/>
  <c r="DB53" i="3"/>
  <c r="DB73" i="3"/>
  <c r="DB41" i="3"/>
  <c r="DB36" i="3"/>
  <c r="DB31" i="3"/>
  <c r="DB37" i="3"/>
  <c r="DB34" i="3"/>
  <c r="DB50" i="3"/>
  <c r="DB100" i="3"/>
  <c r="DB11" i="3"/>
  <c r="DB45" i="3"/>
  <c r="DB30" i="3"/>
  <c r="DB27" i="3"/>
  <c r="DB68" i="3"/>
  <c r="DB51" i="3"/>
  <c r="DB33" i="3"/>
  <c r="DB7" i="3"/>
  <c r="DB69" i="3"/>
  <c r="DB52" i="3"/>
  <c r="DB54" i="3"/>
  <c r="DB79" i="3"/>
  <c r="DB77" i="3"/>
  <c r="DB70" i="3"/>
  <c r="DB28" i="3"/>
  <c r="DB39" i="3"/>
  <c r="DB65" i="3"/>
  <c r="DB97" i="3"/>
  <c r="DB38" i="3"/>
  <c r="DB67" i="3"/>
  <c r="DB10" i="3"/>
  <c r="DB49" i="3"/>
  <c r="DB15" i="3"/>
  <c r="DB42" i="3"/>
  <c r="DB89" i="3"/>
  <c r="DB9" i="3"/>
  <c r="DB26" i="3"/>
  <c r="DB25" i="3"/>
  <c r="DB29" i="3"/>
  <c r="DB96" i="3"/>
  <c r="DB81" i="3"/>
  <c r="DC69" i="3" l="1"/>
  <c r="DC26" i="3"/>
  <c r="DC25" i="3"/>
  <c r="DC79" i="3"/>
  <c r="DC15" i="3"/>
  <c r="DC10" i="3"/>
  <c r="DC101" i="3"/>
  <c r="DC58" i="3"/>
  <c r="DC100" i="3"/>
  <c r="DC11" i="3"/>
  <c r="DC37" i="3"/>
  <c r="DC31" i="3"/>
  <c r="DC29" i="3"/>
  <c r="DC66" i="3"/>
  <c r="DC40" i="3"/>
  <c r="DC41" i="3"/>
  <c r="DC82" i="3"/>
  <c r="DC81" i="3"/>
  <c r="DC70" i="3"/>
  <c r="DC80" i="3"/>
  <c r="DC27" i="3"/>
  <c r="DC51" i="3"/>
  <c r="DC65" i="3"/>
  <c r="DC50" i="3"/>
  <c r="DC39" i="3"/>
  <c r="DC34" i="3"/>
  <c r="DC103" i="3"/>
  <c r="DC44" i="3"/>
  <c r="DC45" i="3"/>
  <c r="DC12" i="3"/>
  <c r="DC73" i="3"/>
  <c r="DC64" i="3"/>
  <c r="DC67" i="3"/>
  <c r="DC42" i="3"/>
  <c r="DC77" i="3"/>
  <c r="DC89" i="3"/>
  <c r="DC52" i="3"/>
  <c r="DC97" i="3"/>
  <c r="DC30" i="3"/>
  <c r="DC54" i="3"/>
  <c r="DC49" i="3"/>
  <c r="DC96" i="3"/>
  <c r="DC9" i="3"/>
  <c r="DC68" i="3"/>
  <c r="DD8" i="3"/>
  <c r="DC38" i="3"/>
  <c r="DC36" i="3"/>
  <c r="DC33" i="3"/>
  <c r="DC43" i="3"/>
  <c r="DC78" i="3"/>
  <c r="DC28" i="3"/>
  <c r="DC48" i="3"/>
  <c r="DC55" i="3"/>
  <c r="DC7" i="3"/>
  <c r="DC53" i="3"/>
  <c r="DD103" i="3" l="1"/>
  <c r="DD89" i="3"/>
  <c r="DD44" i="3"/>
  <c r="DD49" i="3"/>
  <c r="DD45" i="3"/>
  <c r="DD80" i="3"/>
  <c r="DD100" i="3"/>
  <c r="DD79" i="3"/>
  <c r="DD67" i="3"/>
  <c r="DD58" i="3"/>
  <c r="DD101" i="3"/>
  <c r="DD70" i="3"/>
  <c r="DD31" i="3"/>
  <c r="DD34" i="3"/>
  <c r="DD36" i="3"/>
  <c r="DD10" i="3"/>
  <c r="DD96" i="3"/>
  <c r="DD39" i="3"/>
  <c r="DE8" i="3"/>
  <c r="DD40" i="3"/>
  <c r="DD15" i="3"/>
  <c r="DD77" i="3"/>
  <c r="DD28" i="3"/>
  <c r="DD25" i="3"/>
  <c r="DD64" i="3"/>
  <c r="DD55" i="3"/>
  <c r="DD29" i="3"/>
  <c r="DD82" i="3"/>
  <c r="DD11" i="3"/>
  <c r="DD68" i="3"/>
  <c r="DD33" i="3"/>
  <c r="DD30" i="3"/>
  <c r="DD51" i="3"/>
  <c r="DD65" i="3"/>
  <c r="DD66" i="3"/>
  <c r="DD52" i="3"/>
  <c r="DD37" i="3"/>
  <c r="DD38" i="3"/>
  <c r="DD27" i="3"/>
  <c r="DD73" i="3"/>
  <c r="DD43" i="3"/>
  <c r="DD9" i="3"/>
  <c r="DD48" i="3"/>
  <c r="DD54" i="3"/>
  <c r="DD50" i="3"/>
  <c r="DD41" i="3"/>
  <c r="DD69" i="3"/>
  <c r="DD26" i="3"/>
  <c r="DD42" i="3"/>
  <c r="DD7" i="3"/>
  <c r="DD12" i="3"/>
  <c r="DD53" i="3"/>
  <c r="DD81" i="3"/>
  <c r="DD97" i="3"/>
  <c r="DD78" i="3"/>
  <c r="DE80" i="3" l="1"/>
  <c r="DE11" i="3"/>
  <c r="DE29" i="3"/>
  <c r="DE50" i="3"/>
  <c r="DE97" i="3"/>
  <c r="DF8" i="3"/>
  <c r="DE26" i="3"/>
  <c r="DE103" i="3"/>
  <c r="DE77" i="3"/>
  <c r="DE31" i="3"/>
  <c r="DE34" i="3"/>
  <c r="DE68" i="3"/>
  <c r="DE43" i="3"/>
  <c r="DE64" i="3"/>
  <c r="DE100" i="3"/>
  <c r="DE38" i="3"/>
  <c r="DE54" i="3"/>
  <c r="DE89" i="3"/>
  <c r="DE25" i="3"/>
  <c r="DE15" i="3"/>
  <c r="DE42" i="3"/>
  <c r="DE48" i="3"/>
  <c r="DE81" i="3"/>
  <c r="DE9" i="3"/>
  <c r="DE36" i="3"/>
  <c r="DE66" i="3"/>
  <c r="DE52" i="3"/>
  <c r="DE49" i="3"/>
  <c r="DE78" i="3"/>
  <c r="DE39" i="3"/>
  <c r="DE53" i="3"/>
  <c r="DE69" i="3"/>
  <c r="DE79" i="3"/>
  <c r="DE101" i="3"/>
  <c r="DE45" i="3"/>
  <c r="DE37" i="3"/>
  <c r="DE65" i="3"/>
  <c r="DE33" i="3"/>
  <c r="DE41" i="3"/>
  <c r="DE55" i="3"/>
  <c r="DE82" i="3"/>
  <c r="DE44" i="3"/>
  <c r="DE12" i="3"/>
  <c r="DE70" i="3"/>
  <c r="DE73" i="3"/>
  <c r="DE40" i="3"/>
  <c r="DE28" i="3"/>
  <c r="DE67" i="3"/>
  <c r="DE7" i="3"/>
  <c r="DE10" i="3"/>
  <c r="DE27" i="3"/>
  <c r="DE58" i="3"/>
  <c r="DE96" i="3"/>
  <c r="DE30" i="3"/>
  <c r="DE51" i="3"/>
  <c r="DF58" i="3" l="1"/>
  <c r="DF34" i="3"/>
  <c r="DF36" i="3"/>
  <c r="DF78" i="3"/>
  <c r="DF10" i="3"/>
  <c r="DF73" i="3"/>
  <c r="DF100" i="3"/>
  <c r="DF45" i="3"/>
  <c r="DF68" i="3"/>
  <c r="DF33" i="3"/>
  <c r="DF41" i="3"/>
  <c r="DF81" i="3"/>
  <c r="DF42" i="3"/>
  <c r="DF7" i="3"/>
  <c r="DF69" i="3"/>
  <c r="DF67" i="3"/>
  <c r="DF38" i="3"/>
  <c r="DF79" i="3"/>
  <c r="DF27" i="3"/>
  <c r="DF55" i="3"/>
  <c r="DF89" i="3"/>
  <c r="DF11" i="3"/>
  <c r="DF82" i="3"/>
  <c r="DF64" i="3"/>
  <c r="DF39" i="3"/>
  <c r="DF53" i="3"/>
  <c r="DF66" i="3"/>
  <c r="DF101" i="3"/>
  <c r="DF30" i="3"/>
  <c r="DF54" i="3"/>
  <c r="DF77" i="3"/>
  <c r="DF43" i="3"/>
  <c r="DG8" i="3"/>
  <c r="DF96" i="3"/>
  <c r="DF48" i="3"/>
  <c r="DF28" i="3"/>
  <c r="DF31" i="3"/>
  <c r="DF51" i="3"/>
  <c r="DF40" i="3"/>
  <c r="DF49" i="3"/>
  <c r="DF44" i="3"/>
  <c r="DF12" i="3"/>
  <c r="DF50" i="3"/>
  <c r="DF103" i="3"/>
  <c r="DF25" i="3"/>
  <c r="DF37" i="3"/>
  <c r="DF65" i="3"/>
  <c r="DF29" i="3"/>
  <c r="DF52" i="3"/>
  <c r="DF26" i="3"/>
  <c r="DF97" i="3"/>
  <c r="DF80" i="3"/>
  <c r="DF9" i="3"/>
  <c r="DF70" i="3"/>
  <c r="DF15" i="3"/>
  <c r="DG64" i="3" l="1"/>
  <c r="DG96" i="3"/>
  <c r="DG41" i="3"/>
  <c r="DG52" i="3"/>
  <c r="DG70" i="3"/>
  <c r="DG11" i="3"/>
  <c r="DG81" i="3"/>
  <c r="DG43" i="3"/>
  <c r="DG66" i="3"/>
  <c r="DG40" i="3"/>
  <c r="DG37" i="3"/>
  <c r="DG73" i="3"/>
  <c r="DG34" i="3"/>
  <c r="DG53" i="3"/>
  <c r="DG12" i="3"/>
  <c r="DG79" i="3"/>
  <c r="DG80" i="3"/>
  <c r="DG65" i="3"/>
  <c r="DG42" i="3"/>
  <c r="DG97" i="3"/>
  <c r="DG100" i="3"/>
  <c r="DG30" i="3"/>
  <c r="DG49" i="3"/>
  <c r="DG7" i="3"/>
  <c r="DG48" i="3"/>
  <c r="DG39" i="3"/>
  <c r="DG45" i="3"/>
  <c r="DG77" i="3"/>
  <c r="DG38" i="3"/>
  <c r="DG27" i="3"/>
  <c r="DG82" i="3"/>
  <c r="DG67" i="3"/>
  <c r="DG33" i="3"/>
  <c r="DG36" i="3"/>
  <c r="DG78" i="3"/>
  <c r="DG29" i="3"/>
  <c r="DG54" i="3"/>
  <c r="DG58" i="3"/>
  <c r="DG103" i="3"/>
  <c r="DG51" i="3"/>
  <c r="DG69" i="3"/>
  <c r="DG50" i="3"/>
  <c r="DG9" i="3"/>
  <c r="DG31" i="3"/>
  <c r="DG55" i="3"/>
  <c r="DG101" i="3"/>
  <c r="DG15" i="3"/>
  <c r="DG28" i="3"/>
  <c r="DG68" i="3"/>
  <c r="DH8" i="3"/>
  <c r="DG44" i="3"/>
  <c r="DG89" i="3"/>
  <c r="DG10" i="3"/>
  <c r="DG26" i="3"/>
  <c r="DG25" i="3"/>
  <c r="DH53" i="3" l="1"/>
  <c r="DH101" i="3"/>
  <c r="DH70" i="3"/>
  <c r="DH55" i="3"/>
  <c r="DH36" i="3"/>
  <c r="DH96" i="3"/>
  <c r="DH42" i="3"/>
  <c r="DH77" i="3"/>
  <c r="DH80" i="3"/>
  <c r="DH103" i="3"/>
  <c r="DH31" i="3"/>
  <c r="DH81" i="3"/>
  <c r="DH9" i="3"/>
  <c r="DH54" i="3"/>
  <c r="DH45" i="3"/>
  <c r="DH28" i="3"/>
  <c r="DH48" i="3"/>
  <c r="DH78" i="3"/>
  <c r="DH7" i="3"/>
  <c r="DH26" i="3"/>
  <c r="DH97" i="3"/>
  <c r="DH51" i="3"/>
  <c r="DH12" i="3"/>
  <c r="DH43" i="3"/>
  <c r="DH73" i="3"/>
  <c r="DH25" i="3"/>
  <c r="DH15" i="3"/>
  <c r="DH30" i="3"/>
  <c r="DH39" i="3"/>
  <c r="DH44" i="3"/>
  <c r="DH64" i="3"/>
  <c r="DH66" i="3"/>
  <c r="DH58" i="3"/>
  <c r="DH100" i="3"/>
  <c r="DH38" i="3"/>
  <c r="DH10" i="3"/>
  <c r="DH69" i="3"/>
  <c r="DH33" i="3"/>
  <c r="DH27" i="3"/>
  <c r="DH49" i="3"/>
  <c r="DH67" i="3"/>
  <c r="DH40" i="3"/>
  <c r="DH52" i="3"/>
  <c r="DH82" i="3"/>
  <c r="DH11" i="3"/>
  <c r="DH41" i="3"/>
  <c r="DH50" i="3"/>
  <c r="DH89" i="3"/>
  <c r="DH29" i="3"/>
  <c r="DH65" i="3"/>
  <c r="DI8" i="3"/>
  <c r="DH37" i="3"/>
  <c r="DH68" i="3"/>
  <c r="DH79" i="3"/>
  <c r="DH34" i="3"/>
  <c r="DI89" i="3" l="1"/>
  <c r="DI37" i="3"/>
  <c r="DI42" i="3"/>
  <c r="DI55" i="3"/>
  <c r="DI36" i="3"/>
  <c r="DI41" i="3"/>
  <c r="DJ8" i="3"/>
  <c r="DI40" i="3"/>
  <c r="DI52" i="3"/>
  <c r="DI82" i="3"/>
  <c r="DI69" i="3"/>
  <c r="DI39" i="3"/>
  <c r="DI64" i="3"/>
  <c r="DI11" i="3"/>
  <c r="DI54" i="3"/>
  <c r="DI80" i="3"/>
  <c r="DI45" i="3"/>
  <c r="DI73" i="3"/>
  <c r="DI34" i="3"/>
  <c r="DI38" i="3"/>
  <c r="DI53" i="3"/>
  <c r="DI30" i="3"/>
  <c r="DI50" i="3"/>
  <c r="DI100" i="3"/>
  <c r="DI33" i="3"/>
  <c r="DI48" i="3"/>
  <c r="DI77" i="3"/>
  <c r="DI78" i="3"/>
  <c r="DI9" i="3"/>
  <c r="DI43" i="3"/>
  <c r="DI65" i="3"/>
  <c r="DI29" i="3"/>
  <c r="DI26" i="3"/>
  <c r="DI97" i="3"/>
  <c r="DI31" i="3"/>
  <c r="DI67" i="3"/>
  <c r="DI51" i="3"/>
  <c r="DI101" i="3"/>
  <c r="DI15" i="3"/>
  <c r="DI58" i="3"/>
  <c r="DI7" i="3"/>
  <c r="DI103" i="3"/>
  <c r="DI44" i="3"/>
  <c r="DI81" i="3"/>
  <c r="DI10" i="3"/>
  <c r="DI27" i="3"/>
  <c r="DI70" i="3"/>
  <c r="DI68" i="3"/>
  <c r="DI96" i="3"/>
  <c r="DI25" i="3"/>
  <c r="DI66" i="3"/>
  <c r="DI79" i="3"/>
  <c r="DI12" i="3"/>
  <c r="DI49" i="3"/>
  <c r="DI28" i="3"/>
  <c r="DJ81" i="3" l="1"/>
  <c r="DJ11" i="3"/>
  <c r="DJ38" i="3"/>
  <c r="DJ66" i="3"/>
  <c r="DJ103" i="3"/>
  <c r="DJ52" i="3"/>
  <c r="DJ51" i="3"/>
  <c r="DJ30" i="3"/>
  <c r="DJ55" i="3"/>
  <c r="DJ58" i="3"/>
  <c r="DJ96" i="3"/>
  <c r="DJ25" i="3"/>
  <c r="DJ70" i="3"/>
  <c r="DJ73" i="3"/>
  <c r="DJ50" i="3"/>
  <c r="DJ26" i="3"/>
  <c r="DJ41" i="3"/>
  <c r="DJ54" i="3"/>
  <c r="DJ9" i="3"/>
  <c r="DJ33" i="3"/>
  <c r="DJ65" i="3"/>
  <c r="DJ39" i="3"/>
  <c r="DJ67" i="3"/>
  <c r="DJ29" i="3"/>
  <c r="DJ49" i="3"/>
  <c r="DJ69" i="3"/>
  <c r="DJ15" i="3"/>
  <c r="DJ42" i="3"/>
  <c r="DJ45" i="3"/>
  <c r="DJ12" i="3"/>
  <c r="DJ80" i="3"/>
  <c r="DJ37" i="3"/>
  <c r="DJ68" i="3"/>
  <c r="DJ43" i="3"/>
  <c r="DJ97" i="3"/>
  <c r="DJ48" i="3"/>
  <c r="DJ78" i="3"/>
  <c r="DJ77" i="3"/>
  <c r="DJ34" i="3"/>
  <c r="DJ82" i="3"/>
  <c r="DJ64" i="3"/>
  <c r="DJ44" i="3"/>
  <c r="DJ40" i="3"/>
  <c r="DJ53" i="3"/>
  <c r="DJ7" i="3"/>
  <c r="DJ31" i="3"/>
  <c r="DJ100" i="3"/>
  <c r="DJ10" i="3"/>
  <c r="DJ79" i="3"/>
  <c r="DJ101" i="3"/>
  <c r="DJ28" i="3"/>
  <c r="DJ89" i="3"/>
  <c r="DK8" i="3"/>
  <c r="DJ27" i="3"/>
  <c r="DJ36" i="3"/>
  <c r="DK55" i="3" l="1"/>
  <c r="DK36" i="3"/>
  <c r="DK82" i="3"/>
  <c r="DK103" i="3"/>
  <c r="DK30" i="3"/>
  <c r="DK70" i="3"/>
  <c r="DK77" i="3"/>
  <c r="DK49" i="3"/>
  <c r="DK52" i="3"/>
  <c r="DK68" i="3"/>
  <c r="DK38" i="3"/>
  <c r="DK65" i="3"/>
  <c r="DK89" i="3"/>
  <c r="DK48" i="3"/>
  <c r="DK81" i="3"/>
  <c r="DK34" i="3"/>
  <c r="DK44" i="3"/>
  <c r="DK26" i="3"/>
  <c r="DK40" i="3"/>
  <c r="DK53" i="3"/>
  <c r="DK64" i="3"/>
  <c r="DK28" i="3"/>
  <c r="DK15" i="3"/>
  <c r="DK12" i="3"/>
  <c r="DK96" i="3"/>
  <c r="DK29" i="3"/>
  <c r="DK42" i="3"/>
  <c r="DK66" i="3"/>
  <c r="DK58" i="3"/>
  <c r="DK10" i="3"/>
  <c r="DK9" i="3"/>
  <c r="DK97" i="3"/>
  <c r="DK73" i="3"/>
  <c r="DK7" i="3"/>
  <c r="DK11" i="3"/>
  <c r="DK27" i="3"/>
  <c r="DK54" i="3"/>
  <c r="DK37" i="3"/>
  <c r="DK51" i="3"/>
  <c r="DK101" i="3"/>
  <c r="DK69" i="3"/>
  <c r="DK45" i="3"/>
  <c r="DK43" i="3"/>
  <c r="DK39" i="3"/>
  <c r="DK25" i="3"/>
  <c r="DK31" i="3"/>
  <c r="DK80" i="3"/>
  <c r="DK67" i="3"/>
  <c r="DK100" i="3"/>
  <c r="DK33" i="3"/>
  <c r="DK78" i="3"/>
  <c r="DK50" i="3"/>
  <c r="DK41" i="3"/>
  <c r="DL8" i="3"/>
  <c r="DK79" i="3"/>
  <c r="DL68" i="3" l="1"/>
  <c r="DL34" i="3"/>
  <c r="DL103" i="3"/>
  <c r="DL66" i="3"/>
  <c r="DL40" i="3"/>
  <c r="DL30" i="3"/>
  <c r="DL7" i="3"/>
  <c r="DL67" i="3"/>
  <c r="DL101" i="3"/>
  <c r="DL50" i="3"/>
  <c r="DL27" i="3"/>
  <c r="DL69" i="3"/>
  <c r="DL42" i="3"/>
  <c r="DL77" i="3"/>
  <c r="DL15" i="3"/>
  <c r="DL43" i="3"/>
  <c r="DL44" i="3"/>
  <c r="DL49" i="3"/>
  <c r="DL51" i="3"/>
  <c r="DL31" i="3"/>
  <c r="DL81" i="3"/>
  <c r="DL58" i="3"/>
  <c r="DL38" i="3"/>
  <c r="DL26" i="3"/>
  <c r="DL100" i="3"/>
  <c r="DL55" i="3"/>
  <c r="DL39" i="3"/>
  <c r="DL11" i="3"/>
  <c r="DL36" i="3"/>
  <c r="DM8" i="3"/>
  <c r="DL12" i="3"/>
  <c r="DL37" i="3"/>
  <c r="DL70" i="3"/>
  <c r="DL33" i="3"/>
  <c r="DL29" i="3"/>
  <c r="DL79" i="3"/>
  <c r="DL65" i="3"/>
  <c r="DL53" i="3"/>
  <c r="DL78" i="3"/>
  <c r="DL48" i="3"/>
  <c r="DL80" i="3"/>
  <c r="DL52" i="3"/>
  <c r="DL97" i="3"/>
  <c r="DL25" i="3"/>
  <c r="DL64" i="3"/>
  <c r="DL73" i="3"/>
  <c r="DL45" i="3"/>
  <c r="DL82" i="3"/>
  <c r="DL41" i="3"/>
  <c r="DL96" i="3"/>
  <c r="DL10" i="3"/>
  <c r="DL54" i="3"/>
  <c r="DL89" i="3"/>
  <c r="DL28" i="3"/>
  <c r="DL9" i="3"/>
  <c r="DM67" i="3" l="1"/>
  <c r="DN8" i="3"/>
  <c r="DM11" i="3"/>
  <c r="DM42" i="3"/>
  <c r="DM37" i="3"/>
  <c r="DM79" i="3"/>
  <c r="DM29" i="3"/>
  <c r="DM41" i="3"/>
  <c r="DM89" i="3"/>
  <c r="DM26" i="3"/>
  <c r="DM64" i="3"/>
  <c r="DM7" i="3"/>
  <c r="DM77" i="3"/>
  <c r="DM50" i="3"/>
  <c r="DM33" i="3"/>
  <c r="DM44" i="3"/>
  <c r="DM54" i="3"/>
  <c r="DM100" i="3"/>
  <c r="DM9" i="3"/>
  <c r="DM55" i="3"/>
  <c r="DM10" i="3"/>
  <c r="DM65" i="3"/>
  <c r="DM36" i="3"/>
  <c r="DM66" i="3"/>
  <c r="DM34" i="3"/>
  <c r="DM30" i="3"/>
  <c r="DM51" i="3"/>
  <c r="DM52" i="3"/>
  <c r="DM48" i="3"/>
  <c r="DM43" i="3"/>
  <c r="DM40" i="3"/>
  <c r="DM69" i="3"/>
  <c r="DM101" i="3"/>
  <c r="DM53" i="3"/>
  <c r="DM68" i="3"/>
  <c r="DM82" i="3"/>
  <c r="DM45" i="3"/>
  <c r="DM31" i="3"/>
  <c r="DM28" i="3"/>
  <c r="DM73" i="3"/>
  <c r="DM49" i="3"/>
  <c r="DM97" i="3"/>
  <c r="DM38" i="3"/>
  <c r="DM39" i="3"/>
  <c r="DM15" i="3"/>
  <c r="DM70" i="3"/>
  <c r="DM78" i="3"/>
  <c r="DM12" i="3"/>
  <c r="DM80" i="3"/>
  <c r="DM96" i="3"/>
  <c r="DM27" i="3"/>
  <c r="DM81" i="3"/>
  <c r="DM103" i="3"/>
  <c r="DM25" i="3"/>
  <c r="DM58" i="3"/>
  <c r="DN97" i="3" l="1"/>
  <c r="DN65" i="3"/>
  <c r="DN67" i="3"/>
  <c r="DN45" i="3"/>
  <c r="DO8" i="3"/>
  <c r="DN27" i="3"/>
  <c r="DN55" i="3"/>
  <c r="DN9" i="3"/>
  <c r="DN15" i="3"/>
  <c r="DN25" i="3"/>
  <c r="DN43" i="3"/>
  <c r="DN101" i="3"/>
  <c r="DN28" i="3"/>
  <c r="DN48" i="3"/>
  <c r="DN51" i="3"/>
  <c r="DN78" i="3"/>
  <c r="DN31" i="3"/>
  <c r="DN38" i="3"/>
  <c r="DN68" i="3"/>
  <c r="DN30" i="3"/>
  <c r="DN33" i="3"/>
  <c r="DN73" i="3"/>
  <c r="DN58" i="3"/>
  <c r="DN41" i="3"/>
  <c r="DN42" i="3"/>
  <c r="DN36" i="3"/>
  <c r="DN37" i="3"/>
  <c r="DN53" i="3"/>
  <c r="DN81" i="3"/>
  <c r="DN7" i="3"/>
  <c r="DN82" i="3"/>
  <c r="DN64" i="3"/>
  <c r="DN77" i="3"/>
  <c r="DN39" i="3"/>
  <c r="DN50" i="3"/>
  <c r="DN66" i="3"/>
  <c r="DN89" i="3"/>
  <c r="DN29" i="3"/>
  <c r="DN49" i="3"/>
  <c r="DN70" i="3"/>
  <c r="DN12" i="3"/>
  <c r="DN40" i="3"/>
  <c r="DN52" i="3"/>
  <c r="DN69" i="3"/>
  <c r="DN34" i="3"/>
  <c r="DN103" i="3"/>
  <c r="DN11" i="3"/>
  <c r="DN96" i="3"/>
  <c r="DN79" i="3"/>
  <c r="DN26" i="3"/>
  <c r="DN44" i="3"/>
  <c r="DN80" i="3"/>
  <c r="DN54" i="3"/>
  <c r="DN10" i="3"/>
  <c r="DN100" i="3"/>
  <c r="DO79" i="3" l="1"/>
  <c r="DO100" i="3"/>
  <c r="DO11" i="3"/>
  <c r="DO69" i="3"/>
  <c r="DO52" i="3"/>
  <c r="DO34" i="3"/>
  <c r="DO10" i="3"/>
  <c r="DO80" i="3"/>
  <c r="DO103" i="3"/>
  <c r="DO31" i="3"/>
  <c r="DO67" i="3"/>
  <c r="DO89" i="3"/>
  <c r="DO51" i="3"/>
  <c r="DO48" i="3"/>
  <c r="DO15" i="3"/>
  <c r="DO64" i="3"/>
  <c r="DO7" i="3"/>
  <c r="DO68" i="3"/>
  <c r="DO30" i="3"/>
  <c r="DO40" i="3"/>
  <c r="DO97" i="3"/>
  <c r="DO26" i="3"/>
  <c r="DO9" i="3"/>
  <c r="DO66" i="3"/>
  <c r="DO39" i="3"/>
  <c r="DO49" i="3"/>
  <c r="DO101" i="3"/>
  <c r="DO36" i="3"/>
  <c r="DO65" i="3"/>
  <c r="DO37" i="3"/>
  <c r="DO42" i="3"/>
  <c r="DO28" i="3"/>
  <c r="DO77" i="3"/>
  <c r="DO58" i="3"/>
  <c r="DO12" i="3"/>
  <c r="DP8" i="3"/>
  <c r="DO70" i="3"/>
  <c r="DO55" i="3"/>
  <c r="DO29" i="3"/>
  <c r="DO54" i="3"/>
  <c r="DO27" i="3"/>
  <c r="DO96" i="3"/>
  <c r="DO45" i="3"/>
  <c r="DO44" i="3"/>
  <c r="DO38" i="3"/>
  <c r="DO50" i="3"/>
  <c r="DO82" i="3"/>
  <c r="DO41" i="3"/>
  <c r="DO53" i="3"/>
  <c r="DO81" i="3"/>
  <c r="DO25" i="3"/>
  <c r="DO73" i="3"/>
  <c r="DO78" i="3"/>
  <c r="DO33" i="3"/>
  <c r="DO43" i="3"/>
  <c r="DP65" i="3" l="1"/>
  <c r="DP43" i="3"/>
  <c r="DP79" i="3"/>
  <c r="DP103" i="3"/>
  <c r="DP27" i="3"/>
  <c r="DP81" i="3"/>
  <c r="DP30" i="3"/>
  <c r="DP31" i="3"/>
  <c r="DP73" i="3"/>
  <c r="DP58" i="3"/>
  <c r="DP15" i="3"/>
  <c r="DP53" i="3"/>
  <c r="DP29" i="3"/>
  <c r="DP68" i="3"/>
  <c r="DP80" i="3"/>
  <c r="DP37" i="3"/>
  <c r="DP9" i="3"/>
  <c r="DP45" i="3"/>
  <c r="DP101" i="3"/>
  <c r="DP33" i="3"/>
  <c r="DP52" i="3"/>
  <c r="DP44" i="3"/>
  <c r="DP38" i="3"/>
  <c r="DP82" i="3"/>
  <c r="DP39" i="3"/>
  <c r="DP97" i="3"/>
  <c r="DP25" i="3"/>
  <c r="DP70" i="3"/>
  <c r="DP26" i="3"/>
  <c r="DP48" i="3"/>
  <c r="DP11" i="3"/>
  <c r="DP28" i="3"/>
  <c r="DP36" i="3"/>
  <c r="DP55" i="3"/>
  <c r="DP66" i="3"/>
  <c r="DP78" i="3"/>
  <c r="DP96" i="3"/>
  <c r="DP89" i="3"/>
  <c r="DP51" i="3"/>
  <c r="DP100" i="3"/>
  <c r="DP64" i="3"/>
  <c r="DP10" i="3"/>
  <c r="DP50" i="3"/>
  <c r="DP7" i="3"/>
  <c r="DP54" i="3"/>
  <c r="DP34" i="3"/>
  <c r="DP77" i="3"/>
  <c r="DQ8" i="3"/>
  <c r="DP67" i="3"/>
  <c r="DP12" i="3"/>
  <c r="DP41" i="3"/>
  <c r="DP42" i="3"/>
  <c r="DP40" i="3"/>
  <c r="DP69" i="3"/>
  <c r="DP49" i="3"/>
  <c r="DQ64" i="3" l="1"/>
  <c r="DQ15" i="3"/>
  <c r="DQ97" i="3"/>
  <c r="DQ34" i="3"/>
  <c r="DQ80" i="3"/>
  <c r="DQ65" i="3"/>
  <c r="DQ37" i="3"/>
  <c r="DQ28" i="3"/>
  <c r="DQ51" i="3"/>
  <c r="DQ69" i="3"/>
  <c r="DQ12" i="3"/>
  <c r="DQ58" i="3"/>
  <c r="DQ9" i="3"/>
  <c r="DQ50" i="3"/>
  <c r="DQ27" i="3"/>
  <c r="DQ82" i="3"/>
  <c r="DQ40" i="3"/>
  <c r="DQ67" i="3"/>
  <c r="DQ30" i="3"/>
  <c r="DQ89" i="3"/>
  <c r="DQ81" i="3"/>
  <c r="DQ39" i="3"/>
  <c r="DQ66" i="3"/>
  <c r="DQ54" i="3"/>
  <c r="DQ33" i="3"/>
  <c r="DQ68" i="3"/>
  <c r="DQ73" i="3"/>
  <c r="DQ36" i="3"/>
  <c r="DQ42" i="3"/>
  <c r="DQ31" i="3"/>
  <c r="DQ52" i="3"/>
  <c r="DQ38" i="3"/>
  <c r="DQ78" i="3"/>
  <c r="DQ100" i="3"/>
  <c r="DQ7" i="3"/>
  <c r="DQ48" i="3"/>
  <c r="DQ29" i="3"/>
  <c r="DQ45" i="3"/>
  <c r="DQ77" i="3"/>
  <c r="DR8" i="3"/>
  <c r="DQ96" i="3"/>
  <c r="DQ10" i="3"/>
  <c r="DQ11" i="3"/>
  <c r="DQ55" i="3"/>
  <c r="DQ43" i="3"/>
  <c r="DQ49" i="3"/>
  <c r="DQ41" i="3"/>
  <c r="DQ103" i="3"/>
  <c r="DQ25" i="3"/>
  <c r="DQ53" i="3"/>
  <c r="DQ44" i="3"/>
  <c r="DQ79" i="3"/>
  <c r="DQ101" i="3"/>
  <c r="DQ70" i="3"/>
  <c r="DQ26" i="3"/>
  <c r="DR54" i="3" l="1"/>
  <c r="DR7" i="3"/>
  <c r="DR101" i="3"/>
  <c r="DR96" i="3"/>
  <c r="DR82" i="3"/>
  <c r="DR68" i="3"/>
  <c r="DR45" i="3"/>
  <c r="DR65" i="3"/>
  <c r="DR70" i="3"/>
  <c r="DR64" i="3"/>
  <c r="DR53" i="3"/>
  <c r="DR51" i="3"/>
  <c r="DR58" i="3"/>
  <c r="DR69" i="3"/>
  <c r="DR44" i="3"/>
  <c r="DR39" i="3"/>
  <c r="DR28" i="3"/>
  <c r="DR9" i="3"/>
  <c r="DR27" i="3"/>
  <c r="DR25" i="3"/>
  <c r="DR37" i="3"/>
  <c r="DS8" i="3"/>
  <c r="DR10" i="3"/>
  <c r="DR77" i="3"/>
  <c r="DR42" i="3"/>
  <c r="DR100" i="3"/>
  <c r="DR78" i="3"/>
  <c r="DR29" i="3"/>
  <c r="DR12" i="3"/>
  <c r="DR41" i="3"/>
  <c r="DR66" i="3"/>
  <c r="DR55" i="3"/>
  <c r="DR73" i="3"/>
  <c r="DR80" i="3"/>
  <c r="DR103" i="3"/>
  <c r="DR97" i="3"/>
  <c r="DR89" i="3"/>
  <c r="DR81" i="3"/>
  <c r="DR50" i="3"/>
  <c r="DR67" i="3"/>
  <c r="DR52" i="3"/>
  <c r="DR38" i="3"/>
  <c r="DR48" i="3"/>
  <c r="DR49" i="3"/>
  <c r="DR34" i="3"/>
  <c r="DR36" i="3"/>
  <c r="DR26" i="3"/>
  <c r="DR15" i="3"/>
  <c r="DR31" i="3"/>
  <c r="DR79" i="3"/>
  <c r="DR33" i="3"/>
  <c r="DR43" i="3"/>
  <c r="DR40" i="3"/>
  <c r="DR11" i="3"/>
  <c r="DR30" i="3"/>
  <c r="DS68" i="3" l="1"/>
  <c r="DS97" i="3"/>
  <c r="DS81" i="3"/>
  <c r="DS101" i="3"/>
  <c r="DS78" i="3"/>
  <c r="DS77" i="3"/>
  <c r="DS69" i="3"/>
  <c r="DS42" i="3"/>
  <c r="DS26" i="3"/>
  <c r="DS52" i="3"/>
  <c r="DS58" i="3"/>
  <c r="DS55" i="3"/>
  <c r="DS51" i="3"/>
  <c r="DS49" i="3"/>
  <c r="DS33" i="3"/>
  <c r="DS103" i="3"/>
  <c r="DS36" i="3"/>
  <c r="DS15" i="3"/>
  <c r="DS66" i="3"/>
  <c r="DS64" i="3"/>
  <c r="DS48" i="3"/>
  <c r="DS43" i="3"/>
  <c r="DS41" i="3"/>
  <c r="DS31" i="3"/>
  <c r="DS70" i="3"/>
  <c r="DS38" i="3"/>
  <c r="DS25" i="3"/>
  <c r="DS37" i="3"/>
  <c r="DS12" i="3"/>
  <c r="DS9" i="3"/>
  <c r="DS29" i="3"/>
  <c r="DS73" i="3"/>
  <c r="DS34" i="3"/>
  <c r="DT8" i="3"/>
  <c r="DS7" i="3"/>
  <c r="DS10" i="3"/>
  <c r="DS40" i="3"/>
  <c r="DS50" i="3"/>
  <c r="DS53" i="3"/>
  <c r="DS54" i="3"/>
  <c r="DS44" i="3"/>
  <c r="DS79" i="3"/>
  <c r="DS89" i="3"/>
  <c r="DS80" i="3"/>
  <c r="DS82" i="3"/>
  <c r="DS39" i="3"/>
  <c r="DS28" i="3"/>
  <c r="DS100" i="3"/>
  <c r="DS67" i="3"/>
  <c r="DS96" i="3"/>
  <c r="DS11" i="3"/>
  <c r="DS27" i="3"/>
  <c r="DS65" i="3"/>
  <c r="DS30" i="3"/>
  <c r="DS45" i="3"/>
  <c r="DT77" i="3" l="1"/>
  <c r="DT10" i="3"/>
  <c r="DT48" i="3"/>
  <c r="DT70" i="3"/>
  <c r="DT97" i="3"/>
  <c r="DT54" i="3"/>
  <c r="DT11" i="3"/>
  <c r="DT25" i="3"/>
  <c r="DT34" i="3"/>
  <c r="DT45" i="3"/>
  <c r="DT9" i="3"/>
  <c r="DT80" i="3"/>
  <c r="DT66" i="3"/>
  <c r="DT43" i="3"/>
  <c r="DT50" i="3"/>
  <c r="DT39" i="3"/>
  <c r="DT33" i="3"/>
  <c r="DT42" i="3"/>
  <c r="DT68" i="3"/>
  <c r="DT101" i="3"/>
  <c r="DT79" i="3"/>
  <c r="DT64" i="3"/>
  <c r="DT41" i="3"/>
  <c r="DT30" i="3"/>
  <c r="DT15" i="3"/>
  <c r="DT55" i="3"/>
  <c r="DT38" i="3"/>
  <c r="DT51" i="3"/>
  <c r="DT78" i="3"/>
  <c r="DT31" i="3"/>
  <c r="DT89" i="3"/>
  <c r="DT53" i="3"/>
  <c r="DT44" i="3"/>
  <c r="DT82" i="3"/>
  <c r="DT69" i="3"/>
  <c r="DT73" i="3"/>
  <c r="DT26" i="3"/>
  <c r="DT12" i="3"/>
  <c r="DT37" i="3"/>
  <c r="DT58" i="3"/>
  <c r="DT103" i="3"/>
  <c r="DU8" i="3"/>
  <c r="DT96" i="3"/>
  <c r="DT7" i="3"/>
  <c r="DT52" i="3"/>
  <c r="DT29" i="3"/>
  <c r="DT27" i="3"/>
  <c r="DT65" i="3"/>
  <c r="DT100" i="3"/>
  <c r="DT81" i="3"/>
  <c r="DT40" i="3"/>
  <c r="DT28" i="3"/>
  <c r="DT36" i="3"/>
  <c r="DT49" i="3"/>
  <c r="DT67" i="3"/>
  <c r="DU67" i="3" l="1"/>
  <c r="DU31" i="3"/>
  <c r="DU28" i="3"/>
  <c r="DU41" i="3"/>
  <c r="DU82" i="3"/>
  <c r="DU50" i="3"/>
  <c r="DU12" i="3"/>
  <c r="DU26" i="3"/>
  <c r="DU52" i="3"/>
  <c r="DU40" i="3"/>
  <c r="DU101" i="3"/>
  <c r="DU48" i="3"/>
  <c r="DU51" i="3"/>
  <c r="DU37" i="3"/>
  <c r="DU42" i="3"/>
  <c r="DU77" i="3"/>
  <c r="DV8" i="3"/>
  <c r="DU100" i="3"/>
  <c r="DU54" i="3"/>
  <c r="DU96" i="3"/>
  <c r="DU70" i="3"/>
  <c r="DU103" i="3"/>
  <c r="DU27" i="3"/>
  <c r="DU80" i="3"/>
  <c r="DU68" i="3"/>
  <c r="DU79" i="3"/>
  <c r="DU73" i="3"/>
  <c r="DU58" i="3"/>
  <c r="DU55" i="3"/>
  <c r="DU78" i="3"/>
  <c r="DU66" i="3"/>
  <c r="DU29" i="3"/>
  <c r="DU15" i="3"/>
  <c r="DU38" i="3"/>
  <c r="DU81" i="3"/>
  <c r="DU7" i="3"/>
  <c r="DU36" i="3"/>
  <c r="DU10" i="3"/>
  <c r="DU30" i="3"/>
  <c r="DU49" i="3"/>
  <c r="DU44" i="3"/>
  <c r="DU25" i="3"/>
  <c r="DU69" i="3"/>
  <c r="DU33" i="3"/>
  <c r="DU11" i="3"/>
  <c r="DU9" i="3"/>
  <c r="DU34" i="3"/>
  <c r="DU45" i="3"/>
  <c r="DU53" i="3"/>
  <c r="DU39" i="3"/>
  <c r="DU64" i="3"/>
  <c r="DU43" i="3"/>
  <c r="DU97" i="3"/>
  <c r="DU89" i="3"/>
  <c r="DU65" i="3"/>
  <c r="DV69" i="3" l="1"/>
  <c r="DV78" i="3"/>
  <c r="DV96" i="3"/>
  <c r="DV39" i="3"/>
  <c r="DV70" i="3"/>
  <c r="DV26" i="3"/>
  <c r="DV25" i="3"/>
  <c r="DV42" i="3"/>
  <c r="DV101" i="3"/>
  <c r="DV89" i="3"/>
  <c r="DV54" i="3"/>
  <c r="DV52" i="3"/>
  <c r="DV58" i="3"/>
  <c r="DV79" i="3"/>
  <c r="DV53" i="3"/>
  <c r="DV66" i="3"/>
  <c r="DV33" i="3"/>
  <c r="DV31" i="3"/>
  <c r="DV50" i="3"/>
  <c r="DV81" i="3"/>
  <c r="DV82" i="3"/>
  <c r="DV29" i="3"/>
  <c r="DV44" i="3"/>
  <c r="DV40" i="3"/>
  <c r="DV7" i="3"/>
  <c r="DV49" i="3"/>
  <c r="DV36" i="3"/>
  <c r="DV37" i="3"/>
  <c r="DV10" i="3"/>
  <c r="DV45" i="3"/>
  <c r="DV48" i="3"/>
  <c r="DW8" i="3"/>
  <c r="DV38" i="3"/>
  <c r="DV27" i="3"/>
  <c r="DV80" i="3"/>
  <c r="DV51" i="3"/>
  <c r="DV55" i="3"/>
  <c r="DV30" i="3"/>
  <c r="DV100" i="3"/>
  <c r="DV77" i="3"/>
  <c r="DV103" i="3"/>
  <c r="DV9" i="3"/>
  <c r="DV28" i="3"/>
  <c r="DV11" i="3"/>
  <c r="DV67" i="3"/>
  <c r="DV73" i="3"/>
  <c r="DV41" i="3"/>
  <c r="DV34" i="3"/>
  <c r="DV12" i="3"/>
  <c r="DV68" i="3"/>
  <c r="DV64" i="3"/>
  <c r="DV97" i="3"/>
  <c r="DV43" i="3"/>
  <c r="DV15" i="3"/>
  <c r="DV65" i="3"/>
  <c r="DW100" i="3" l="1"/>
  <c r="DW11" i="3"/>
  <c r="DW37" i="3"/>
  <c r="DW101" i="3"/>
  <c r="DW103" i="3"/>
  <c r="DW69" i="3"/>
  <c r="DW44" i="3"/>
  <c r="DW65" i="3"/>
  <c r="DW28" i="3"/>
  <c r="DW25" i="3"/>
  <c r="DW80" i="3"/>
  <c r="DW53" i="3"/>
  <c r="DW70" i="3"/>
  <c r="DW34" i="3"/>
  <c r="DW45" i="3"/>
  <c r="DW33" i="3"/>
  <c r="DW50" i="3"/>
  <c r="DW40" i="3"/>
  <c r="DW78" i="3"/>
  <c r="DW9" i="3"/>
  <c r="DW41" i="3"/>
  <c r="DW29" i="3"/>
  <c r="DW82" i="3"/>
  <c r="DW38" i="3"/>
  <c r="DW51" i="3"/>
  <c r="DW48" i="3"/>
  <c r="DW55" i="3"/>
  <c r="DW52" i="3"/>
  <c r="DW26" i="3"/>
  <c r="DW81" i="3"/>
  <c r="DW97" i="3"/>
  <c r="DW12" i="3"/>
  <c r="DW66" i="3"/>
  <c r="DW49" i="3"/>
  <c r="DW73" i="3"/>
  <c r="DW15" i="3"/>
  <c r="DW58" i="3"/>
  <c r="DX8" i="3"/>
  <c r="DW7" i="3"/>
  <c r="DW68" i="3"/>
  <c r="DW89" i="3"/>
  <c r="DW79" i="3"/>
  <c r="DW10" i="3"/>
  <c r="DW36" i="3"/>
  <c r="DW43" i="3"/>
  <c r="DW96" i="3"/>
  <c r="DW54" i="3"/>
  <c r="DW31" i="3"/>
  <c r="DW27" i="3"/>
  <c r="DW39" i="3"/>
  <c r="DW77" i="3"/>
  <c r="DW30" i="3"/>
  <c r="DW42" i="3"/>
  <c r="DW67" i="3"/>
  <c r="DW64" i="3"/>
  <c r="DX67" i="3" l="1"/>
  <c r="DX33" i="3"/>
  <c r="DX53" i="3"/>
  <c r="DX27" i="3"/>
  <c r="DX97" i="3"/>
  <c r="DX38" i="3"/>
  <c r="DX77" i="3"/>
  <c r="DX11" i="3"/>
  <c r="DX69" i="3"/>
  <c r="DX55" i="3"/>
  <c r="DX100" i="3"/>
  <c r="DX15" i="3"/>
  <c r="DX70" i="3"/>
  <c r="DX50" i="3"/>
  <c r="DX12" i="3"/>
  <c r="DX45" i="3"/>
  <c r="DX101" i="3"/>
  <c r="DX41" i="3"/>
  <c r="DX51" i="3"/>
  <c r="DX28" i="3"/>
  <c r="DX52" i="3"/>
  <c r="DX89" i="3"/>
  <c r="DX30" i="3"/>
  <c r="DX64" i="3"/>
  <c r="DX9" i="3"/>
  <c r="DX73" i="3"/>
  <c r="DX7" i="3"/>
  <c r="DX26" i="3"/>
  <c r="DX31" i="3"/>
  <c r="DX58" i="3"/>
  <c r="DX40" i="3"/>
  <c r="DX36" i="3"/>
  <c r="DY8" i="3"/>
  <c r="DX49" i="3"/>
  <c r="DX79" i="3"/>
  <c r="DX43" i="3"/>
  <c r="DX81" i="3"/>
  <c r="DX29" i="3"/>
  <c r="DX39" i="3"/>
  <c r="DX96" i="3"/>
  <c r="DX82" i="3"/>
  <c r="DX54" i="3"/>
  <c r="DX68" i="3"/>
  <c r="DX103" i="3"/>
  <c r="DX10" i="3"/>
  <c r="DX44" i="3"/>
  <c r="DX80" i="3"/>
  <c r="DX66" i="3"/>
  <c r="DX34" i="3"/>
  <c r="DX65" i="3"/>
  <c r="DX48" i="3"/>
  <c r="DX78" i="3"/>
  <c r="DX42" i="3"/>
  <c r="DX25" i="3"/>
  <c r="DX37" i="3"/>
  <c r="DY80" i="3" l="1"/>
  <c r="DY34" i="3"/>
  <c r="DY82" i="3"/>
  <c r="DY53" i="3"/>
  <c r="DY97" i="3"/>
  <c r="DY44" i="3"/>
  <c r="DY29" i="3"/>
  <c r="DY67" i="3"/>
  <c r="DY55" i="3"/>
  <c r="DY42" i="3"/>
  <c r="DY28" i="3"/>
  <c r="DY70" i="3"/>
  <c r="DY48" i="3"/>
  <c r="DY73" i="3"/>
  <c r="DY11" i="3"/>
  <c r="DY49" i="3"/>
  <c r="DY36" i="3"/>
  <c r="DY58" i="3"/>
  <c r="DZ8" i="3"/>
  <c r="DY96" i="3"/>
  <c r="DY38" i="3"/>
  <c r="DY100" i="3"/>
  <c r="DY43" i="3"/>
  <c r="DY89" i="3"/>
  <c r="DY69" i="3"/>
  <c r="DY52" i="3"/>
  <c r="DY40" i="3"/>
  <c r="DY81" i="3"/>
  <c r="DY15" i="3"/>
  <c r="DY37" i="3"/>
  <c r="DY27" i="3"/>
  <c r="DY26" i="3"/>
  <c r="DY64" i="3"/>
  <c r="DY31" i="3"/>
  <c r="DY30" i="3"/>
  <c r="DY54" i="3"/>
  <c r="DY77" i="3"/>
  <c r="DY41" i="3"/>
  <c r="DY103" i="3"/>
  <c r="DY10" i="3"/>
  <c r="DY7" i="3"/>
  <c r="DY66" i="3"/>
  <c r="DY45" i="3"/>
  <c r="DY33" i="3"/>
  <c r="DY51" i="3"/>
  <c r="DY101" i="3"/>
  <c r="DY39" i="3"/>
  <c r="DY50" i="3"/>
  <c r="DY65" i="3"/>
  <c r="DY68" i="3"/>
  <c r="DY78" i="3"/>
  <c r="DY12" i="3"/>
  <c r="DY79" i="3"/>
  <c r="DY9" i="3"/>
  <c r="DY25" i="3"/>
  <c r="DZ81" i="3" l="1"/>
  <c r="EA8" i="3"/>
  <c r="DZ15" i="3"/>
  <c r="DZ50" i="3"/>
  <c r="DZ30" i="3"/>
  <c r="DZ97" i="3"/>
  <c r="DZ77" i="3"/>
  <c r="DZ66" i="3"/>
  <c r="DZ100" i="3"/>
  <c r="DZ40" i="3"/>
  <c r="DZ49" i="3"/>
  <c r="DZ65" i="3"/>
  <c r="DZ10" i="3"/>
  <c r="DZ31" i="3"/>
  <c r="DZ70" i="3"/>
  <c r="DZ45" i="3"/>
  <c r="DZ9" i="3"/>
  <c r="DZ48" i="3"/>
  <c r="DZ67" i="3"/>
  <c r="DZ34" i="3"/>
  <c r="DZ82" i="3"/>
  <c r="DZ78" i="3"/>
  <c r="DZ33" i="3"/>
  <c r="DZ52" i="3"/>
  <c r="DZ44" i="3"/>
  <c r="DZ36" i="3"/>
  <c r="DZ101" i="3"/>
  <c r="DZ73" i="3"/>
  <c r="DZ37" i="3"/>
  <c r="DZ25" i="3"/>
  <c r="DZ42" i="3"/>
  <c r="DZ55" i="3"/>
  <c r="DZ28" i="3"/>
  <c r="DZ7" i="3"/>
  <c r="DZ26" i="3"/>
  <c r="DZ58" i="3"/>
  <c r="DZ68" i="3"/>
  <c r="DZ41" i="3"/>
  <c r="DZ103" i="3"/>
  <c r="DZ80" i="3"/>
  <c r="DZ39" i="3"/>
  <c r="DZ54" i="3"/>
  <c r="DZ51" i="3"/>
  <c r="DZ96" i="3"/>
  <c r="DZ38" i="3"/>
  <c r="DZ27" i="3"/>
  <c r="DZ79" i="3"/>
  <c r="DZ89" i="3"/>
  <c r="DZ29" i="3"/>
  <c r="DZ69" i="3"/>
  <c r="DZ12" i="3"/>
  <c r="DZ43" i="3"/>
  <c r="DZ53" i="3"/>
  <c r="DZ64" i="3"/>
  <c r="DZ11" i="3"/>
  <c r="EA79" i="3" l="1"/>
  <c r="EA100" i="3"/>
  <c r="EA12" i="3"/>
  <c r="EA97" i="3"/>
  <c r="EA25" i="3"/>
  <c r="EA49" i="3"/>
  <c r="EA11" i="3"/>
  <c r="EA9" i="3"/>
  <c r="EA29" i="3"/>
  <c r="EA89" i="3"/>
  <c r="EA37" i="3"/>
  <c r="EA54" i="3"/>
  <c r="EA50" i="3"/>
  <c r="EA44" i="3"/>
  <c r="EA42" i="3"/>
  <c r="EA55" i="3"/>
  <c r="EA96" i="3"/>
  <c r="EA33" i="3"/>
  <c r="EA68" i="3"/>
  <c r="EA80" i="3"/>
  <c r="EA45" i="3"/>
  <c r="EA65" i="3"/>
  <c r="EA51" i="3"/>
  <c r="EA15" i="3"/>
  <c r="EA101" i="3"/>
  <c r="EA30" i="3"/>
  <c r="EA39" i="3"/>
  <c r="EA53" i="3"/>
  <c r="EA36" i="3"/>
  <c r="EA73" i="3"/>
  <c r="EA58" i="3"/>
  <c r="EB8" i="3"/>
  <c r="EA40" i="3"/>
  <c r="EA69" i="3"/>
  <c r="EA77" i="3"/>
  <c r="EA67" i="3"/>
  <c r="EA82" i="3"/>
  <c r="EA27" i="3"/>
  <c r="EA103" i="3"/>
  <c r="EA31" i="3"/>
  <c r="EA64" i="3"/>
  <c r="EA78" i="3"/>
  <c r="EA43" i="3"/>
  <c r="EA34" i="3"/>
  <c r="EA38" i="3"/>
  <c r="EA26" i="3"/>
  <c r="EA10" i="3"/>
  <c r="EA81" i="3"/>
  <c r="EA70" i="3"/>
  <c r="EA48" i="3"/>
  <c r="EA66" i="3"/>
  <c r="EA52" i="3"/>
  <c r="EA7" i="3"/>
  <c r="EA28" i="3"/>
  <c r="EA41" i="3"/>
  <c r="EB54" i="3" l="1"/>
  <c r="EB101" i="3"/>
  <c r="EB12" i="3"/>
  <c r="EB78" i="3"/>
  <c r="EB29" i="3"/>
  <c r="EB96" i="3"/>
  <c r="EB10" i="3"/>
  <c r="EB79" i="3"/>
  <c r="EB73" i="3"/>
  <c r="EB69" i="3"/>
  <c r="EB58" i="3"/>
  <c r="EB48" i="3"/>
  <c r="EB65" i="3"/>
  <c r="EB9" i="3"/>
  <c r="EB49" i="3"/>
  <c r="EC8" i="3"/>
  <c r="EB51" i="3"/>
  <c r="EB31" i="3"/>
  <c r="EB28" i="3"/>
  <c r="EB52" i="3"/>
  <c r="EB82" i="3"/>
  <c r="EB100" i="3"/>
  <c r="EB27" i="3"/>
  <c r="EB44" i="3"/>
  <c r="EB70" i="3"/>
  <c r="EB36" i="3"/>
  <c r="EB103" i="3"/>
  <c r="EB41" i="3"/>
  <c r="EB89" i="3"/>
  <c r="EB50" i="3"/>
  <c r="EB68" i="3"/>
  <c r="EB43" i="3"/>
  <c r="EB40" i="3"/>
  <c r="EB34" i="3"/>
  <c r="EB25" i="3"/>
  <c r="EB30" i="3"/>
  <c r="EB11" i="3"/>
  <c r="EB53" i="3"/>
  <c r="EB80" i="3"/>
  <c r="EB81" i="3"/>
  <c r="EB64" i="3"/>
  <c r="EB97" i="3"/>
  <c r="EB26" i="3"/>
  <c r="EB15" i="3"/>
  <c r="EB45" i="3"/>
  <c r="EB55" i="3"/>
  <c r="EB66" i="3"/>
  <c r="EB67" i="3"/>
  <c r="EB77" i="3"/>
  <c r="EB37" i="3"/>
  <c r="EB33" i="3"/>
  <c r="EB38" i="3"/>
  <c r="EB42" i="3"/>
  <c r="EB39" i="3"/>
  <c r="EB7" i="3"/>
  <c r="EC73" i="3" l="1"/>
  <c r="EC30" i="3"/>
  <c r="EC33" i="3"/>
  <c r="EC41" i="3"/>
  <c r="EC103" i="3"/>
  <c r="EC25" i="3"/>
  <c r="EC96" i="3"/>
  <c r="EC9" i="3"/>
  <c r="EC64" i="3"/>
  <c r="EC55" i="3"/>
  <c r="EC29" i="3"/>
  <c r="EC15" i="3"/>
  <c r="EC68" i="3"/>
  <c r="EC11" i="3"/>
  <c r="EC52" i="3"/>
  <c r="EC50" i="3"/>
  <c r="EC53" i="3"/>
  <c r="EC12" i="3"/>
  <c r="ED8" i="3"/>
  <c r="EC51" i="3"/>
  <c r="EC31" i="3"/>
  <c r="EC70" i="3"/>
  <c r="EC81" i="3"/>
  <c r="EC82" i="3"/>
  <c r="EC79" i="3"/>
  <c r="EC49" i="3"/>
  <c r="EC42" i="3"/>
  <c r="EC69" i="3"/>
  <c r="EC7" i="3"/>
  <c r="EC44" i="3"/>
  <c r="EC78" i="3"/>
  <c r="EC58" i="3"/>
  <c r="EC97" i="3"/>
  <c r="EC38" i="3"/>
  <c r="EC66" i="3"/>
  <c r="EC27" i="3"/>
  <c r="EC43" i="3"/>
  <c r="EC40" i="3"/>
  <c r="EC67" i="3"/>
  <c r="EC54" i="3"/>
  <c r="EC101" i="3"/>
  <c r="EC39" i="3"/>
  <c r="EC80" i="3"/>
  <c r="EC100" i="3"/>
  <c r="EC26" i="3"/>
  <c r="EC77" i="3"/>
  <c r="EC37" i="3"/>
  <c r="EC34" i="3"/>
  <c r="EC65" i="3"/>
  <c r="EC89" i="3"/>
  <c r="EC48" i="3"/>
  <c r="EC45" i="3"/>
  <c r="EC28" i="3"/>
  <c r="EC10" i="3"/>
  <c r="EC36" i="3"/>
  <c r="ED78" i="3" l="1"/>
  <c r="ED12" i="3"/>
  <c r="ED48" i="3"/>
  <c r="ED27" i="3"/>
  <c r="ED28" i="3"/>
  <c r="ED101" i="3"/>
  <c r="ED26" i="3"/>
  <c r="ED50" i="3"/>
  <c r="ED82" i="3"/>
  <c r="ED36" i="3"/>
  <c r="ED80" i="3"/>
  <c r="ED77" i="3"/>
  <c r="ED53" i="3"/>
  <c r="ED45" i="3"/>
  <c r="ED15" i="3"/>
  <c r="ED70" i="3"/>
  <c r="ED40" i="3"/>
  <c r="ED30" i="3"/>
  <c r="ED10" i="3"/>
  <c r="ED67" i="3"/>
  <c r="ED97" i="3"/>
  <c r="ED54" i="3"/>
  <c r="ED44" i="3"/>
  <c r="ED65" i="3"/>
  <c r="ED64" i="3"/>
  <c r="ED79" i="3"/>
  <c r="ED37" i="3"/>
  <c r="ED68" i="3"/>
  <c r="ED43" i="3"/>
  <c r="ED29" i="3"/>
  <c r="ED33" i="3"/>
  <c r="ED34" i="3"/>
  <c r="ED58" i="3"/>
  <c r="ED89" i="3"/>
  <c r="ED55" i="3"/>
  <c r="EE8" i="3"/>
  <c r="ED69" i="3"/>
  <c r="ED9" i="3"/>
  <c r="ED96" i="3"/>
  <c r="ED103" i="3"/>
  <c r="ED31" i="3"/>
  <c r="ED38" i="3"/>
  <c r="ED73" i="3"/>
  <c r="ED42" i="3"/>
  <c r="ED52" i="3"/>
  <c r="ED7" i="3"/>
  <c r="ED49" i="3"/>
  <c r="ED39" i="3"/>
  <c r="ED100" i="3"/>
  <c r="ED41" i="3"/>
  <c r="ED66" i="3"/>
  <c r="ED11" i="3"/>
  <c r="ED25" i="3"/>
  <c r="ED81" i="3"/>
  <c r="ED51" i="3"/>
  <c r="EE68" i="3" l="1"/>
  <c r="EE27" i="3"/>
  <c r="EE43" i="3"/>
  <c r="EE39" i="3"/>
  <c r="EE81" i="3"/>
  <c r="EE73" i="3"/>
  <c r="EE97" i="3"/>
  <c r="EE34" i="3"/>
  <c r="EE58" i="3"/>
  <c r="EE67" i="3"/>
  <c r="EF8" i="3"/>
  <c r="EE78" i="3"/>
  <c r="EE29" i="3"/>
  <c r="EE96" i="3"/>
  <c r="EE45" i="3"/>
  <c r="EE51" i="3"/>
  <c r="EE41" i="3"/>
  <c r="EE79" i="3"/>
  <c r="EE70" i="3"/>
  <c r="EE64" i="3"/>
  <c r="EE38" i="3"/>
  <c r="EE7" i="3"/>
  <c r="EE33" i="3"/>
  <c r="EE82" i="3"/>
  <c r="EE50" i="3"/>
  <c r="EE26" i="3"/>
  <c r="EE42" i="3"/>
  <c r="EE103" i="3"/>
  <c r="EE11" i="3"/>
  <c r="EE36" i="3"/>
  <c r="EE89" i="3"/>
  <c r="EE10" i="3"/>
  <c r="EE37" i="3"/>
  <c r="EE15" i="3"/>
  <c r="EE49" i="3"/>
  <c r="EE55" i="3"/>
  <c r="EE69" i="3"/>
  <c r="EE48" i="3"/>
  <c r="EE54" i="3"/>
  <c r="EE28" i="3"/>
  <c r="EE31" i="3"/>
  <c r="EE66" i="3"/>
  <c r="EE25" i="3"/>
  <c r="EE40" i="3"/>
  <c r="EE52" i="3"/>
  <c r="EE80" i="3"/>
  <c r="EE9" i="3"/>
  <c r="EE44" i="3"/>
  <c r="EE30" i="3"/>
  <c r="EE77" i="3"/>
  <c r="EE101" i="3"/>
  <c r="EE100" i="3"/>
  <c r="EE12" i="3"/>
  <c r="EE65" i="3"/>
  <c r="EE53" i="3"/>
  <c r="EF68" i="3" l="1"/>
  <c r="EF26" i="3"/>
  <c r="EF36" i="3"/>
  <c r="EF58" i="3"/>
  <c r="EF82" i="3"/>
  <c r="EF67" i="3"/>
  <c r="EF48" i="3"/>
  <c r="EF38" i="3"/>
  <c r="EF28" i="3"/>
  <c r="EF44" i="3"/>
  <c r="EF89" i="3"/>
  <c r="EF37" i="3"/>
  <c r="EF96" i="3"/>
  <c r="EF81" i="3"/>
  <c r="EF11" i="3"/>
  <c r="EF50" i="3"/>
  <c r="EF103" i="3"/>
  <c r="EF52" i="3"/>
  <c r="EF79" i="3"/>
  <c r="EF40" i="3"/>
  <c r="EF30" i="3"/>
  <c r="EF64" i="3"/>
  <c r="EF9" i="3"/>
  <c r="EF29" i="3"/>
  <c r="EF27" i="3"/>
  <c r="EF34" i="3"/>
  <c r="EF69" i="3"/>
  <c r="EF78" i="3"/>
  <c r="EF54" i="3"/>
  <c r="EF55" i="3"/>
  <c r="EF10" i="3"/>
  <c r="EF12" i="3"/>
  <c r="EF43" i="3"/>
  <c r="EF101" i="3"/>
  <c r="EF42" i="3"/>
  <c r="EF73" i="3"/>
  <c r="EF97" i="3"/>
  <c r="EF15" i="3"/>
  <c r="EF80" i="3"/>
  <c r="EF45" i="3"/>
  <c r="EF31" i="3"/>
  <c r="EF53" i="3"/>
  <c r="EF70" i="3"/>
  <c r="EF25" i="3"/>
  <c r="EF49" i="3"/>
  <c r="EF39" i="3"/>
  <c r="EF65" i="3"/>
  <c r="EF7" i="3"/>
  <c r="EF100" i="3"/>
  <c r="EF77" i="3"/>
  <c r="EF51" i="3"/>
  <c r="EF33" i="3"/>
  <c r="EF66" i="3"/>
  <c r="EF41" i="3"/>
  <c r="EG8" i="3"/>
  <c r="EG67" i="3" l="1"/>
  <c r="EG49" i="3"/>
  <c r="EG33" i="3"/>
  <c r="EG89" i="3"/>
  <c r="EG54" i="3"/>
  <c r="EG29" i="3"/>
  <c r="EG80" i="3"/>
  <c r="EG65" i="3"/>
  <c r="EG51" i="3"/>
  <c r="EG77" i="3"/>
  <c r="EG69" i="3"/>
  <c r="EG39" i="3"/>
  <c r="EG96" i="3"/>
  <c r="EG10" i="3"/>
  <c r="EG81" i="3"/>
  <c r="EG52" i="3"/>
  <c r="EG42" i="3"/>
  <c r="EG40" i="3"/>
  <c r="EG43" i="3"/>
  <c r="EG9" i="3"/>
  <c r="EG73" i="3"/>
  <c r="EG79" i="3"/>
  <c r="EG50" i="3"/>
  <c r="EG55" i="3"/>
  <c r="EG68" i="3"/>
  <c r="EG31" i="3"/>
  <c r="EG66" i="3"/>
  <c r="EG25" i="3"/>
  <c r="EG36" i="3"/>
  <c r="EG27" i="3"/>
  <c r="EG28" i="3"/>
  <c r="EG41" i="3"/>
  <c r="EG48" i="3"/>
  <c r="EG82" i="3"/>
  <c r="EG38" i="3"/>
  <c r="EG53" i="3"/>
  <c r="EG103" i="3"/>
  <c r="EG12" i="3"/>
  <c r="EG100" i="3"/>
  <c r="EG34" i="3"/>
  <c r="EG45" i="3"/>
  <c r="EG26" i="3"/>
  <c r="EG30" i="3"/>
  <c r="EG58" i="3"/>
  <c r="EG70" i="3"/>
  <c r="EG37" i="3"/>
  <c r="EG64" i="3"/>
  <c r="EG11" i="3"/>
  <c r="EG44" i="3"/>
  <c r="EH8" i="3"/>
  <c r="EG97" i="3"/>
  <c r="EG78" i="3"/>
  <c r="EG15" i="3"/>
  <c r="EG7" i="3"/>
  <c r="EG101" i="3"/>
  <c r="EH68" i="3" l="1"/>
  <c r="EH15" i="3"/>
  <c r="EH41" i="3"/>
  <c r="EH53" i="3"/>
  <c r="EH34" i="3"/>
  <c r="EH30" i="3"/>
  <c r="EH44" i="3"/>
  <c r="EH40" i="3"/>
  <c r="EH54" i="3"/>
  <c r="EH70" i="3"/>
  <c r="EH80" i="3"/>
  <c r="EH96" i="3"/>
  <c r="EH55" i="3"/>
  <c r="EH79" i="3"/>
  <c r="EH7" i="3"/>
  <c r="EH25" i="3"/>
  <c r="EH42" i="3"/>
  <c r="EH39" i="3"/>
  <c r="EH36" i="3"/>
  <c r="EH66" i="3"/>
  <c r="EH28" i="3"/>
  <c r="EH97" i="3"/>
  <c r="EH103" i="3"/>
  <c r="EH82" i="3"/>
  <c r="EH37" i="3"/>
  <c r="EH27" i="3"/>
  <c r="EH43" i="3"/>
  <c r="EH89" i="3"/>
  <c r="EH48" i="3"/>
  <c r="EH64" i="3"/>
  <c r="EH73" i="3"/>
  <c r="EI8" i="3"/>
  <c r="EH49" i="3"/>
  <c r="EH65" i="3"/>
  <c r="EH58" i="3"/>
  <c r="EH67" i="3"/>
  <c r="EH29" i="3"/>
  <c r="EH31" i="3"/>
  <c r="EH50" i="3"/>
  <c r="EH52" i="3"/>
  <c r="EH10" i="3"/>
  <c r="EH81" i="3"/>
  <c r="EH26" i="3"/>
  <c r="EH101" i="3"/>
  <c r="EH51" i="3"/>
  <c r="EH100" i="3"/>
  <c r="EH78" i="3"/>
  <c r="EH12" i="3"/>
  <c r="EH38" i="3"/>
  <c r="EH9" i="3"/>
  <c r="EH69" i="3"/>
  <c r="EH11" i="3"/>
  <c r="EH33" i="3"/>
  <c r="EH45" i="3"/>
  <c r="EH77" i="3"/>
  <c r="EI66" i="3" l="1"/>
  <c r="EI34" i="3"/>
  <c r="EI39" i="3"/>
  <c r="EI101" i="3"/>
  <c r="EI36" i="3"/>
  <c r="EI9" i="3"/>
  <c r="EJ8" i="3"/>
  <c r="EI52" i="3"/>
  <c r="EI67" i="3"/>
  <c r="EI100" i="3"/>
  <c r="EI69" i="3"/>
  <c r="EI89" i="3"/>
  <c r="EI77" i="3"/>
  <c r="EI103" i="3"/>
  <c r="EI41" i="3"/>
  <c r="EI30" i="3"/>
  <c r="EI65" i="3"/>
  <c r="EI29" i="3"/>
  <c r="EI42" i="3"/>
  <c r="EI73" i="3"/>
  <c r="EI33" i="3"/>
  <c r="EI58" i="3"/>
  <c r="EI51" i="3"/>
  <c r="EI25" i="3"/>
  <c r="EI45" i="3"/>
  <c r="EI79" i="3"/>
  <c r="EI31" i="3"/>
  <c r="EI49" i="3"/>
  <c r="EI82" i="3"/>
  <c r="EI53" i="3"/>
  <c r="EI10" i="3"/>
  <c r="EI64" i="3"/>
  <c r="EI12" i="3"/>
  <c r="EI27" i="3"/>
  <c r="EI55" i="3"/>
  <c r="EI68" i="3"/>
  <c r="EI43" i="3"/>
  <c r="EI54" i="3"/>
  <c r="EI11" i="3"/>
  <c r="EI81" i="3"/>
  <c r="EI40" i="3"/>
  <c r="EI26" i="3"/>
  <c r="EI97" i="3"/>
  <c r="EI78" i="3"/>
  <c r="EI37" i="3"/>
  <c r="EI96" i="3"/>
  <c r="EI15" i="3"/>
  <c r="EI7" i="3"/>
  <c r="EI48" i="3"/>
  <c r="EI80" i="3"/>
  <c r="EI70" i="3"/>
  <c r="EI28" i="3"/>
  <c r="EI44" i="3"/>
  <c r="EI50" i="3"/>
  <c r="EI38" i="3"/>
  <c r="EJ65" i="3" l="1"/>
  <c r="EJ34" i="3"/>
  <c r="EJ11" i="3"/>
  <c r="EJ30" i="3"/>
  <c r="EJ41" i="3"/>
  <c r="EJ44" i="3"/>
  <c r="EJ68" i="3"/>
  <c r="EJ50" i="3"/>
  <c r="EJ54" i="3"/>
  <c r="EJ101" i="3"/>
  <c r="EJ36" i="3"/>
  <c r="EJ28" i="3"/>
  <c r="EJ27" i="3"/>
  <c r="EJ97" i="3"/>
  <c r="EJ100" i="3"/>
  <c r="EJ29" i="3"/>
  <c r="EJ81" i="3"/>
  <c r="EJ25" i="3"/>
  <c r="EJ33" i="3"/>
  <c r="EJ82" i="3"/>
  <c r="EK8" i="3"/>
  <c r="EJ52" i="3"/>
  <c r="EJ53" i="3"/>
  <c r="EJ10" i="3"/>
  <c r="EJ51" i="3"/>
  <c r="EJ58" i="3"/>
  <c r="EJ73" i="3"/>
  <c r="EJ40" i="3"/>
  <c r="EJ89" i="3"/>
  <c r="EJ69" i="3"/>
  <c r="EJ42" i="3"/>
  <c r="EJ37" i="3"/>
  <c r="EJ39" i="3"/>
  <c r="EJ49" i="3"/>
  <c r="EJ9" i="3"/>
  <c r="EJ7" i="3"/>
  <c r="EJ31" i="3"/>
  <c r="EJ66" i="3"/>
  <c r="EJ48" i="3"/>
  <c r="EJ64" i="3"/>
  <c r="EJ79" i="3"/>
  <c r="EJ15" i="3"/>
  <c r="EJ80" i="3"/>
  <c r="EJ43" i="3"/>
  <c r="EJ26" i="3"/>
  <c r="EJ45" i="3"/>
  <c r="EJ67" i="3"/>
  <c r="EJ55" i="3"/>
  <c r="EJ77" i="3"/>
  <c r="EJ12" i="3"/>
  <c r="EJ103" i="3"/>
  <c r="EJ78" i="3"/>
  <c r="EJ96" i="3"/>
  <c r="EJ70" i="3"/>
  <c r="EJ38" i="3"/>
  <c r="EK58" i="3" l="1"/>
  <c r="EK89" i="3"/>
  <c r="EK10" i="3"/>
  <c r="EK65" i="3"/>
  <c r="EK12" i="3"/>
  <c r="EK97" i="3"/>
  <c r="EK69" i="3"/>
  <c r="EK67" i="3"/>
  <c r="EK42" i="3"/>
  <c r="EK81" i="3"/>
  <c r="EK101" i="3"/>
  <c r="EK15" i="3"/>
  <c r="EK9" i="3"/>
  <c r="EK53" i="3"/>
  <c r="EK79" i="3"/>
  <c r="EK49" i="3"/>
  <c r="EK34" i="3"/>
  <c r="EK26" i="3"/>
  <c r="EK73" i="3"/>
  <c r="EK66" i="3"/>
  <c r="EK45" i="3"/>
  <c r="EK82" i="3"/>
  <c r="EK55" i="3"/>
  <c r="EK29" i="3"/>
  <c r="EK52" i="3"/>
  <c r="EK28" i="3"/>
  <c r="EL8" i="3"/>
  <c r="EK48" i="3"/>
  <c r="EK51" i="3"/>
  <c r="EK43" i="3"/>
  <c r="EK38" i="3"/>
  <c r="EK7" i="3"/>
  <c r="EK68" i="3"/>
  <c r="EK40" i="3"/>
  <c r="EK39" i="3"/>
  <c r="EK41" i="3"/>
  <c r="EK103" i="3"/>
  <c r="EK36" i="3"/>
  <c r="EK31" i="3"/>
  <c r="EK25" i="3"/>
  <c r="EK44" i="3"/>
  <c r="EK100" i="3"/>
  <c r="EK54" i="3"/>
  <c r="EK11" i="3"/>
  <c r="EK96" i="3"/>
  <c r="EK64" i="3"/>
  <c r="EK50" i="3"/>
  <c r="EK80" i="3"/>
  <c r="EK70" i="3"/>
  <c r="EK33" i="3"/>
  <c r="EK77" i="3"/>
  <c r="EK78" i="3"/>
  <c r="EK30" i="3"/>
  <c r="EK37" i="3"/>
  <c r="EK27" i="3"/>
  <c r="EL54" i="3" l="1"/>
  <c r="EL101" i="3"/>
  <c r="EL40" i="3"/>
  <c r="EL27" i="3"/>
  <c r="EL82" i="3"/>
  <c r="EL52" i="3"/>
  <c r="EL89" i="3"/>
  <c r="EL81" i="3"/>
  <c r="EL65" i="3"/>
  <c r="EL77" i="3"/>
  <c r="EL26" i="3"/>
  <c r="EL97" i="3"/>
  <c r="EL9" i="3"/>
  <c r="EL45" i="3"/>
  <c r="EL67" i="3"/>
  <c r="EL12" i="3"/>
  <c r="EL42" i="3"/>
  <c r="EL80" i="3"/>
  <c r="EL33" i="3"/>
  <c r="EL31" i="3"/>
  <c r="EL30" i="3"/>
  <c r="EL36" i="3"/>
  <c r="EL51" i="3"/>
  <c r="EL44" i="3"/>
  <c r="EL48" i="3"/>
  <c r="EL100" i="3"/>
  <c r="EL15" i="3"/>
  <c r="EL55" i="3"/>
  <c r="EL58" i="3"/>
  <c r="EL39" i="3"/>
  <c r="EL10" i="3"/>
  <c r="EL69" i="3"/>
  <c r="EL73" i="3"/>
  <c r="EL7" i="3"/>
  <c r="EM8" i="3"/>
  <c r="EL28" i="3"/>
  <c r="EL38" i="3"/>
  <c r="EL78" i="3"/>
  <c r="EL64" i="3"/>
  <c r="EL34" i="3"/>
  <c r="EL53" i="3"/>
  <c r="EL50" i="3"/>
  <c r="EL66" i="3"/>
  <c r="EL11" i="3"/>
  <c r="EL68" i="3"/>
  <c r="EL103" i="3"/>
  <c r="EL25" i="3"/>
  <c r="EL41" i="3"/>
  <c r="EL96" i="3"/>
  <c r="EL49" i="3"/>
  <c r="EL43" i="3"/>
  <c r="EL29" i="3"/>
  <c r="EL70" i="3"/>
  <c r="EL37" i="3"/>
  <c r="EL79" i="3"/>
  <c r="EM67" i="3" l="1"/>
  <c r="EN8" i="3"/>
  <c r="EM26" i="3"/>
  <c r="EM25" i="3"/>
  <c r="EM27" i="3"/>
  <c r="EM7" i="3"/>
  <c r="EM11" i="3"/>
  <c r="EM10" i="3"/>
  <c r="EM53" i="3"/>
  <c r="EM80" i="3"/>
  <c r="EM73" i="3"/>
  <c r="EM54" i="3"/>
  <c r="EM100" i="3"/>
  <c r="EM12" i="3"/>
  <c r="EM68" i="3"/>
  <c r="EM15" i="3"/>
  <c r="EM44" i="3"/>
  <c r="EM81" i="3"/>
  <c r="EM45" i="3"/>
  <c r="EM79" i="3"/>
  <c r="EM77" i="3"/>
  <c r="EM28" i="3"/>
  <c r="EM58" i="3"/>
  <c r="EM51" i="3"/>
  <c r="EM37" i="3"/>
  <c r="EM78" i="3"/>
  <c r="EM69" i="3"/>
  <c r="EM41" i="3"/>
  <c r="EM43" i="3"/>
  <c r="EM40" i="3"/>
  <c r="EM52" i="3"/>
  <c r="EM103" i="3"/>
  <c r="EM101" i="3"/>
  <c r="EM48" i="3"/>
  <c r="EM9" i="3"/>
  <c r="EM33" i="3"/>
  <c r="EM31" i="3"/>
  <c r="EM50" i="3"/>
  <c r="EM82" i="3"/>
  <c r="EM29" i="3"/>
  <c r="EM30" i="3"/>
  <c r="EM89" i="3"/>
  <c r="EM39" i="3"/>
  <c r="EM96" i="3"/>
  <c r="EM65" i="3"/>
  <c r="EM42" i="3"/>
  <c r="EM38" i="3"/>
  <c r="EM55" i="3"/>
  <c r="EM36" i="3"/>
  <c r="EM49" i="3"/>
  <c r="EM97" i="3"/>
  <c r="EM64" i="3"/>
  <c r="EM66" i="3"/>
  <c r="EM34" i="3"/>
  <c r="EM70" i="3"/>
  <c r="EN73" i="3" l="1"/>
  <c r="EN9" i="3"/>
  <c r="EN40" i="3"/>
  <c r="EN34" i="3"/>
  <c r="EN55" i="3"/>
  <c r="EN67" i="3"/>
  <c r="EO8" i="3"/>
  <c r="EN79" i="3"/>
  <c r="EN54" i="3"/>
  <c r="EN29" i="3"/>
  <c r="EN31" i="3"/>
  <c r="EN82" i="3"/>
  <c r="EN103" i="3"/>
  <c r="EN28" i="3"/>
  <c r="EN48" i="3"/>
  <c r="EN41" i="3"/>
  <c r="EN15" i="3"/>
  <c r="EN11" i="3"/>
  <c r="EN66" i="3"/>
  <c r="EN49" i="3"/>
  <c r="EN101" i="3"/>
  <c r="EN12" i="3"/>
  <c r="EN44" i="3"/>
  <c r="EN80" i="3"/>
  <c r="EN51" i="3"/>
  <c r="EN70" i="3"/>
  <c r="EN96" i="3"/>
  <c r="EN50" i="3"/>
  <c r="EN30" i="3"/>
  <c r="EN39" i="3"/>
  <c r="EN77" i="3"/>
  <c r="EN97" i="3"/>
  <c r="EN7" i="3"/>
  <c r="EN25" i="3"/>
  <c r="EN42" i="3"/>
  <c r="EN27" i="3"/>
  <c r="EN33" i="3"/>
  <c r="EN38" i="3"/>
  <c r="EN81" i="3"/>
  <c r="EN45" i="3"/>
  <c r="EN64" i="3"/>
  <c r="EN100" i="3"/>
  <c r="EN65" i="3"/>
  <c r="EN10" i="3"/>
  <c r="EN37" i="3"/>
  <c r="EN36" i="3"/>
  <c r="EN89" i="3"/>
  <c r="EN43" i="3"/>
  <c r="EN68" i="3"/>
  <c r="EN52" i="3"/>
  <c r="EN78" i="3"/>
  <c r="EN26" i="3"/>
  <c r="EN58" i="3"/>
  <c r="EN69" i="3"/>
  <c r="EN53" i="3"/>
  <c r="EO69" i="3" l="1"/>
  <c r="EO7" i="3"/>
  <c r="EO37" i="3"/>
  <c r="EO48" i="3"/>
  <c r="EO77" i="3"/>
  <c r="EO38" i="3"/>
  <c r="EO54" i="3"/>
  <c r="EO34" i="3"/>
  <c r="EO73" i="3"/>
  <c r="EO53" i="3"/>
  <c r="EO64" i="3"/>
  <c r="EO89" i="3"/>
  <c r="EO11" i="3"/>
  <c r="EO30" i="3"/>
  <c r="EO28" i="3"/>
  <c r="EO101" i="3"/>
  <c r="EO36" i="3"/>
  <c r="EO100" i="3"/>
  <c r="EO42" i="3"/>
  <c r="EO31" i="3"/>
  <c r="EO68" i="3"/>
  <c r="EO25" i="3"/>
  <c r="EO40" i="3"/>
  <c r="EO44" i="3"/>
  <c r="EO15" i="3"/>
  <c r="EO70" i="3"/>
  <c r="EO43" i="3"/>
  <c r="EO41" i="3"/>
  <c r="EO103" i="3"/>
  <c r="EO50" i="3"/>
  <c r="EO26" i="3"/>
  <c r="EO82" i="3"/>
  <c r="EO55" i="3"/>
  <c r="EO10" i="3"/>
  <c r="EO51" i="3"/>
  <c r="EO81" i="3"/>
  <c r="EO78" i="3"/>
  <c r="EO27" i="3"/>
  <c r="EO33" i="3"/>
  <c r="EO67" i="3"/>
  <c r="EO39" i="3"/>
  <c r="EO96" i="3"/>
  <c r="EO12" i="3"/>
  <c r="EO49" i="3"/>
  <c r="EP8" i="3"/>
  <c r="EO58" i="3"/>
  <c r="EO66" i="3"/>
  <c r="EO97" i="3"/>
  <c r="EO29" i="3"/>
  <c r="EO79" i="3"/>
  <c r="EO80" i="3"/>
  <c r="EO45" i="3"/>
  <c r="EO65" i="3"/>
  <c r="EO9" i="3"/>
  <c r="EO52" i="3"/>
  <c r="EP73" i="3" l="1"/>
  <c r="EP25" i="3"/>
  <c r="EP30" i="3"/>
  <c r="EP9" i="3"/>
  <c r="EP77" i="3"/>
  <c r="EP79" i="3"/>
  <c r="EP27" i="3"/>
  <c r="EP55" i="3"/>
  <c r="EP64" i="3"/>
  <c r="EP70" i="3"/>
  <c r="EP97" i="3"/>
  <c r="EP50" i="3"/>
  <c r="EP36" i="3"/>
  <c r="EP101" i="3"/>
  <c r="EP42" i="3"/>
  <c r="EP12" i="3"/>
  <c r="EP41" i="3"/>
  <c r="EP103" i="3"/>
  <c r="EP45" i="3"/>
  <c r="EP34" i="3"/>
  <c r="EP89" i="3"/>
  <c r="EQ8" i="3"/>
  <c r="EP38" i="3"/>
  <c r="EP100" i="3"/>
  <c r="EP37" i="3"/>
  <c r="EP28" i="3"/>
  <c r="EP69" i="3"/>
  <c r="EP58" i="3"/>
  <c r="EP80" i="3"/>
  <c r="EP15" i="3"/>
  <c r="EP29" i="3"/>
  <c r="EP67" i="3"/>
  <c r="EP26" i="3"/>
  <c r="EP52" i="3"/>
  <c r="EP11" i="3"/>
  <c r="EP78" i="3"/>
  <c r="EP65" i="3"/>
  <c r="EP39" i="3"/>
  <c r="EP96" i="3"/>
  <c r="EP44" i="3"/>
  <c r="EP10" i="3"/>
  <c r="EP66" i="3"/>
  <c r="EP54" i="3"/>
  <c r="EP81" i="3"/>
  <c r="EP82" i="3"/>
  <c r="EP7" i="3"/>
  <c r="EP31" i="3"/>
  <c r="EP48" i="3"/>
  <c r="EP53" i="3"/>
  <c r="EP33" i="3"/>
  <c r="EP51" i="3"/>
  <c r="EP43" i="3"/>
  <c r="EP68" i="3"/>
  <c r="EP40" i="3"/>
  <c r="EP49" i="3"/>
  <c r="EQ68" i="3" l="1"/>
  <c r="EQ67" i="3"/>
  <c r="EQ65" i="3"/>
  <c r="EQ34" i="3"/>
  <c r="EQ55" i="3"/>
  <c r="EQ48" i="3"/>
  <c r="EQ69" i="3"/>
  <c r="EQ97" i="3"/>
  <c r="EQ82" i="3"/>
  <c r="EQ52" i="3"/>
  <c r="EQ64" i="3"/>
  <c r="EQ40" i="3"/>
  <c r="EQ38" i="3"/>
  <c r="EQ15" i="3"/>
  <c r="EQ80" i="3"/>
  <c r="EQ78" i="3"/>
  <c r="EQ100" i="3"/>
  <c r="EQ49" i="3"/>
  <c r="EQ37" i="3"/>
  <c r="EQ54" i="3"/>
  <c r="EQ11" i="3"/>
  <c r="EQ9" i="3"/>
  <c r="EQ27" i="3"/>
  <c r="EQ103" i="3"/>
  <c r="EQ73" i="3"/>
  <c r="EQ101" i="3"/>
  <c r="EQ26" i="3"/>
  <c r="EQ12" i="3"/>
  <c r="EQ33" i="3"/>
  <c r="EQ89" i="3"/>
  <c r="EQ66" i="3"/>
  <c r="EQ77" i="3"/>
  <c r="EQ36" i="3"/>
  <c r="EQ30" i="3"/>
  <c r="EQ79" i="3"/>
  <c r="EQ39" i="3"/>
  <c r="EQ41" i="3"/>
  <c r="EQ42" i="3"/>
  <c r="ER8" i="3"/>
  <c r="EQ58" i="3"/>
  <c r="EQ25" i="3"/>
  <c r="EQ44" i="3"/>
  <c r="EQ10" i="3"/>
  <c r="EQ28" i="3"/>
  <c r="EQ29" i="3"/>
  <c r="EQ51" i="3"/>
  <c r="EQ31" i="3"/>
  <c r="EQ43" i="3"/>
  <c r="EQ45" i="3"/>
  <c r="EQ53" i="3"/>
  <c r="EQ50" i="3"/>
  <c r="EQ81" i="3"/>
  <c r="EQ96" i="3"/>
  <c r="EQ7" i="3"/>
  <c r="EQ70" i="3"/>
  <c r="ER67" i="3" l="1"/>
  <c r="ER11" i="3"/>
  <c r="ER15" i="3"/>
  <c r="ER30" i="3"/>
  <c r="ER65" i="3"/>
  <c r="ER33" i="3"/>
  <c r="ER29" i="3"/>
  <c r="ER70" i="3"/>
  <c r="ER49" i="3"/>
  <c r="ER31" i="3"/>
  <c r="ER36" i="3"/>
  <c r="ER26" i="3"/>
  <c r="ER69" i="3"/>
  <c r="ER58" i="3"/>
  <c r="ES8" i="3"/>
  <c r="ER28" i="3"/>
  <c r="ER27" i="3"/>
  <c r="ER96" i="3"/>
  <c r="ER7" i="3"/>
  <c r="ER103" i="3"/>
  <c r="ER34" i="3"/>
  <c r="ER100" i="3"/>
  <c r="ER55" i="3"/>
  <c r="ER81" i="3"/>
  <c r="ER41" i="3"/>
  <c r="ER43" i="3"/>
  <c r="ER64" i="3"/>
  <c r="ER9" i="3"/>
  <c r="ER78" i="3"/>
  <c r="ER44" i="3"/>
  <c r="ER51" i="3"/>
  <c r="ER48" i="3"/>
  <c r="ER52" i="3"/>
  <c r="ER80" i="3"/>
  <c r="ER53" i="3"/>
  <c r="ER73" i="3"/>
  <c r="ER40" i="3"/>
  <c r="ER25" i="3"/>
  <c r="ER89" i="3"/>
  <c r="ER42" i="3"/>
  <c r="ER77" i="3"/>
  <c r="ER101" i="3"/>
  <c r="ER50" i="3"/>
  <c r="ER45" i="3"/>
  <c r="ER79" i="3"/>
  <c r="ER68" i="3"/>
  <c r="ER82" i="3"/>
  <c r="ER54" i="3"/>
  <c r="ER12" i="3"/>
  <c r="ER97" i="3"/>
  <c r="ER66" i="3"/>
  <c r="ER37" i="3"/>
  <c r="ER39" i="3"/>
  <c r="ER38" i="3"/>
  <c r="ER10" i="3"/>
  <c r="ES43" i="3" l="1"/>
  <c r="ES40" i="3"/>
  <c r="ES26" i="3"/>
  <c r="ES7" i="3"/>
  <c r="ES31" i="3"/>
  <c r="ES78" i="3"/>
  <c r="ES69" i="3"/>
  <c r="ES51" i="3"/>
  <c r="ES53" i="3"/>
  <c r="ES58" i="3"/>
  <c r="ES65" i="3"/>
  <c r="ES10" i="3"/>
  <c r="ES97" i="3"/>
  <c r="ES52" i="3"/>
  <c r="ES41" i="3"/>
  <c r="ES77" i="3"/>
  <c r="ES12" i="3"/>
  <c r="ES9" i="3"/>
  <c r="ES30" i="3"/>
  <c r="ES11" i="3"/>
  <c r="ES50" i="3"/>
  <c r="ES80" i="3"/>
  <c r="ES66" i="3"/>
  <c r="ES73" i="3"/>
  <c r="ES45" i="3"/>
  <c r="ES100" i="3"/>
  <c r="ES79" i="3"/>
  <c r="ES49" i="3"/>
  <c r="ES67" i="3"/>
  <c r="ES89" i="3"/>
  <c r="ES33" i="3"/>
  <c r="ES82" i="3"/>
  <c r="ES27" i="3"/>
  <c r="ES15" i="3"/>
  <c r="ES28" i="3"/>
  <c r="ES34" i="3"/>
  <c r="ES48" i="3"/>
  <c r="ES42" i="3"/>
  <c r="ES25" i="3"/>
  <c r="ES55" i="3"/>
  <c r="ES38" i="3"/>
  <c r="ES39" i="3"/>
  <c r="ES64" i="3"/>
  <c r="ES103" i="3"/>
  <c r="ES36" i="3"/>
  <c r="ES81" i="3"/>
  <c r="ES37" i="3"/>
  <c r="ES44" i="3"/>
  <c r="ES101" i="3"/>
  <c r="ES70" i="3"/>
  <c r="ES54" i="3"/>
  <c r="ET8" i="3"/>
  <c r="ES96" i="3"/>
  <c r="ES68" i="3"/>
  <c r="ES29" i="3"/>
  <c r="ET15" i="3" l="1"/>
  <c r="ET55" i="3"/>
  <c r="ET25" i="3"/>
  <c r="ET82" i="3"/>
  <c r="ET103" i="3"/>
  <c r="ET80" i="3"/>
  <c r="ET36" i="3"/>
  <c r="ET49" i="3"/>
  <c r="EU8" i="3"/>
  <c r="ET58" i="3"/>
  <c r="ET30" i="3"/>
  <c r="ET81" i="3"/>
  <c r="ET28" i="3"/>
  <c r="ET79" i="3"/>
  <c r="ET53" i="3"/>
  <c r="ET68" i="3"/>
  <c r="ET29" i="3"/>
  <c r="ET27" i="3"/>
  <c r="ET9" i="3"/>
  <c r="ET51" i="3"/>
  <c r="ET65" i="3"/>
  <c r="ET96" i="3"/>
  <c r="ET66" i="3"/>
  <c r="ET89" i="3"/>
  <c r="ET78" i="3"/>
  <c r="ET43" i="3"/>
  <c r="ET69" i="3"/>
  <c r="ET44" i="3"/>
  <c r="ET12" i="3"/>
  <c r="ET41" i="3"/>
  <c r="ET101" i="3"/>
  <c r="ET70" i="3"/>
  <c r="ET77" i="3"/>
  <c r="ET97" i="3"/>
  <c r="ET26" i="3"/>
  <c r="ET45" i="3"/>
  <c r="ET33" i="3"/>
  <c r="ET31" i="3"/>
  <c r="ET73" i="3"/>
  <c r="ET38" i="3"/>
  <c r="ET39" i="3"/>
  <c r="ET7" i="3"/>
  <c r="ET64" i="3"/>
  <c r="ET52" i="3"/>
  <c r="ET42" i="3"/>
  <c r="ET10" i="3"/>
  <c r="ET40" i="3"/>
  <c r="ET34" i="3"/>
  <c r="ET54" i="3"/>
  <c r="ET100" i="3"/>
  <c r="ET67" i="3"/>
  <c r="ET11" i="3"/>
  <c r="ET48" i="3"/>
  <c r="ET50" i="3"/>
  <c r="ET37" i="3"/>
  <c r="EU103" i="3" l="1"/>
  <c r="EU67" i="3"/>
  <c r="EU49" i="3"/>
  <c r="EU81" i="3"/>
  <c r="EU15" i="3"/>
  <c r="EU30" i="3"/>
  <c r="EU26" i="3"/>
  <c r="EU64" i="3"/>
  <c r="EU44" i="3"/>
  <c r="EU12" i="3"/>
  <c r="EU53" i="3"/>
  <c r="EU7" i="3"/>
  <c r="EU11" i="3"/>
  <c r="EU36" i="3"/>
  <c r="EU77" i="3"/>
  <c r="EU28" i="3"/>
  <c r="EU70" i="3"/>
  <c r="EU66" i="3"/>
  <c r="EU89" i="3"/>
  <c r="EU80" i="3"/>
  <c r="EU10" i="3"/>
  <c r="EU100" i="3"/>
  <c r="EU73" i="3"/>
  <c r="EU69" i="3"/>
  <c r="EU51" i="3"/>
  <c r="EU65" i="3"/>
  <c r="EU48" i="3"/>
  <c r="EU38" i="3"/>
  <c r="EU29" i="3"/>
  <c r="EU39" i="3"/>
  <c r="EU25" i="3"/>
  <c r="EU78" i="3"/>
  <c r="EU82" i="3"/>
  <c r="EU34" i="3"/>
  <c r="EU41" i="3"/>
  <c r="EU68" i="3"/>
  <c r="EU40" i="3"/>
  <c r="EU101" i="3"/>
  <c r="EU9" i="3"/>
  <c r="EU54" i="3"/>
  <c r="EU43" i="3"/>
  <c r="EU58" i="3"/>
  <c r="EU55" i="3"/>
  <c r="EU27" i="3"/>
  <c r="EU31" i="3"/>
  <c r="EU96" i="3"/>
  <c r="EU45" i="3"/>
  <c r="EU52" i="3"/>
  <c r="EU50" i="3"/>
  <c r="EU97" i="3"/>
  <c r="EU79" i="3"/>
  <c r="EU42" i="3"/>
  <c r="EU37" i="3"/>
  <c r="EU33" i="3"/>
  <c r="EV8" i="3"/>
  <c r="EV101" i="3" l="1"/>
  <c r="EV103" i="3"/>
  <c r="EV79" i="3"/>
  <c r="EV12" i="3"/>
  <c r="EV29" i="3"/>
  <c r="EV37" i="3"/>
  <c r="EV25" i="3"/>
  <c r="EV82" i="3"/>
  <c r="EV28" i="3"/>
  <c r="EV67" i="3"/>
  <c r="EV41" i="3"/>
  <c r="EV65" i="3"/>
  <c r="EV70" i="3"/>
  <c r="EV52" i="3"/>
  <c r="EV50" i="3"/>
  <c r="EV89" i="3"/>
  <c r="EV54" i="3"/>
  <c r="EV64" i="3"/>
  <c r="EV69" i="3"/>
  <c r="EV96" i="3"/>
  <c r="EV51" i="3"/>
  <c r="EV53" i="3"/>
  <c r="EV78" i="3"/>
  <c r="EV15" i="3"/>
  <c r="EV43" i="3"/>
  <c r="EV33" i="3"/>
  <c r="EV73" i="3"/>
  <c r="EV7" i="3"/>
  <c r="EV40" i="3"/>
  <c r="EV77" i="3"/>
  <c r="EV66" i="3"/>
  <c r="EV44" i="3"/>
  <c r="EV42" i="3"/>
  <c r="EV10" i="3"/>
  <c r="EV80" i="3"/>
  <c r="EV9" i="3"/>
  <c r="EW8" i="3"/>
  <c r="EV68" i="3"/>
  <c r="EV49" i="3"/>
  <c r="EV55" i="3"/>
  <c r="EV100" i="3"/>
  <c r="EV30" i="3"/>
  <c r="EV45" i="3"/>
  <c r="EV34" i="3"/>
  <c r="EV31" i="3"/>
  <c r="EV58" i="3"/>
  <c r="EV97" i="3"/>
  <c r="EV36" i="3"/>
  <c r="EV26" i="3"/>
  <c r="EV39" i="3"/>
  <c r="EV11" i="3"/>
  <c r="EV81" i="3"/>
  <c r="EV27" i="3"/>
  <c r="EV48" i="3"/>
  <c r="EV38" i="3"/>
  <c r="EW49" i="3" l="1"/>
  <c r="EW96" i="3"/>
  <c r="EW77" i="3"/>
  <c r="EW66" i="3"/>
  <c r="EW12" i="3"/>
  <c r="EW82" i="3"/>
  <c r="EW81" i="3"/>
  <c r="EW26" i="3"/>
  <c r="EW9" i="3"/>
  <c r="EW80" i="3"/>
  <c r="EW101" i="3"/>
  <c r="EW69" i="3"/>
  <c r="EW42" i="3"/>
  <c r="EW10" i="3"/>
  <c r="EW67" i="3"/>
  <c r="EW52" i="3"/>
  <c r="EW41" i="3"/>
  <c r="EW28" i="3"/>
  <c r="EW11" i="3"/>
  <c r="EW30" i="3"/>
  <c r="EW7" i="3"/>
  <c r="EW103" i="3"/>
  <c r="EW89" i="3"/>
  <c r="EW43" i="3"/>
  <c r="EW33" i="3"/>
  <c r="EW50" i="3"/>
  <c r="EW65" i="3"/>
  <c r="EW34" i="3"/>
  <c r="EW79" i="3"/>
  <c r="EX8" i="3"/>
  <c r="EW36" i="3"/>
  <c r="EW68" i="3"/>
  <c r="EW78" i="3"/>
  <c r="EW38" i="3"/>
  <c r="EW97" i="3"/>
  <c r="EW70" i="3"/>
  <c r="EW29" i="3"/>
  <c r="EW48" i="3"/>
  <c r="EW54" i="3"/>
  <c r="EW53" i="3"/>
  <c r="EW31" i="3"/>
  <c r="EW100" i="3"/>
  <c r="EW40" i="3"/>
  <c r="EW64" i="3"/>
  <c r="EW27" i="3"/>
  <c r="EW39" i="3"/>
  <c r="EW58" i="3"/>
  <c r="EW51" i="3"/>
  <c r="EW45" i="3"/>
  <c r="EW44" i="3"/>
  <c r="EW37" i="3"/>
  <c r="EW73" i="3"/>
  <c r="EW15" i="3"/>
  <c r="EW55" i="3"/>
  <c r="EW25" i="3"/>
  <c r="EX33" i="3" l="1"/>
  <c r="EX82" i="3"/>
  <c r="EX52" i="3"/>
  <c r="EX77" i="3"/>
  <c r="EX25" i="3"/>
  <c r="EX65" i="3"/>
  <c r="EX28" i="3"/>
  <c r="EX30" i="3"/>
  <c r="EX37" i="3"/>
  <c r="EX34" i="3"/>
  <c r="EX9" i="3"/>
  <c r="EX70" i="3"/>
  <c r="EX48" i="3"/>
  <c r="EX64" i="3"/>
  <c r="EX49" i="3"/>
  <c r="EX40" i="3"/>
  <c r="EX96" i="3"/>
  <c r="EX38" i="3"/>
  <c r="EX51" i="3"/>
  <c r="EX69" i="3"/>
  <c r="EX42" i="3"/>
  <c r="EX58" i="3"/>
  <c r="EX36" i="3"/>
  <c r="EX89" i="3"/>
  <c r="EX68" i="3"/>
  <c r="EX44" i="3"/>
  <c r="EX79" i="3"/>
  <c r="EX10" i="3"/>
  <c r="EX7" i="3"/>
  <c r="EY8" i="3"/>
  <c r="EZ8" i="3" s="1"/>
  <c r="FA8" i="3" s="1"/>
  <c r="FB8" i="3" s="1"/>
  <c r="FC8" i="3" s="1"/>
  <c r="FD8" i="3" s="1"/>
  <c r="FE8" i="3" s="1"/>
  <c r="FF8" i="3" s="1"/>
  <c r="FG8" i="3" s="1"/>
  <c r="FH8" i="3" s="1"/>
  <c r="FI8" i="3" s="1"/>
  <c r="FJ8" i="3" s="1"/>
  <c r="FK8" i="3" s="1"/>
  <c r="FL8" i="3" s="1"/>
  <c r="FM8" i="3" s="1"/>
  <c r="FN8" i="3" s="1"/>
  <c r="EX66" i="3"/>
  <c r="EX43" i="3"/>
  <c r="EX15" i="3"/>
  <c r="EX81" i="3"/>
  <c r="EX97" i="3"/>
  <c r="EX39" i="3"/>
  <c r="EX67" i="3"/>
  <c r="EX50" i="3"/>
  <c r="EX103" i="3"/>
  <c r="EX12" i="3"/>
  <c r="EX100" i="3"/>
  <c r="EX101" i="3"/>
  <c r="EX31" i="3"/>
  <c r="EX11" i="3"/>
  <c r="EX29" i="3"/>
  <c r="EX55" i="3"/>
  <c r="EX41" i="3"/>
  <c r="EX26" i="3"/>
  <c r="EX78" i="3"/>
  <c r="EX73" i="3"/>
  <c r="EX27" i="3"/>
  <c r="EX45" i="3"/>
  <c r="EX53" i="3"/>
  <c r="EX80" i="3"/>
  <c r="EX54" i="3"/>
  <c r="FO8" i="3" l="1"/>
  <c r="FP8" i="3" s="1"/>
  <c r="FQ8" i="3" s="1"/>
  <c r="FR8" i="3" s="1"/>
  <c r="FS8" i="3" s="1"/>
  <c r="FT8" i="3" s="1"/>
  <c r="FU8" i="3" s="1"/>
  <c r="FV8" i="3" s="1"/>
  <c r="FW8" i="3" s="1"/>
  <c r="FX8" i="3" s="1"/>
  <c r="FY8" i="3" s="1"/>
  <c r="FZ8" i="3" s="1"/>
  <c r="GA8" i="3" s="1"/>
  <c r="GB8" i="3" s="1"/>
  <c r="GC8" i="3" s="1"/>
  <c r="GD8" i="3" s="1"/>
  <c r="GE8" i="3" s="1"/>
  <c r="GF8" i="3" s="1"/>
  <c r="GG8" i="3" s="1"/>
  <c r="GH8" i="3" s="1"/>
  <c r="GI8" i="3" s="1"/>
  <c r="GJ8" i="3" s="1"/>
  <c r="GK8" i="3" s="1"/>
  <c r="GL8" i="3" s="1"/>
  <c r="GM8" i="3" s="1"/>
  <c r="GN8" i="3" s="1"/>
  <c r="GO8" i="3" s="1"/>
  <c r="GP8" i="3" s="1"/>
  <c r="GQ8" i="3" s="1"/>
  <c r="GR8" i="3" s="1"/>
  <c r="GS8" i="3" s="1"/>
  <c r="GT8" i="3" s="1"/>
  <c r="GU8" i="3" s="1"/>
  <c r="GV8" i="3" s="1"/>
  <c r="GW8" i="3" s="1"/>
  <c r="GX8" i="3" s="1"/>
  <c r="GY8" i="3" s="1"/>
  <c r="GZ8" i="3" s="1"/>
  <c r="HA8" i="3" s="1"/>
  <c r="HB8" i="3" s="1"/>
  <c r="HC8" i="3" s="1"/>
  <c r="HD8" i="3" s="1"/>
  <c r="HE8" i="3" s="1"/>
  <c r="HF8" i="3" s="1"/>
  <c r="HG8" i="3" s="1"/>
  <c r="HH8" i="3" s="1"/>
  <c r="HI8" i="3" s="1"/>
  <c r="HJ8" i="3" s="1"/>
  <c r="HK8" i="3" s="1"/>
  <c r="HL8" i="3" s="1"/>
  <c r="HM8" i="3" s="1"/>
  <c r="HN8" i="3" s="1"/>
  <c r="HO8" i="3" s="1"/>
  <c r="HP8" i="3" s="1"/>
  <c r="HQ8" i="3" s="1"/>
  <c r="HR8" i="3" s="1"/>
  <c r="HS8" i="3" s="1"/>
  <c r="HT8" i="3" s="1"/>
  <c r="HU8" i="3" s="1"/>
  <c r="HV8" i="3" s="1"/>
  <c r="HW8" i="3" s="1"/>
  <c r="HX8" i="3" s="1"/>
  <c r="HY8" i="3" s="1"/>
  <c r="HZ8" i="3" s="1"/>
  <c r="IA8" i="3" s="1"/>
  <c r="IB8" i="3" s="1"/>
  <c r="IC8" i="3" s="1"/>
  <c r="ID8" i="3" s="1"/>
  <c r="IE8" i="3" s="1"/>
  <c r="IF8" i="3" s="1"/>
  <c r="IG8" i="3" s="1"/>
  <c r="IH8" i="3" s="1"/>
  <c r="II8" i="3" s="1"/>
  <c r="IJ8" i="3" s="1"/>
  <c r="IK8" i="3" s="1"/>
  <c r="IL8" i="3" s="1"/>
  <c r="IM8" i="3" s="1"/>
  <c r="IN8" i="3" s="1"/>
  <c r="IO8" i="3" s="1"/>
  <c r="IP8" i="3" s="1"/>
  <c r="IQ8" i="3" s="1"/>
  <c r="IR8" i="3" s="1"/>
</calcChain>
</file>

<file path=xl/comments1.xml><?xml version="1.0" encoding="utf-8"?>
<comments xmlns="http://schemas.openxmlformats.org/spreadsheetml/2006/main">
  <authors>
    <author>Nickolas</author>
  </authors>
  <commentList>
    <comment ref="A1" authorId="0" shapeId="0">
      <text>
        <r>
          <rPr>
            <sz val="9"/>
            <color indexed="81"/>
            <rFont val="Tahoma"/>
            <family val="2"/>
            <charset val="204"/>
          </rPr>
          <t>В этот столбец надо внести государственные праздники или любые другие даты, которые не должны считаться как рабочие дни.</t>
        </r>
      </text>
    </comment>
  </commentList>
</comments>
</file>

<file path=xl/sharedStrings.xml><?xml version="1.0" encoding="utf-8"?>
<sst xmlns="http://schemas.openxmlformats.org/spreadsheetml/2006/main" count="602" uniqueCount="342">
  <si>
    <t>Этап</t>
  </si>
  <si>
    <t>№</t>
  </si>
  <si>
    <t>Начало
этапа</t>
  </si>
  <si>
    <t>Конец
этапа</t>
  </si>
  <si>
    <t>Календарный график проекта</t>
  </si>
  <si>
    <t>Дата начала проекта</t>
  </si>
  <si>
    <t>Дата окончания проекта</t>
  </si>
  <si>
    <t>Шаг временной шкалы (дней/клетку)</t>
  </si>
  <si>
    <t>% выполнения</t>
  </si>
  <si>
    <t>Анализ HCMC форм</t>
  </si>
  <si>
    <t>Альбом/описание бюджетных форм</t>
  </si>
  <si>
    <t>Альбом/описание отчетных форм</t>
  </si>
  <si>
    <t>Мэппинг статей затрат</t>
  </si>
  <si>
    <t>Описаны бизнес-процессы, формы, пользовательские сценарии</t>
  </si>
  <si>
    <t>Ответственный</t>
  </si>
  <si>
    <t>А. Колесов</t>
  </si>
  <si>
    <t>А. Коршунов</t>
  </si>
  <si>
    <t>Лена, Юра, Женя</t>
  </si>
  <si>
    <t>Юра, Лена</t>
  </si>
  <si>
    <t>Вася</t>
  </si>
  <si>
    <t>Разработка архитектуры решения</t>
  </si>
  <si>
    <t>Разработка моделей данных</t>
  </si>
  <si>
    <t>HC трекер</t>
  </si>
  <si>
    <t>HCMC</t>
  </si>
  <si>
    <t>Бюджетная система</t>
  </si>
  <si>
    <t xml:space="preserve">Описание цепочек обработки данных </t>
  </si>
  <si>
    <t>Проектирование ролевой модели</t>
  </si>
  <si>
    <t>Интеграция между системами</t>
  </si>
  <si>
    <t>Загрузка данных HRPT в HC трекер</t>
  </si>
  <si>
    <t>Процессинг данных HCMC в HC трекер</t>
  </si>
  <si>
    <t>Процессинг данных HC трекер в Бюджет</t>
  </si>
  <si>
    <t>Загрузка факта из HRPT в Бюджет</t>
  </si>
  <si>
    <t>Загрузка факта из 1С в Бюджет</t>
  </si>
  <si>
    <t>Загрузка факта из финансовой системы (comp, non-comp)</t>
  </si>
  <si>
    <t>Проектирование интерфейсов HC-трекера и бюджетной системы</t>
  </si>
  <si>
    <t>2.1.</t>
  </si>
  <si>
    <t>2.2.</t>
  </si>
  <si>
    <t>2.2.1.</t>
  </si>
  <si>
    <t>2.2.2.</t>
  </si>
  <si>
    <t>2.2.3.</t>
  </si>
  <si>
    <t>2.3.</t>
  </si>
  <si>
    <t>2.4.</t>
  </si>
  <si>
    <t>2.5.</t>
  </si>
  <si>
    <t>2.5.1.</t>
  </si>
  <si>
    <t>2.5.2.</t>
  </si>
  <si>
    <t>2.5.3.</t>
  </si>
  <si>
    <t>2.5.4.</t>
  </si>
  <si>
    <t>2.5.5.</t>
  </si>
  <si>
    <t>2.5.6.</t>
  </si>
  <si>
    <t>2.6.</t>
  </si>
  <si>
    <t>Подготовлен функциональный дизайн</t>
  </si>
  <si>
    <t>Женя</t>
  </si>
  <si>
    <t>Вася, А. Коршунов</t>
  </si>
  <si>
    <t>Женя, Вася</t>
  </si>
  <si>
    <t>Женя, Вася, А. Коршунов</t>
  </si>
  <si>
    <t>Женя, Вася, Юра, Игорь</t>
  </si>
  <si>
    <t>Женя, Вася, Юра</t>
  </si>
  <si>
    <t>Женя, Юра, Лена</t>
  </si>
  <si>
    <t>Комментарий</t>
  </si>
  <si>
    <t>результат</t>
  </si>
  <si>
    <t>3.2.</t>
  </si>
  <si>
    <t>3.2.1.</t>
  </si>
  <si>
    <t>HC Authorisation</t>
  </si>
  <si>
    <t>3.2.2.</t>
  </si>
  <si>
    <t>Offer Authorization</t>
  </si>
  <si>
    <t>3.2.3.</t>
  </si>
  <si>
    <t>Change table</t>
  </si>
  <si>
    <t>3.2.4.</t>
  </si>
  <si>
    <t>Тестирование</t>
  </si>
  <si>
    <t>3.1.</t>
  </si>
  <si>
    <t>3.1.1.</t>
  </si>
  <si>
    <t>Подсистема управления версиями</t>
  </si>
  <si>
    <t>3.1.2.</t>
  </si>
  <si>
    <t>Основной модуль</t>
  </si>
  <si>
    <t>3.1.3.</t>
  </si>
  <si>
    <t>Подсистема загрузки данных HRPT в HC трекер</t>
  </si>
  <si>
    <t>3.1.4.</t>
  </si>
  <si>
    <t>Подсиcтема процессинга данных HCMC</t>
  </si>
  <si>
    <t>3.1.5.</t>
  </si>
  <si>
    <t>Отчетность</t>
  </si>
  <si>
    <t>3.1.6.</t>
  </si>
  <si>
    <t>Разработан HC трекер с возможностью ввода данных, интеграцией с формами HCMC и отчетами для нового периметра</t>
  </si>
  <si>
    <t>3.3.</t>
  </si>
  <si>
    <t>Бюджет</t>
  </si>
  <si>
    <t>3.3.1.</t>
  </si>
  <si>
    <t>3.3.2.</t>
  </si>
  <si>
    <t>Подсистема загрузки исходных данных</t>
  </si>
  <si>
    <t>3.3.2.1.</t>
  </si>
  <si>
    <t>Демографические данные (HC трекер, HRPT)</t>
  </si>
  <si>
    <t>3.3.2.2.</t>
  </si>
  <si>
    <t>3.3.2.3.</t>
  </si>
  <si>
    <t>Non-comp расходы</t>
  </si>
  <si>
    <t>3.3.3.</t>
  </si>
  <si>
    <t>Бюджетные формы</t>
  </si>
  <si>
    <t>3.3.4.</t>
  </si>
  <si>
    <t>Отчетность и аналитика (куб + типовые отчеты)</t>
  </si>
  <si>
    <t>3.3.5.</t>
  </si>
  <si>
    <t>Бюджетная система, бюджетный куб, комплект типовых-отчетов</t>
  </si>
  <si>
    <t>Юра</t>
  </si>
  <si>
    <t>3. Разработка и тестирование</t>
  </si>
  <si>
    <t>2. Проектирование</t>
  </si>
  <si>
    <t>1. Бизнес-анализ и описание требований</t>
  </si>
  <si>
    <t>Описание/макеты Бюджетных/Comp Dashboards</t>
  </si>
  <si>
    <t>Стартовая страница (список форм, команды создания форм)</t>
  </si>
  <si>
    <t>HCMC-формы</t>
  </si>
  <si>
    <t>3.2.2.1.</t>
  </si>
  <si>
    <t>3.2.2.2.</t>
  </si>
  <si>
    <t>3.2.2.3.</t>
  </si>
  <si>
    <t>Интеграция с HC-трекером (триггер запуска процессинга)</t>
  </si>
  <si>
    <t>tbd</t>
  </si>
  <si>
    <t>3.2.2.4.</t>
  </si>
  <si>
    <t>Mass transfer</t>
  </si>
  <si>
    <t>Детальное описание форм</t>
  </si>
  <si>
    <t>Аня</t>
  </si>
  <si>
    <t>сбор факторов отклонений</t>
  </si>
  <si>
    <t>Тестирование внутреннее</t>
  </si>
  <si>
    <t>Тестирование HR BP</t>
  </si>
  <si>
    <t>Юра, Лена, Аня</t>
  </si>
  <si>
    <t>HR BP</t>
  </si>
  <si>
    <t>HR Advisory</t>
  </si>
  <si>
    <t>А. Колесов, HRIS</t>
  </si>
  <si>
    <t>Компенсационные данные - финансовый факт</t>
  </si>
  <si>
    <t xml:space="preserve">Компенсационные данные - данные HR (проводки из 1С) </t>
  </si>
  <si>
    <t>3.3.2.2.1</t>
  </si>
  <si>
    <t>3.3.2.2.2</t>
  </si>
  <si>
    <t>3.3.2.2.3</t>
  </si>
  <si>
    <t>3.3.2.2.4</t>
  </si>
  <si>
    <t>3.3.2.2.5</t>
  </si>
  <si>
    <t>Андрей, Игорь</t>
  </si>
  <si>
    <t>Создание мэппинга счетов 1С (настройка правил трансляции из российских счетов)</t>
  </si>
  <si>
    <t>Настройка выгрузки мэппинга и проводок из 1С</t>
  </si>
  <si>
    <t>Тестирование загрузки мэппинга в HRPT</t>
  </si>
  <si>
    <t>Саша Колесов, Женя</t>
  </si>
  <si>
    <t>Проверка полноты мэппинга компонентов на финансовые счета (отдельные таблицы в продуктовое среде)</t>
  </si>
  <si>
    <t>Загрузка факта из таблицы проводок в бюджетную систему в соответсвии с мэппингом</t>
  </si>
  <si>
    <t>Женя, Юра, Андрей, Игорь,Саша Колесов</t>
  </si>
  <si>
    <t>Подготовка куба</t>
  </si>
  <si>
    <t>3.1.5.1</t>
  </si>
  <si>
    <t>Сборка отчетности</t>
  </si>
  <si>
    <t>Юра, Аня, Женя</t>
  </si>
  <si>
    <t>3.1.5.2</t>
  </si>
  <si>
    <t>3.1.7.</t>
  </si>
  <si>
    <t>Лена, Юра</t>
  </si>
  <si>
    <t>3.3.3.1</t>
  </si>
  <si>
    <t>Изменение модели расчета отпускных и соцвзносов, страховки (разработка)</t>
  </si>
  <si>
    <t>AKol</t>
  </si>
  <si>
    <t>AKor</t>
  </si>
  <si>
    <t>EE, YuR, EA</t>
  </si>
  <si>
    <t>AO</t>
  </si>
  <si>
    <t>YuR</t>
  </si>
  <si>
    <t>VD</t>
  </si>
  <si>
    <t>EA</t>
  </si>
  <si>
    <t>VD, AKor</t>
  </si>
  <si>
    <t>Akol</t>
  </si>
  <si>
    <t>EA, VD</t>
  </si>
  <si>
    <t>EA, YuR, EE</t>
  </si>
  <si>
    <t>YuR, AO, EE</t>
  </si>
  <si>
    <t>Advisory</t>
  </si>
  <si>
    <t>AKol, VD, EA, Akor</t>
  </si>
  <si>
    <t>Ach, IK</t>
  </si>
  <si>
    <t>YuR, EE</t>
  </si>
  <si>
    <t>R</t>
  </si>
  <si>
    <t>A</t>
  </si>
  <si>
    <t xml:space="preserve">C </t>
  </si>
  <si>
    <t>I</t>
  </si>
  <si>
    <t>Accountable - владелец результата (приемка задачи)</t>
  </si>
  <si>
    <t>Consulted - консультант/ эксперт</t>
  </si>
  <si>
    <t>Informed - Информируемый</t>
  </si>
  <si>
    <r>
      <rPr>
        <b/>
        <sz val="10"/>
        <rFont val="Calibri"/>
        <family val="2"/>
        <charset val="204"/>
      </rPr>
      <t xml:space="preserve">Responsible </t>
    </r>
    <r>
      <rPr>
        <sz val="10"/>
        <rFont val="Calibri"/>
        <family val="2"/>
        <charset val="204"/>
      </rPr>
      <t>- ответственный исполнитель</t>
    </r>
  </si>
  <si>
    <r>
      <rPr>
        <b/>
        <sz val="10"/>
        <rFont val="Calibri"/>
        <family val="2"/>
        <charset val="204"/>
      </rPr>
      <t xml:space="preserve">Accountable </t>
    </r>
    <r>
      <rPr>
        <sz val="10"/>
        <rFont val="Calibri"/>
        <family val="2"/>
        <charset val="204"/>
      </rPr>
      <t>- владелец результата (приемка задачи)</t>
    </r>
  </si>
  <si>
    <r>
      <rPr>
        <b/>
        <sz val="10"/>
        <rFont val="Calibri"/>
        <family val="2"/>
        <charset val="204"/>
      </rPr>
      <t>Consulted</t>
    </r>
    <r>
      <rPr>
        <sz val="10"/>
        <rFont val="Calibri"/>
        <family val="2"/>
        <charset val="204"/>
      </rPr>
      <t xml:space="preserve"> - консультант/ эксперт</t>
    </r>
  </si>
  <si>
    <r>
      <rPr>
        <b/>
        <sz val="10"/>
        <rFont val="Calibri"/>
        <family val="2"/>
        <charset val="204"/>
      </rPr>
      <t>Informed -</t>
    </r>
    <r>
      <rPr>
        <sz val="10"/>
        <rFont val="Calibri"/>
        <family val="2"/>
        <charset val="204"/>
      </rPr>
      <t xml:space="preserve"> Информируемый</t>
    </r>
  </si>
  <si>
    <t>DZh</t>
  </si>
  <si>
    <t>Спонсор проекта</t>
  </si>
  <si>
    <t>Заказчик</t>
  </si>
  <si>
    <t>Проектный менеджер</t>
  </si>
  <si>
    <t>Методолог</t>
  </si>
  <si>
    <t>Техлид</t>
  </si>
  <si>
    <t>Техписатель</t>
  </si>
  <si>
    <t>Роль</t>
  </si>
  <si>
    <t>Участник</t>
  </si>
  <si>
    <t>UAT</t>
  </si>
  <si>
    <t>SO</t>
  </si>
  <si>
    <t>EE</t>
  </si>
  <si>
    <t>Разработчик БД, кубов и витрин</t>
  </si>
  <si>
    <t>Аналитик данных</t>
  </si>
  <si>
    <t>Бизнес-аналитик</t>
  </si>
  <si>
    <t>Разработчик HCMC</t>
  </si>
  <si>
    <t>Поддержка проекта</t>
  </si>
  <si>
    <t>EP</t>
  </si>
  <si>
    <t>ID решения</t>
  </si>
  <si>
    <t>Вопрос / решение</t>
  </si>
  <si>
    <t>Домен</t>
  </si>
  <si>
    <t>Владелец решения</t>
  </si>
  <si>
    <t>Обязательные участники</t>
  </si>
  <si>
    <t>Обязательное согласование</t>
  </si>
  <si>
    <t>Варианты / рекомендация</t>
  </si>
  <si>
    <t>Срок решения</t>
  </si>
  <si>
    <t>Статус</t>
  </si>
  <si>
    <t>Принятое решение</t>
  </si>
  <si>
    <t>Дата решения</t>
  </si>
  <si>
    <t>Связанные задачи / контрольные точки</t>
  </si>
  <si>
    <t>Эскалация</t>
  </si>
  <si>
    <t>Примечание</t>
  </si>
  <si>
    <t>РЕЕСТР РЕШЕНИЙ | Значимые решения проекта</t>
  </si>
  <si>
    <t>подготовка формульной методологии факторного анализа</t>
  </si>
  <si>
    <t>подготовка текстовой методологии факторного анализа</t>
  </si>
  <si>
    <t>реализация расчета факторов в кубе</t>
  </si>
  <si>
    <t>EE, YuR</t>
  </si>
  <si>
    <t>Форма 1_План-факт ФОТ</t>
  </si>
  <si>
    <t>Nex steps</t>
  </si>
  <si>
    <t>Last changes Update</t>
  </si>
  <si>
    <t>Budgt system ER diagram</t>
  </si>
  <si>
    <t>HC_TRACKER_ER_Diagramm</t>
  </si>
  <si>
    <t>HC трекер - доработки после тестирования</t>
  </si>
  <si>
    <t>Бюджетная система - доработки после тестирования</t>
  </si>
  <si>
    <t>2.2.3.1</t>
  </si>
  <si>
    <t>Женя выложит в удобном формате</t>
  </si>
  <si>
    <t>HC Tracker Cube</t>
  </si>
  <si>
    <t>EA, Akol</t>
  </si>
  <si>
    <t>Подготовить документ/схему</t>
  </si>
  <si>
    <t>Есть ли задача сравнения номиналов с версией бюджета/прогноза?</t>
  </si>
  <si>
    <t>Оценка целесообразности данного шага</t>
  </si>
  <si>
    <t>JOURNAL_ENTRIES_1С - проводки</t>
  </si>
  <si>
    <t>VD, YuR, IK, Ach</t>
  </si>
  <si>
    <t>EA, YuR</t>
  </si>
  <si>
    <t>Женя выложит документ</t>
  </si>
  <si>
    <t>2.6.1</t>
  </si>
  <si>
    <t>Доработки после тестирования</t>
  </si>
  <si>
    <t>Интерфейсы HC-трекера и бюджетной системы</t>
  </si>
  <si>
    <t>Подтверждение результата</t>
  </si>
  <si>
    <t>HC Tracker\Мастер -файл</t>
  </si>
  <si>
    <t>3.1.6.1</t>
  </si>
  <si>
    <t>Доработка по итогам тестирования</t>
  </si>
  <si>
    <t>3.1.7.1</t>
  </si>
  <si>
    <t>HC Tracker\Куб и отчетность</t>
  </si>
  <si>
    <t>YuR, AO</t>
  </si>
  <si>
    <t>YuR, Akol</t>
  </si>
  <si>
    <t>3.2.4.1</t>
  </si>
  <si>
    <t>3.2.5</t>
  </si>
  <si>
    <t>3.2.5.1</t>
  </si>
  <si>
    <t>Дублирует шаг 3.1.4 (можем удалить?)</t>
  </si>
  <si>
    <t>Budget\MasterFile</t>
  </si>
  <si>
    <t>YuR, EE, AO</t>
  </si>
  <si>
    <t>Ach</t>
  </si>
  <si>
    <t>3.3.2.3.1</t>
  </si>
  <si>
    <t>3.3.2.3.2</t>
  </si>
  <si>
    <t>Дизайн отчетной формы для пользователя</t>
  </si>
  <si>
    <t>Разработка формы в системе</t>
  </si>
  <si>
    <t>3.3.2.3.3</t>
  </si>
  <si>
    <t xml:space="preserve">Разработка куба бюджетной системы </t>
  </si>
  <si>
    <t>3.3.4.1</t>
  </si>
  <si>
    <t>Реализация типовых отчетных форм в системе</t>
  </si>
  <si>
    <t>EA, AO, YuR</t>
  </si>
  <si>
    <t>YuR, EE, DZh, SO</t>
  </si>
  <si>
    <t>3.3.4.2</t>
  </si>
  <si>
    <t>Дашборд/отчетная форма на HRPT Portal</t>
  </si>
  <si>
    <t>технический проект реализации факторного анализа</t>
  </si>
  <si>
    <t>Разработка загрузки факта от Банка за 1 полугодие</t>
  </si>
  <si>
    <t>Разработка загрузки Загрузка факта от ДК за 1 полугодие</t>
  </si>
  <si>
    <t>1.1</t>
  </si>
  <si>
    <t>1.2</t>
  </si>
  <si>
    <t>1.3</t>
  </si>
  <si>
    <t>1.3.1</t>
  </si>
  <si>
    <t>1.4</t>
  </si>
  <si>
    <r>
      <t>Аудит и актуализация альбома бюджетных форм -</t>
    </r>
    <r>
      <rPr>
        <b/>
        <sz val="10"/>
        <rFont val="Calibri"/>
        <family val="2"/>
        <charset val="204"/>
      </rPr>
      <t xml:space="preserve"> Банковская</t>
    </r>
  </si>
  <si>
    <t>AO, YuR</t>
  </si>
  <si>
    <t>Ea, SO</t>
  </si>
  <si>
    <t>EE, AO, EA, VD</t>
  </si>
  <si>
    <r>
      <t>Аудит и актуализация альбома отчетных форм -</t>
    </r>
    <r>
      <rPr>
        <b/>
        <sz val="10"/>
        <rFont val="Calibri"/>
        <family val="2"/>
        <charset val="204"/>
      </rPr>
      <t xml:space="preserve"> Банковская</t>
    </r>
  </si>
  <si>
    <t>1.4.1</t>
  </si>
  <si>
    <t>1.4.2</t>
  </si>
  <si>
    <r>
      <t xml:space="preserve">Аудит и актуализация альбома отчетных форм - </t>
    </r>
    <r>
      <rPr>
        <b/>
        <sz val="10"/>
        <rFont val="Calibri"/>
        <family val="2"/>
        <charset val="204"/>
      </rPr>
      <t>Кроме Банка</t>
    </r>
  </si>
  <si>
    <r>
      <t xml:space="preserve">Аудит и актуализация альбома бюджетных форм - </t>
    </r>
    <r>
      <rPr>
        <b/>
        <sz val="10"/>
        <rFont val="Calibri"/>
        <family val="2"/>
        <charset val="204"/>
      </rPr>
      <t>Кроме Банка</t>
    </r>
  </si>
  <si>
    <t>1.4.1.1</t>
  </si>
  <si>
    <t>1.4.1.2</t>
  </si>
  <si>
    <t>1.4.1.3</t>
  </si>
  <si>
    <t>1.4.1.4</t>
  </si>
  <si>
    <t>Форма 4 и тд</t>
  </si>
  <si>
    <r>
      <t xml:space="preserve">Описание методологии подготовки </t>
    </r>
    <r>
      <rPr>
        <b/>
        <sz val="10"/>
        <rFont val="Calibri"/>
        <family val="2"/>
        <charset val="204"/>
      </rPr>
      <t xml:space="preserve">бюджетных и отчетных </t>
    </r>
    <r>
      <rPr>
        <sz val="10"/>
        <rFont val="Calibri"/>
        <family val="2"/>
        <charset val="204"/>
      </rPr>
      <t>форм (в т.ч. Accruals и тд)</t>
    </r>
  </si>
  <si>
    <t>Форма 1.2_Waterfall по факторному анализу</t>
  </si>
  <si>
    <t>EE, YuR, EA, AO</t>
  </si>
  <si>
    <t>Провести встречу по оценке возможностей реализации дашбордов - приоритеты и сроки</t>
  </si>
  <si>
    <t>Реализация в 1С в разделе "Учет ЦБ" -&gt; Мэппинг счетов МСФО</t>
  </si>
  <si>
    <t xml:space="preserve">Форма 3 </t>
  </si>
  <si>
    <t>Набор отчетных форм по HC Tracker</t>
  </si>
  <si>
    <t>1.4.1.5</t>
  </si>
  <si>
    <t>Отправить форму на тестирование HRBP</t>
  </si>
  <si>
    <t>Размещение HC трекера в продуктив - Промышленное тестирования (без учачстия HRBP)</t>
  </si>
  <si>
    <t>3.1.8</t>
  </si>
  <si>
    <t>Akor, Akol, AO, EA, VD</t>
  </si>
  <si>
    <t>VD, EA, AO</t>
  </si>
  <si>
    <t>Готовый отчет Форма 1.2_план-факт ФОТ</t>
  </si>
  <si>
    <t>EE, VD, AO</t>
  </si>
  <si>
    <t xml:space="preserve">Формы для загрузки в бюджетную систему </t>
  </si>
  <si>
    <t>NonComp</t>
  </si>
  <si>
    <t>Провести встречу по процессу бюджетирования noncomp расходов</t>
  </si>
  <si>
    <t>Изменение модели расчета отпускных</t>
  </si>
  <si>
    <t>Изменение модели расчета соцвзносов, страховки (описание)</t>
  </si>
  <si>
    <t>результат_MVP</t>
  </si>
  <si>
    <t>результат_Целевой</t>
  </si>
  <si>
    <t>прислать ссылку на формы</t>
  </si>
  <si>
    <t>Форма 1.1_план-факт ФОТ</t>
  </si>
  <si>
    <t>Провести встречу по процессу бюджетирования noncomp расходов (обсудить возможность внесения данных со стороны HR функций)</t>
  </si>
  <si>
    <t>встреча EE AO YuR</t>
  </si>
  <si>
    <t>EE, YuR, AO</t>
  </si>
  <si>
    <t>Описание бизнес-процессов в части HC Tracker и HCMC forms</t>
  </si>
  <si>
    <t>Бизнес-анализ HC Tracker и HCMC.docx</t>
  </si>
  <si>
    <t>EA, YuR, Akor</t>
  </si>
  <si>
    <t>VD, AO</t>
  </si>
  <si>
    <t>Разработка пользовательских сценариев для HC Tracker и HCMC forms</t>
  </si>
  <si>
    <t>Сценарии тестирования HC Tracker и HCMC last version.docx</t>
  </si>
  <si>
    <t>VD, AO, YuR</t>
  </si>
  <si>
    <t>Пользовательские сценарии.docx</t>
  </si>
  <si>
    <t>Общий процесс HC Tracker\sequence hc tracker v4.docx</t>
  </si>
  <si>
    <t xml:space="preserve">Web-формы HCMC с возможностью экспорта </t>
  </si>
  <si>
    <t>VD, Akor</t>
  </si>
  <si>
    <t>HCMC forms</t>
  </si>
  <si>
    <t>EA, Ik, VD</t>
  </si>
  <si>
    <t>VD, EA</t>
  </si>
  <si>
    <t>3.1.6.2</t>
  </si>
  <si>
    <t>Разработка сценарев тестирования</t>
  </si>
  <si>
    <t>4. Dashboard</t>
  </si>
  <si>
    <t>Факторный анализ</t>
  </si>
  <si>
    <t>04.01</t>
  </si>
  <si>
    <t>04.01.01</t>
  </si>
  <si>
    <t>04.01.02</t>
  </si>
  <si>
    <t>04.01.03</t>
  </si>
  <si>
    <t>04.01.04</t>
  </si>
  <si>
    <t>04.01.05</t>
  </si>
  <si>
    <t>04.02</t>
  </si>
  <si>
    <t>04.02.01</t>
  </si>
  <si>
    <t>Построить модель на  финансовых данных 1 полугодия 2026</t>
  </si>
  <si>
    <t>Построить модель на  детальных данных 1 полугодия 2026 для БФ и НРБ Групп</t>
  </si>
  <si>
    <t>04.02.02</t>
  </si>
  <si>
    <t>Загрузка данных ДК факт первого полугодия</t>
  </si>
  <si>
    <t>Загрузка факта</t>
  </si>
  <si>
    <t>04.02.03</t>
  </si>
  <si>
    <t>04.02.04</t>
  </si>
  <si>
    <t>04.02.05</t>
  </si>
  <si>
    <t>Factor_Details</t>
  </si>
  <si>
    <t>Методология_факторного_анализа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</si>
</sst>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;@"/>
    <numFmt numFmtId="165" formatCode="[$-419]d\ mmm\ yy\ \-\ ddd;@"/>
  </numFmts>
  <fonts count="33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sz val="9"/>
      <color indexed="81"/>
      <name val="Tahoma"/>
      <family val="2"/>
      <charset val="204"/>
    </font>
    <font>
      <sz val="10"/>
      <name val="Calibri"/>
      <family val="2"/>
      <charset val="204"/>
    </font>
    <font>
      <sz val="24"/>
      <color indexed="60"/>
      <name val="Calibri"/>
      <family val="2"/>
      <charset val="204"/>
    </font>
    <font>
      <b/>
      <sz val="10"/>
      <name val="Calibri"/>
      <family val="2"/>
      <charset val="204"/>
    </font>
    <font>
      <sz val="8"/>
      <color indexed="9"/>
      <name val="Calibri"/>
      <family val="2"/>
      <charset val="204"/>
    </font>
    <font>
      <sz val="8"/>
      <name val="Calibri"/>
      <family val="2"/>
      <charset val="204"/>
    </font>
    <font>
      <sz val="10"/>
      <color indexed="57"/>
      <name val="Wingdings 3"/>
      <family val="1"/>
      <charset val="2"/>
    </font>
    <font>
      <b/>
      <sz val="10"/>
      <color indexed="57"/>
      <name val="Webdings"/>
      <family val="1"/>
      <charset val="2"/>
    </font>
    <font>
      <b/>
      <sz val="10"/>
      <name val="Webdings"/>
      <family val="1"/>
      <charset val="2"/>
    </font>
    <font>
      <sz val="10"/>
      <color indexed="9"/>
      <name val="Calibri"/>
      <family val="2"/>
      <charset val="204"/>
    </font>
    <font>
      <sz val="14"/>
      <name val="Calibri"/>
      <family val="2"/>
      <charset val="204"/>
    </font>
    <font>
      <b/>
      <sz val="14"/>
      <name val="Calibri"/>
      <family val="2"/>
      <charset val="204"/>
    </font>
    <font>
      <b/>
      <i/>
      <sz val="10"/>
      <name val="Arial Cyr"/>
      <charset val="204"/>
    </font>
    <font>
      <b/>
      <i/>
      <sz val="10"/>
      <name val="Calibri"/>
      <family val="2"/>
      <charset val="204"/>
    </font>
    <font>
      <b/>
      <sz val="10"/>
      <name val="Arial Cyr"/>
      <charset val="204"/>
    </font>
    <font>
      <b/>
      <sz val="22"/>
      <color indexed="9"/>
      <name val="Calibri"/>
      <family val="2"/>
      <charset val="204"/>
    </font>
    <font>
      <sz val="1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4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0"/>
      <color rgb="FFFF0000"/>
      <name val="Arial Cyr"/>
      <charset val="204"/>
    </font>
    <font>
      <b/>
      <sz val="10"/>
      <color indexed="9"/>
      <name val="Calibri"/>
      <family val="2"/>
      <charset val="204"/>
    </font>
    <font>
      <b/>
      <sz val="11"/>
      <color rgb="FFFFFFFF"/>
      <name val="Carlito"/>
    </font>
    <font>
      <b/>
      <sz val="18"/>
      <color rgb="FFFFFFFF"/>
      <name val="Carlito"/>
    </font>
    <font>
      <u/>
      <sz val="10"/>
      <color theme="10"/>
      <name val="Arial Cyr"/>
      <charset val="204"/>
    </font>
    <font>
      <i/>
      <sz val="10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sz val="8"/>
      <color rgb="FF000000"/>
      <name val="Tahoma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89B3C"/>
      </patternFill>
    </fill>
    <fill>
      <patternFill patternType="solid">
        <fgColor rgb="FF17365D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162">
    <xf numFmtId="0" fontId="0" fillId="0" borderId="0" xfId="0"/>
    <xf numFmtId="14" fontId="0" fillId="0" borderId="0" xfId="0" applyNumberFormat="1"/>
    <xf numFmtId="0" fontId="4" fillId="2" borderId="0" xfId="0" applyFont="1" applyFill="1"/>
    <xf numFmtId="0" fontId="7" fillId="3" borderId="0" xfId="0" applyFont="1" applyFill="1" applyAlignment="1" applyProtection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textRotation="90"/>
    </xf>
    <xf numFmtId="165" fontId="8" fillId="2" borderId="0" xfId="0" applyNumberFormat="1" applyFont="1" applyFill="1"/>
    <xf numFmtId="164" fontId="4" fillId="2" borderId="0" xfId="0" applyNumberFormat="1" applyFont="1" applyFill="1"/>
    <xf numFmtId="0" fontId="7" fillId="3" borderId="0" xfId="0" applyFont="1" applyFill="1" applyAlignment="1">
      <alignment horizontal="center" vertical="center" textRotation="90" wrapText="1"/>
    </xf>
    <xf numFmtId="0" fontId="10" fillId="2" borderId="0" xfId="0" applyFont="1" applyFill="1" applyBorder="1"/>
    <xf numFmtId="0" fontId="11" fillId="2" borderId="0" xfId="0" applyFont="1" applyFill="1"/>
    <xf numFmtId="0" fontId="5" fillId="2" borderId="0" xfId="0" applyFont="1" applyFill="1"/>
    <xf numFmtId="14" fontId="6" fillId="2" borderId="0" xfId="0" applyNumberFormat="1" applyFont="1" applyFill="1" applyProtection="1">
      <protection locked="0"/>
    </xf>
    <xf numFmtId="14" fontId="4" fillId="2" borderId="0" xfId="0" applyNumberFormat="1" applyFont="1" applyFill="1"/>
    <xf numFmtId="0" fontId="6" fillId="2" borderId="0" xfId="0" applyFont="1" applyFill="1" applyProtection="1">
      <protection locked="0"/>
    </xf>
    <xf numFmtId="0" fontId="12" fillId="2" borderId="0" xfId="0" applyFont="1" applyFill="1"/>
    <xf numFmtId="0" fontId="12" fillId="2" borderId="0" xfId="0" applyFont="1" applyFill="1" applyProtection="1">
      <protection locked="0"/>
    </xf>
    <xf numFmtId="164" fontId="4" fillId="2" borderId="0" xfId="0" applyNumberFormat="1" applyFont="1" applyFill="1" applyProtection="1">
      <protection locked="0"/>
    </xf>
    <xf numFmtId="0" fontId="4" fillId="4" borderId="1" xfId="0" applyFont="1" applyFill="1" applyBorder="1" applyProtection="1">
      <protection locked="0"/>
    </xf>
    <xf numFmtId="164" fontId="4" fillId="4" borderId="1" xfId="0" applyNumberFormat="1" applyFont="1" applyFill="1" applyBorder="1"/>
    <xf numFmtId="9" fontId="4" fillId="4" borderId="1" xfId="1" applyFont="1" applyFill="1" applyBorder="1" applyProtection="1">
      <protection locked="0"/>
    </xf>
    <xf numFmtId="0" fontId="4" fillId="5" borderId="1" xfId="0" applyFont="1" applyFill="1" applyBorder="1" applyProtection="1">
      <protection locked="0"/>
    </xf>
    <xf numFmtId="164" fontId="4" fillId="5" borderId="1" xfId="0" applyNumberFormat="1" applyFont="1" applyFill="1" applyBorder="1"/>
    <xf numFmtId="9" fontId="4" fillId="5" borderId="1" xfId="1" applyFont="1" applyFill="1" applyBorder="1" applyProtection="1">
      <protection locked="0"/>
    </xf>
    <xf numFmtId="0" fontId="4" fillId="6" borderId="1" xfId="0" applyFont="1" applyFill="1" applyBorder="1" applyProtection="1">
      <protection locked="0"/>
    </xf>
    <xf numFmtId="164" fontId="4" fillId="6" borderId="1" xfId="0" applyNumberFormat="1" applyFont="1" applyFill="1" applyBorder="1"/>
    <xf numFmtId="9" fontId="4" fillId="6" borderId="1" xfId="1" applyFont="1" applyFill="1" applyBorder="1" applyProtection="1">
      <protection locked="0"/>
    </xf>
    <xf numFmtId="0" fontId="4" fillId="5" borderId="1" xfId="0" applyFont="1" applyFill="1" applyBorder="1"/>
    <xf numFmtId="0" fontId="19" fillId="5" borderId="1" xfId="0" applyFont="1" applyFill="1" applyBorder="1"/>
    <xf numFmtId="0" fontId="0" fillId="5" borderId="1" xfId="0" applyFill="1" applyBorder="1"/>
    <xf numFmtId="0" fontId="4" fillId="6" borderId="1" xfId="0" applyFont="1" applyFill="1" applyBorder="1" applyAlignment="1">
      <alignment horizontal="left" indent="1"/>
    </xf>
    <xf numFmtId="0" fontId="19" fillId="6" borderId="1" xfId="0" applyFont="1" applyFill="1" applyBorder="1" applyAlignment="1">
      <alignment horizontal="left" indent="2"/>
    </xf>
    <xf numFmtId="0" fontId="0" fillId="6" borderId="1" xfId="0" applyFill="1" applyBorder="1" applyAlignment="1">
      <alignment horizontal="left" indent="2"/>
    </xf>
    <xf numFmtId="0" fontId="14" fillId="7" borderId="1" xfId="0" applyFont="1" applyFill="1" applyBorder="1"/>
    <xf numFmtId="0" fontId="14" fillId="8" borderId="0" xfId="0" applyFont="1" applyFill="1" applyProtection="1">
      <protection locked="0"/>
    </xf>
    <xf numFmtId="9" fontId="4" fillId="4" borderId="2" xfId="1" applyFont="1" applyFill="1" applyBorder="1" applyProtection="1">
      <protection locked="0"/>
    </xf>
    <xf numFmtId="9" fontId="4" fillId="5" borderId="2" xfId="1" applyFont="1" applyFill="1" applyBorder="1" applyProtection="1">
      <protection locked="0"/>
    </xf>
    <xf numFmtId="9" fontId="4" fillId="6" borderId="2" xfId="1" applyFont="1" applyFill="1" applyBorder="1" applyProtection="1">
      <protection locked="0"/>
    </xf>
    <xf numFmtId="0" fontId="6" fillId="4" borderId="1" xfId="0" applyFont="1" applyFill="1" applyBorder="1"/>
    <xf numFmtId="0" fontId="6" fillId="4" borderId="1" xfId="0" applyFont="1" applyFill="1" applyBorder="1" applyProtection="1">
      <protection locked="0"/>
    </xf>
    <xf numFmtId="164" fontId="6" fillId="4" borderId="1" xfId="0" applyNumberFormat="1" applyFont="1" applyFill="1" applyBorder="1"/>
    <xf numFmtId="9" fontId="6" fillId="4" borderId="1" xfId="1" applyFont="1" applyFill="1" applyBorder="1" applyProtection="1">
      <protection locked="0"/>
    </xf>
    <xf numFmtId="9" fontId="6" fillId="4" borderId="2" xfId="1" applyFont="1" applyFill="1" applyBorder="1" applyProtection="1">
      <protection locked="0"/>
    </xf>
    <xf numFmtId="0" fontId="6" fillId="6" borderId="1" xfId="0" applyFont="1" applyFill="1" applyBorder="1"/>
    <xf numFmtId="0" fontId="6" fillId="6" borderId="1" xfId="0" applyFont="1" applyFill="1" applyBorder="1" applyProtection="1">
      <protection locked="0"/>
    </xf>
    <xf numFmtId="164" fontId="6" fillId="6" borderId="1" xfId="0" applyNumberFormat="1" applyFont="1" applyFill="1" applyBorder="1"/>
    <xf numFmtId="9" fontId="6" fillId="6" borderId="1" xfId="1" applyFont="1" applyFill="1" applyBorder="1" applyProtection="1">
      <protection locked="0"/>
    </xf>
    <xf numFmtId="9" fontId="6" fillId="6" borderId="2" xfId="1" applyFont="1" applyFill="1" applyBorder="1" applyProtection="1">
      <protection locked="0"/>
    </xf>
    <xf numFmtId="0" fontId="20" fillId="9" borderId="1" xfId="0" applyFont="1" applyFill="1" applyBorder="1"/>
    <xf numFmtId="0" fontId="0" fillId="10" borderId="1" xfId="0" applyFill="1" applyBorder="1"/>
    <xf numFmtId="164" fontId="4" fillId="10" borderId="1" xfId="0" applyNumberFormat="1" applyFont="1" applyFill="1" applyBorder="1"/>
    <xf numFmtId="0" fontId="4" fillId="10" borderId="1" xfId="0" applyFont="1" applyFill="1" applyBorder="1" applyProtection="1">
      <protection locked="0"/>
    </xf>
    <xf numFmtId="9" fontId="4" fillId="10" borderId="1" xfId="1" applyFont="1" applyFill="1" applyBorder="1" applyProtection="1">
      <protection locked="0"/>
    </xf>
    <xf numFmtId="9" fontId="4" fillId="10" borderId="2" xfId="1" applyFont="1" applyFill="1" applyBorder="1" applyProtection="1">
      <protection locked="0"/>
    </xf>
    <xf numFmtId="0" fontId="0" fillId="9" borderId="1" xfId="0" applyFill="1" applyBorder="1"/>
    <xf numFmtId="164" fontId="4" fillId="9" borderId="1" xfId="0" applyNumberFormat="1" applyFont="1" applyFill="1" applyBorder="1"/>
    <xf numFmtId="0" fontId="4" fillId="9" borderId="1" xfId="0" applyFont="1" applyFill="1" applyBorder="1" applyProtection="1">
      <protection locked="0"/>
    </xf>
    <xf numFmtId="9" fontId="4" fillId="9" borderId="1" xfId="1" applyFont="1" applyFill="1" applyBorder="1" applyProtection="1">
      <protection locked="0"/>
    </xf>
    <xf numFmtId="9" fontId="4" fillId="9" borderId="2" xfId="1" applyFont="1" applyFill="1" applyBorder="1" applyProtection="1">
      <protection locked="0"/>
    </xf>
    <xf numFmtId="0" fontId="21" fillId="9" borderId="1" xfId="0" applyFont="1" applyFill="1" applyBorder="1"/>
    <xf numFmtId="0" fontId="22" fillId="11" borderId="1" xfId="0" applyFont="1" applyFill="1" applyBorder="1"/>
    <xf numFmtId="0" fontId="13" fillId="11" borderId="1" xfId="0" applyFont="1" applyFill="1" applyBorder="1" applyProtection="1">
      <protection locked="0"/>
    </xf>
    <xf numFmtId="164" fontId="13" fillId="11" borderId="1" xfId="0" applyNumberFormat="1" applyFont="1" applyFill="1" applyBorder="1"/>
    <xf numFmtId="9" fontId="13" fillId="11" borderId="1" xfId="1" applyFont="1" applyFill="1" applyBorder="1" applyProtection="1">
      <protection locked="0"/>
    </xf>
    <xf numFmtId="9" fontId="13" fillId="11" borderId="2" xfId="1" applyFont="1" applyFill="1" applyBorder="1" applyProtection="1">
      <protection locked="0"/>
    </xf>
    <xf numFmtId="0" fontId="14" fillId="7" borderId="1" xfId="0" applyFont="1" applyFill="1" applyBorder="1" applyProtection="1">
      <protection locked="0"/>
    </xf>
    <xf numFmtId="164" fontId="14" fillId="7" borderId="1" xfId="0" applyNumberFormat="1" applyFont="1" applyFill="1" applyBorder="1"/>
    <xf numFmtId="9" fontId="14" fillId="7" borderId="1" xfId="1" applyFont="1" applyFill="1" applyBorder="1" applyProtection="1">
      <protection locked="0"/>
    </xf>
    <xf numFmtId="9" fontId="14" fillId="7" borderId="2" xfId="1" applyFont="1" applyFill="1" applyBorder="1" applyProtection="1">
      <protection locked="0"/>
    </xf>
    <xf numFmtId="164" fontId="14" fillId="8" borderId="0" xfId="0" applyNumberFormat="1" applyFont="1" applyFill="1"/>
    <xf numFmtId="9" fontId="14" fillId="8" borderId="0" xfId="1" applyFont="1" applyFill="1" applyProtection="1">
      <protection locked="0"/>
    </xf>
    <xf numFmtId="0" fontId="0" fillId="10" borderId="1" xfId="0" applyFont="1" applyFill="1" applyBorder="1" applyAlignment="1">
      <alignment horizontal="left" indent="1"/>
    </xf>
    <xf numFmtId="0" fontId="0" fillId="9" borderId="1" xfId="0" applyFont="1" applyFill="1" applyBorder="1" applyAlignment="1">
      <alignment horizontal="left" indent="2"/>
    </xf>
    <xf numFmtId="0" fontId="23" fillId="9" borderId="1" xfId="0" applyFont="1" applyFill="1" applyBorder="1" applyAlignment="1">
      <alignment horizontal="left" indent="2"/>
    </xf>
    <xf numFmtId="0" fontId="24" fillId="9" borderId="1" xfId="0" applyFont="1" applyFill="1" applyBorder="1" applyAlignment="1">
      <alignment horizontal="left" indent="2"/>
    </xf>
    <xf numFmtId="0" fontId="4" fillId="9" borderId="1" xfId="0" applyFont="1" applyFill="1" applyBorder="1" applyAlignment="1">
      <alignment horizontal="left" indent="2"/>
    </xf>
    <xf numFmtId="0" fontId="6" fillId="9" borderId="1" xfId="0" applyFont="1" applyFill="1" applyBorder="1" applyAlignment="1">
      <alignment horizontal="left" indent="2"/>
    </xf>
    <xf numFmtId="0" fontId="6" fillId="9" borderId="1" xfId="0" applyFont="1" applyFill="1" applyBorder="1" applyAlignment="1" applyProtection="1">
      <alignment horizontal="left" indent="2"/>
      <protection locked="0"/>
    </xf>
    <xf numFmtId="0" fontId="6" fillId="9" borderId="1" xfId="0" applyFont="1" applyFill="1" applyBorder="1" applyProtection="1">
      <protection locked="0"/>
    </xf>
    <xf numFmtId="164" fontId="6" fillId="9" borderId="1" xfId="0" applyNumberFormat="1" applyFont="1" applyFill="1" applyBorder="1"/>
    <xf numFmtId="9" fontId="6" fillId="9" borderId="1" xfId="1" applyFont="1" applyFill="1" applyBorder="1" applyProtection="1">
      <protection locked="0"/>
    </xf>
    <xf numFmtId="9" fontId="6" fillId="9" borderId="2" xfId="1" applyFont="1" applyFill="1" applyBorder="1" applyProtection="1">
      <protection locked="0"/>
    </xf>
    <xf numFmtId="164" fontId="4" fillId="12" borderId="1" xfId="0" applyNumberFormat="1" applyFont="1" applyFill="1" applyBorder="1"/>
    <xf numFmtId="0" fontId="4" fillId="12" borderId="1" xfId="0" applyFont="1" applyFill="1" applyBorder="1" applyProtection="1">
      <protection locked="0"/>
    </xf>
    <xf numFmtId="9" fontId="4" fillId="12" borderId="1" xfId="1" applyFont="1" applyFill="1" applyBorder="1" applyProtection="1">
      <protection locked="0"/>
    </xf>
    <xf numFmtId="9" fontId="4" fillId="12" borderId="2" xfId="1" applyFont="1" applyFill="1" applyBorder="1" applyProtection="1">
      <protection locked="0"/>
    </xf>
    <xf numFmtId="0" fontId="0" fillId="12" borderId="1" xfId="0" applyFont="1" applyFill="1" applyBorder="1" applyAlignment="1">
      <alignment horizontal="left" indent="3"/>
    </xf>
    <xf numFmtId="0" fontId="10" fillId="2" borderId="3" xfId="0" applyFont="1" applyFill="1" applyBorder="1"/>
    <xf numFmtId="0" fontId="10" fillId="0" borderId="0" xfId="0" applyFont="1" applyFill="1" applyBorder="1"/>
    <xf numFmtId="165" fontId="8" fillId="2" borderId="0" xfId="0" applyNumberFormat="1" applyFont="1" applyFill="1" applyAlignment="1">
      <alignment vertical="center" textRotation="90"/>
    </xf>
    <xf numFmtId="0" fontId="4" fillId="4" borderId="2" xfId="1" applyNumberFormat="1" applyFont="1" applyFill="1" applyBorder="1" applyProtection="1">
      <protection locked="0"/>
    </xf>
    <xf numFmtId="0" fontId="4" fillId="5" borderId="2" xfId="1" applyNumberFormat="1" applyFont="1" applyFill="1" applyBorder="1" applyProtection="1">
      <protection locked="0"/>
    </xf>
    <xf numFmtId="0" fontId="0" fillId="6" borderId="1" xfId="0" applyFont="1" applyFill="1" applyBorder="1" applyAlignment="1">
      <alignment horizontal="left" indent="2"/>
    </xf>
    <xf numFmtId="0" fontId="0" fillId="6" borderId="1" xfId="0" applyFill="1" applyBorder="1"/>
    <xf numFmtId="0" fontId="25" fillId="9" borderId="1" xfId="0" applyFont="1" applyFill="1" applyBorder="1"/>
    <xf numFmtId="0" fontId="15" fillId="9" borderId="1" xfId="0" applyFont="1" applyFill="1" applyBorder="1" applyAlignment="1">
      <alignment horizontal="left" indent="2"/>
    </xf>
    <xf numFmtId="0" fontId="15" fillId="9" borderId="1" xfId="0" applyFont="1" applyFill="1" applyBorder="1"/>
    <xf numFmtId="164" fontId="16" fillId="9" borderId="1" xfId="0" applyNumberFormat="1" applyFont="1" applyFill="1" applyBorder="1"/>
    <xf numFmtId="0" fontId="16" fillId="9" borderId="1" xfId="0" applyFont="1" applyFill="1" applyBorder="1" applyProtection="1">
      <protection locked="0"/>
    </xf>
    <xf numFmtId="9" fontId="16" fillId="9" borderId="1" xfId="1" applyFont="1" applyFill="1" applyBorder="1" applyProtection="1">
      <protection locked="0"/>
    </xf>
    <xf numFmtId="9" fontId="16" fillId="9" borderId="2" xfId="1" applyFont="1" applyFill="1" applyBorder="1" applyProtection="1">
      <protection locked="0"/>
    </xf>
    <xf numFmtId="0" fontId="17" fillId="9" borderId="1" xfId="0" applyFont="1" applyFill="1" applyBorder="1" applyAlignment="1">
      <alignment horizontal="left" indent="2"/>
    </xf>
    <xf numFmtId="0" fontId="17" fillId="9" borderId="1" xfId="0" applyFont="1" applyFill="1" applyBorder="1"/>
    <xf numFmtId="0" fontId="0" fillId="12" borderId="1" xfId="0" applyFont="1" applyFill="1" applyBorder="1"/>
    <xf numFmtId="0" fontId="11" fillId="2" borderId="3" xfId="0" applyFont="1" applyFill="1" applyBorder="1"/>
    <xf numFmtId="0" fontId="11" fillId="0" borderId="0" xfId="0" applyFont="1" applyFill="1" applyBorder="1"/>
    <xf numFmtId="0" fontId="11" fillId="2" borderId="0" xfId="0" applyFont="1" applyFill="1" applyBorder="1"/>
    <xf numFmtId="12" fontId="4" fillId="9" borderId="2" xfId="1" applyNumberFormat="1" applyFont="1" applyFill="1" applyBorder="1" applyProtection="1">
      <protection locked="0"/>
    </xf>
    <xf numFmtId="0" fontId="6" fillId="9" borderId="2" xfId="0" applyFont="1" applyFill="1" applyBorder="1" applyAlignment="1">
      <alignment horizontal="left" indent="2"/>
    </xf>
    <xf numFmtId="0" fontId="0" fillId="9" borderId="1" xfId="0" applyFont="1" applyFill="1" applyBorder="1"/>
    <xf numFmtId="0" fontId="0" fillId="10" borderId="1" xfId="0" applyFont="1" applyFill="1" applyBorder="1"/>
    <xf numFmtId="0" fontId="0" fillId="12" borderId="1" xfId="0" applyFont="1" applyFill="1" applyBorder="1" applyAlignment="1">
      <alignment horizontal="left" indent="4"/>
    </xf>
    <xf numFmtId="49" fontId="4" fillId="4" borderId="1" xfId="0" applyNumberFormat="1" applyFont="1" applyFill="1" applyBorder="1" applyAlignment="1">
      <alignment horizontal="right"/>
    </xf>
    <xf numFmtId="0" fontId="26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top"/>
    </xf>
    <xf numFmtId="0" fontId="12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18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17" fillId="13" borderId="8" xfId="0" applyFont="1" applyFill="1" applyBorder="1" applyAlignment="1">
      <alignment horizontal="center"/>
    </xf>
    <xf numFmtId="0" fontId="27" fillId="14" borderId="0" xfId="0" applyNumberFormat="1" applyFont="1" applyFill="1" applyBorder="1" applyAlignment="1">
      <alignment horizontal="center" vertical="center" wrapText="1"/>
    </xf>
    <xf numFmtId="9" fontId="29" fillId="4" borderId="2" xfId="2" applyNumberFormat="1" applyFill="1" applyBorder="1" applyProtection="1">
      <protection locked="0"/>
    </xf>
    <xf numFmtId="9" fontId="29" fillId="6" borderId="2" xfId="2" applyNumberFormat="1" applyFill="1" applyBorder="1" applyProtection="1">
      <protection locked="0"/>
    </xf>
    <xf numFmtId="49" fontId="4" fillId="6" borderId="1" xfId="0" applyNumberFormat="1" applyFont="1" applyFill="1" applyBorder="1" applyAlignment="1">
      <alignment horizontal="left" indent="1"/>
    </xf>
    <xf numFmtId="0" fontId="29" fillId="6" borderId="1" xfId="2" applyFill="1" applyBorder="1"/>
    <xf numFmtId="9" fontId="29" fillId="9" borderId="2" xfId="2" applyNumberFormat="1" applyFill="1" applyBorder="1" applyProtection="1">
      <protection locked="0"/>
    </xf>
    <xf numFmtId="49" fontId="0" fillId="9" borderId="1" xfId="0" applyNumberFormat="1" applyFont="1" applyFill="1" applyBorder="1" applyAlignment="1">
      <alignment horizontal="left" indent="2"/>
    </xf>
    <xf numFmtId="9" fontId="4" fillId="4" borderId="2" xfId="1" applyFont="1" applyFill="1" applyBorder="1" applyAlignment="1" applyProtection="1">
      <alignment wrapText="1"/>
      <protection locked="0"/>
    </xf>
    <xf numFmtId="9" fontId="4" fillId="4" borderId="2" xfId="1" applyFont="1" applyFill="1" applyBorder="1" applyAlignment="1" applyProtection="1">
      <alignment vertical="top" wrapText="1"/>
      <protection locked="0"/>
    </xf>
    <xf numFmtId="49" fontId="4" fillId="9" borderId="1" xfId="0" applyNumberFormat="1" applyFont="1" applyFill="1" applyBorder="1" applyAlignment="1">
      <alignment horizontal="left" indent="2"/>
    </xf>
    <xf numFmtId="9" fontId="29" fillId="12" borderId="2" xfId="2" applyNumberFormat="1" applyFill="1" applyBorder="1" applyProtection="1">
      <protection locked="0"/>
    </xf>
    <xf numFmtId="9" fontId="6" fillId="9" borderId="1" xfId="0" applyNumberFormat="1" applyFont="1" applyFill="1" applyBorder="1" applyAlignment="1">
      <alignment horizontal="left" indent="2"/>
    </xf>
    <xf numFmtId="9" fontId="29" fillId="5" borderId="2" xfId="2" applyNumberFormat="1" applyFill="1" applyBorder="1" applyProtection="1">
      <protection locked="0"/>
    </xf>
    <xf numFmtId="0" fontId="30" fillId="9" borderId="1" xfId="0" applyFont="1" applyFill="1" applyBorder="1" applyAlignment="1">
      <alignment horizontal="left" indent="2"/>
    </xf>
    <xf numFmtId="0" fontId="31" fillId="9" borderId="1" xfId="0" applyFont="1" applyFill="1" applyBorder="1" applyAlignment="1">
      <alignment horizontal="left" indent="2"/>
    </xf>
    <xf numFmtId="0" fontId="0" fillId="0" borderId="1" xfId="0" applyFont="1" applyFill="1" applyBorder="1" applyAlignment="1">
      <alignment horizontal="left" indent="2"/>
    </xf>
    <xf numFmtId="0" fontId="0" fillId="0" borderId="1" xfId="0" applyFont="1" applyFill="1" applyBorder="1" applyAlignment="1">
      <alignment horizontal="left" indent="3"/>
    </xf>
    <xf numFmtId="0" fontId="0" fillId="0" borderId="1" xfId="0" applyFont="1" applyFill="1" applyBorder="1"/>
    <xf numFmtId="164" fontId="4" fillId="0" borderId="1" xfId="0" applyNumberFormat="1" applyFont="1" applyFill="1" applyBorder="1"/>
    <xf numFmtId="0" fontId="4" fillId="0" borderId="1" xfId="0" applyFont="1" applyFill="1" applyBorder="1" applyProtection="1">
      <protection locked="0"/>
    </xf>
    <xf numFmtId="9" fontId="4" fillId="0" borderId="1" xfId="1" applyFont="1" applyFill="1" applyBorder="1" applyProtection="1">
      <protection locked="0"/>
    </xf>
    <xf numFmtId="9" fontId="4" fillId="0" borderId="2" xfId="1" applyFont="1" applyFill="1" applyBorder="1" applyProtection="1">
      <protection locked="0"/>
    </xf>
    <xf numFmtId="0" fontId="11" fillId="0" borderId="3" xfId="0" applyFont="1" applyFill="1" applyBorder="1"/>
    <xf numFmtId="0" fontId="4" fillId="0" borderId="0" xfId="0" applyFont="1" applyFill="1"/>
    <xf numFmtId="0" fontId="0" fillId="12" borderId="1" xfId="0" applyFont="1" applyFill="1" applyBorder="1" applyAlignment="1">
      <alignment horizontal="left" indent="2"/>
    </xf>
    <xf numFmtId="0" fontId="11" fillId="12" borderId="3" xfId="0" applyFont="1" applyFill="1" applyBorder="1"/>
    <xf numFmtId="0" fontId="11" fillId="12" borderId="0" xfId="0" applyFont="1" applyFill="1" applyBorder="1"/>
    <xf numFmtId="0" fontId="4" fillId="12" borderId="0" xfId="0" applyFont="1" applyFill="1"/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8" fillId="15" borderId="0" xfId="0" applyNumberFormat="1" applyFont="1" applyFill="1" applyBorder="1" applyAlignment="1">
      <alignment vertical="center"/>
    </xf>
    <xf numFmtId="9" fontId="29" fillId="0" borderId="2" xfId="2" applyNumberFormat="1" applyFill="1" applyBorder="1" applyProtection="1">
      <protection locked="0"/>
    </xf>
    <xf numFmtId="49" fontId="6" fillId="0" borderId="1" xfId="0" applyNumberFormat="1" applyFont="1" applyFill="1" applyBorder="1" applyAlignment="1">
      <alignment horizontal="left" indent="2"/>
    </xf>
    <xf numFmtId="0" fontId="6" fillId="0" borderId="1" xfId="0" applyFont="1" applyFill="1" applyBorder="1" applyAlignment="1" applyProtection="1">
      <alignment horizontal="left" indent="2"/>
      <protection locked="0"/>
    </xf>
    <xf numFmtId="0" fontId="6" fillId="0" borderId="1" xfId="0" applyFont="1" applyFill="1" applyBorder="1" applyProtection="1">
      <protection locked="0"/>
    </xf>
    <xf numFmtId="164" fontId="6" fillId="0" borderId="1" xfId="0" applyNumberFormat="1" applyFont="1" applyFill="1" applyBorder="1"/>
    <xf numFmtId="0" fontId="10" fillId="0" borderId="3" xfId="0" applyFont="1" applyFill="1" applyBorder="1"/>
    <xf numFmtId="49" fontId="4" fillId="0" borderId="1" xfId="0" applyNumberFormat="1" applyFont="1" applyFill="1" applyBorder="1" applyAlignment="1">
      <alignment horizontal="left" indent="3"/>
    </xf>
    <xf numFmtId="0" fontId="4" fillId="0" borderId="1" xfId="0" applyFont="1" applyFill="1" applyBorder="1" applyAlignment="1" applyProtection="1">
      <alignment horizontal="left" indent="2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7"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3" tint="0.39994506668294322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3" tint="0.39994506668294322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3" tint="0.39994506668294322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3" tint="0.39994506668294322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3" tint="0.39994506668294322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u val="none"/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3" tint="0.39994506668294322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3" tint="0.39994506668294322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3" tint="0.39994506668294322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3" tint="0.39994506668294322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3" tint="0.39994506668294322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3" tint="0.39994506668294322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font>
        <b val="0"/>
        <i/>
        <strike val="0"/>
        <u val="none"/>
        <color rgb="FFFF0000"/>
      </font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9" tint="0.79998168889431442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fill>
        <patternFill>
          <bgColor indexed="9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fill>
        <patternFill>
          <bgColor indexed="9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fill>
        <patternFill>
          <bgColor indexed="24"/>
        </patternFill>
      </fill>
    </dxf>
    <dxf>
      <fill>
        <patternFill>
          <bgColor theme="0"/>
        </patternFill>
      </fill>
      <border>
        <left/>
        <right/>
        <top/>
        <bottom/>
      </border>
    </dxf>
    <dxf>
      <fill>
        <patternFill>
          <bgColor theme="6" tint="0.79998168889431442"/>
        </patternFill>
      </fill>
      <border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</dxf>
    <dxf>
      <fill>
        <patternFill>
          <bgColor theme="3" tint="0.39994506668294322"/>
        </patternFill>
      </fill>
      <border>
        <left style="dashed">
          <color theme="0" tint="-0.34998626667073579"/>
        </left>
        <right style="dashed">
          <color theme="0" tint="-0.34998626667073579"/>
        </right>
        <top style="dashed">
          <color theme="0" tint="-0.34998626667073579"/>
        </top>
        <bottom style="dashed">
          <color theme="0" tint="-0.34998626667073579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5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1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5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1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border>
        <left style="dashed">
          <color theme="0" tint="-0.499984740745262"/>
        </left>
        <right style="dashed">
          <color theme="0" tint="-0.499984740745262"/>
        </right>
        <top style="dashed">
          <color theme="0" tint="-0.499984740745262"/>
        </top>
        <bottom style="dashed">
          <color theme="0" tint="-0.499984740745262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EE5D8B"/>
      <rgbColor rgb="0053D4C9"/>
      <rgbColor rgb="00631F34"/>
      <rgbColor rgb="00008000"/>
      <rgbColor rgb="00002850"/>
      <rgbColor rgb="00819C00"/>
      <rgbColor rgb="00B17B4E"/>
      <rgbColor rgb="00007F74"/>
      <rgbColor rgb="00EEEEEE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CCFFCC"/>
      <rgbColor rgb="00FFFFE3"/>
      <rgbColor rgb="00BBCCDD"/>
      <rgbColor rgb="00F9C7D7"/>
      <rgbColor rgb="00EFE5DC"/>
      <rgbColor rgb="00E0E3EC"/>
      <rgbColor rgb="003E70A1"/>
      <rgbColor rgb="0036ACA2"/>
      <rgbColor rgb="00AEC53D"/>
      <rgbColor rgb="00BBC1D5"/>
      <rgbColor rgb="007D89AF"/>
      <rgbColor rgb="004C577C"/>
      <rgbColor rgb="006A4A2F"/>
      <rgbColor rgb="00B2B2B2"/>
      <rgbColor rgb="00003366"/>
      <rgbColor rgb="0036AD36"/>
      <rgbColor rgb="001B571B"/>
      <rgbColor rgb="0058631F"/>
      <rgbColor rgb="0030374E"/>
      <rgbColor rgb="00D0B095"/>
      <rgbColor rgb="00231910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ctrlProps/ctrlProp1.xml><?xml version="1.0" encoding="utf-8"?>
<formControlPr xmlns="http://schemas.microsoft.com/office/spreadsheetml/2009/9/main" objectType="CheckBox" fmlaLink="$F$3" lockText="1"/>
</file>

<file path=xl/ctrlProps/ctrlProp2.xml><?xml version="1.0" encoding="utf-8"?>
<formControlPr xmlns="http://schemas.microsoft.com/office/spreadsheetml/2009/9/main" objectType="Spin" dx="16" fmlaLink="$E$5" max="100" min="1" page="10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19050</xdr:rowOff>
        </xdr:from>
        <xdr:to>
          <xdr:col>5</xdr:col>
          <xdr:colOff>219074</xdr:colOff>
          <xdr:row>6</xdr:row>
          <xdr:rowOff>123825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ru-RU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Измерять длительности и задержки в рабочих днях (с учетом выходных и праздников)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47625</xdr:colOff>
          <xdr:row>4</xdr:row>
          <xdr:rowOff>9525</xdr:rowOff>
        </xdr:from>
        <xdr:to>
          <xdr:col>5</xdr:col>
          <xdr:colOff>219075</xdr:colOff>
          <xdr:row>5</xdr:row>
          <xdr:rowOff>38100</xdr:rowOff>
        </xdr:to>
        <xdr:sp macro="" textlink="">
          <xdr:nvSpPr>
            <xdr:cNvPr id="3074" name="Spinner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</xdr:row>
          <xdr:rowOff>0</xdr:rowOff>
        </xdr:from>
        <xdr:to>
          <xdr:col>2</xdr:col>
          <xdr:colOff>3009900</xdr:colOff>
          <xdr:row>7</xdr:row>
          <xdr:rowOff>228600</xdr:rowOff>
        </xdr:to>
        <xdr:sp macro="" textlink="">
          <xdr:nvSpPr>
            <xdr:cNvPr id="3075" name="CheckBox1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file:///C:\London\REWARD\Comp%20&amp;%20Bens\Budget\MasterFile" TargetMode="External"/><Relationship Id="rId18" Type="http://schemas.openxmlformats.org/officeDocument/2006/relationships/hyperlink" Target="file:///C:\London\REWARD\Comp%20&amp;%20Bens\Budget\MasterFile" TargetMode="External"/><Relationship Id="rId26" Type="http://schemas.openxmlformats.org/officeDocument/2006/relationships/hyperlink" Target="https://smsk02db144d.corp.vtbcapital.internal:6443/HCMC/" TargetMode="External"/><Relationship Id="rId3" Type="http://schemas.openxmlformats.org/officeDocument/2006/relationships/hyperlink" Target="BUDGET_ER_Diagramm.png" TargetMode="External"/><Relationship Id="rId21" Type="http://schemas.openxmlformats.org/officeDocument/2006/relationships/hyperlink" Target="..\HC%20Tracker\&#1052;&#1072;&#1089;&#1090;&#1077;&#1088;%20-&#1092;&#1072;&#1081;&#1083;" TargetMode="External"/><Relationship Id="rId34" Type="http://schemas.openxmlformats.org/officeDocument/2006/relationships/image" Target="../media/image1.emf"/><Relationship Id="rId7" Type="http://schemas.openxmlformats.org/officeDocument/2006/relationships/hyperlink" Target="file:///C:\Users\AObycheva\HC%20Tracker\&#1052;&#1072;&#1089;&#1090;&#1077;&#1088;%20-&#1092;&#1072;&#1081;&#1083;" TargetMode="External"/><Relationship Id="rId12" Type="http://schemas.openxmlformats.org/officeDocument/2006/relationships/hyperlink" Target="file:///C:\London\REWARD\Comp%20&amp;%20Bens\Budget\MasterFile" TargetMode="External"/><Relationship Id="rId17" Type="http://schemas.openxmlformats.org/officeDocument/2006/relationships/hyperlink" Target="file:///C:\London\REWARD\Comp%20&amp;%20Bens\Budget\MasterFile" TargetMode="External"/><Relationship Id="rId25" Type="http://schemas.openxmlformats.org/officeDocument/2006/relationships/hyperlink" Target="../HC%20Tracker/&#1054;&#1073;&#1097;&#1080;&#1081;%20&#1087;&#1088;&#1086;&#1094;&#1077;&#1089;&#1089;%20HC%20Tracker/sequence%20hc%20tracker%20v4.docx" TargetMode="External"/><Relationship Id="rId33" Type="http://schemas.openxmlformats.org/officeDocument/2006/relationships/control" Target="../activeX/activeX1.xml"/><Relationship Id="rId2" Type="http://schemas.openxmlformats.org/officeDocument/2006/relationships/hyperlink" Target="../HC%20Tracker/HC_TRACKER_ER_Diagramm.png" TargetMode="External"/><Relationship Id="rId16" Type="http://schemas.openxmlformats.org/officeDocument/2006/relationships/hyperlink" Target="file:///C:\London\REWARD\Comp%20&amp;%20Bens\Budget\MasterFile" TargetMode="External"/><Relationship Id="rId20" Type="http://schemas.openxmlformats.org/officeDocument/2006/relationships/hyperlink" Target="file:///C:\London\REWARD\Comp%20&amp;%20Bens\Budget\MasterFile" TargetMode="External"/><Relationship Id="rId29" Type="http://schemas.openxmlformats.org/officeDocument/2006/relationships/hyperlink" Target="&#1060;&#1072;&#1082;&#1090;&#1086;&#1088;&#1085;&#1099;&#1081;%20&#1072;&#1085;&#1072;&#1083;&#1080;&#1079;/&#1052;&#1077;&#1090;&#1086;&#1076;&#1086;&#1083;&#1086;&#1075;&#1080;&#1103;_&#1092;&#1072;&#1082;&#1090;&#1086;&#1088;&#1085;&#1086;&#1075;&#1086;_&#1072;&#1085;&#1072;&#1083;&#1080;&#1079;&#1072;_Corr_28.08.26.xlsx" TargetMode="External"/><Relationship Id="rId1" Type="http://schemas.openxmlformats.org/officeDocument/2006/relationships/hyperlink" Target="&#1040;&#1083;&#1100;&#1073;&#1086;&#1084;%20&#1086;&#1090;&#1095;&#1077;&#1090;&#1085;&#1099;&#1093;%20&#1092;&#1086;&#1088;&#1084;/!Reviewed" TargetMode="External"/><Relationship Id="rId6" Type="http://schemas.openxmlformats.org/officeDocument/2006/relationships/hyperlink" Target="file:///C:\Users\AObycheva\HC%20Tracker\&#1052;&#1072;&#1089;&#1090;&#1077;&#1088;%20-&#1092;&#1072;&#1081;&#1083;" TargetMode="External"/><Relationship Id="rId11" Type="http://schemas.openxmlformats.org/officeDocument/2006/relationships/hyperlink" Target="file:///C:\London\REWARD\Comp%20&amp;%20Bens\Budget\MasterFile" TargetMode="External"/><Relationship Id="rId24" Type="http://schemas.openxmlformats.org/officeDocument/2006/relationships/hyperlink" Target="../HC%20Tracker/&#1054;&#1073;&#1097;&#1080;&#1081;%20&#1087;&#1088;&#1086;&#1094;&#1077;&#1089;&#1089;%20HC%20Tracker/&#1055;&#1086;&#1083;&#1100;&#1079;&#1086;&#1074;&#1072;&#1090;&#1077;&#1083;&#1100;&#1089;&#1082;&#1080;&#1077;%20&#1089;&#1094;&#1077;&#1085;&#1072;&#1088;&#1080;&#1080;.docx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../../../../HRPT_Source/Repository/Readme/JOURNAL_ENTRIES_1&#1057;.md" TargetMode="External"/><Relationship Id="rId15" Type="http://schemas.openxmlformats.org/officeDocument/2006/relationships/hyperlink" Target="file:///C:\London\REWARD\Comp%20&amp;%20Bens\Budget\MasterFile" TargetMode="External"/><Relationship Id="rId23" Type="http://schemas.openxmlformats.org/officeDocument/2006/relationships/hyperlink" Target="../HC%20Tracker/&#1041;&#1080;&#1079;&#1085;&#1077;&#1089;-&#1072;&#1085;&#1072;&#1083;&#1080;&#1079;%20HC%20Tracker%20&#1080;%20HCMC.docx" TargetMode="External"/><Relationship Id="rId28" Type="http://schemas.openxmlformats.org/officeDocument/2006/relationships/hyperlink" Target="&#1060;&#1072;&#1082;&#1090;&#1086;&#1088;&#1085;&#1099;&#1081;%20&#1072;&#1085;&#1072;&#1083;&#1080;&#1079;/Factor_Details.xlsx" TargetMode="External"/><Relationship Id="rId36" Type="http://schemas.openxmlformats.org/officeDocument/2006/relationships/ctrlProp" Target="../ctrlProps/ctrlProp2.xml"/><Relationship Id="rId10" Type="http://schemas.openxmlformats.org/officeDocument/2006/relationships/hyperlink" Target="..\HC%20Tracker\&#1050;&#1091;&#1073;%20&#1080;%20&#1086;&#1090;&#1095;&#1077;&#1090;&#1085;&#1086;&#1089;&#1090;&#1100;" TargetMode="External"/><Relationship Id="rId19" Type="http://schemas.openxmlformats.org/officeDocument/2006/relationships/hyperlink" Target="file:///C:\London\REWARD\Comp%20&amp;%20Bens\Budget\MasterFile" TargetMode="External"/><Relationship Id="rId31" Type="http://schemas.openxmlformats.org/officeDocument/2006/relationships/drawing" Target="../drawings/drawing1.xml"/><Relationship Id="rId4" Type="http://schemas.openxmlformats.org/officeDocument/2006/relationships/hyperlink" Target="../HC%20Tracker/&#1050;&#1091;&#1073;%20&#1080;%20&#1086;&#1090;&#1095;&#1077;&#1090;&#1085;&#1086;&#1089;&#1090;&#1100;" TargetMode="External"/><Relationship Id="rId9" Type="http://schemas.openxmlformats.org/officeDocument/2006/relationships/hyperlink" Target="file:///C:\Users\AObycheva\HC%20Tracker\&#1052;&#1072;&#1089;&#1090;&#1077;&#1088;%20-&#1092;&#1072;&#1081;&#1083;" TargetMode="External"/><Relationship Id="rId14" Type="http://schemas.openxmlformats.org/officeDocument/2006/relationships/hyperlink" Target="file:///C:\London\REWARD\Comp%20&amp;%20Bens\Budget\MasterFile" TargetMode="External"/><Relationship Id="rId22" Type="http://schemas.openxmlformats.org/officeDocument/2006/relationships/hyperlink" Target="&#1040;&#1083;&#1100;&#1073;&#1086;&#1084;%20&#1086;&#1090;&#1095;&#1077;&#1090;&#1085;&#1099;&#1093;%20&#1092;&#1086;&#1088;&#1084;\!Reviewed" TargetMode="External"/><Relationship Id="rId27" Type="http://schemas.openxmlformats.org/officeDocument/2006/relationships/hyperlink" Target="..\HC%20Tracker\&#1057;&#1094;&#1077;&#1085;&#1072;&#1088;&#1080;&#1080;%20&#1090;&#1077;&#1089;&#1090;&#1080;&#1088;&#1086;&#1074;&#1072;&#1085;&#1080;&#1103;%20HC%20Tracker%20&#1080;%20HCMC%20last%20version.docx" TargetMode="External"/><Relationship Id="rId30" Type="http://schemas.openxmlformats.org/officeDocument/2006/relationships/printerSettings" Target="../printerSettings/printerSettings1.bin"/><Relationship Id="rId35" Type="http://schemas.openxmlformats.org/officeDocument/2006/relationships/ctrlProp" Target="../ctrlProps/ctrlProp1.xml"/><Relationship Id="rId8" Type="http://schemas.openxmlformats.org/officeDocument/2006/relationships/hyperlink" Target="file:///C:\Users\AObycheva\HC%20Tracker\&#1052;&#1072;&#1089;&#1090;&#1077;&#1088;%20-&#1092;&#1072;&#1081;&#1083;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B1:IR115"/>
  <sheetViews>
    <sheetView tabSelected="1" zoomScale="85" zoomScaleNormal="85" workbookViewId="0">
      <pane xSplit="4" ySplit="8" topLeftCell="E87" activePane="bottomRight" state="frozen"/>
      <selection pane="topRight" activeCell="E1" sqref="E1"/>
      <selection pane="bottomLeft" activeCell="A9" sqref="A9"/>
      <selection pane="bottomRight" activeCell="J117" sqref="J117"/>
    </sheetView>
  </sheetViews>
  <sheetFormatPr defaultColWidth="2.7109375" defaultRowHeight="14.25" outlineLevelRow="2" outlineLevelCol="1"/>
  <cols>
    <col min="1" max="1" width="1.85546875" style="2" customWidth="1"/>
    <col min="2" max="2" width="13.28515625" style="2" customWidth="1"/>
    <col min="3" max="3" width="53.7109375" style="2" customWidth="1"/>
    <col min="4" max="4" width="4.7109375" style="2" hidden="1" customWidth="1" outlineLevel="1"/>
    <col min="5" max="5" width="11.28515625" style="2" customWidth="1" collapsed="1"/>
    <col min="6" max="6" width="7.5703125" style="2" customWidth="1"/>
    <col min="7" max="7" width="13.7109375" style="7" customWidth="1"/>
    <col min="8" max="8" width="8.5703125" style="17" customWidth="1"/>
    <col min="9" max="9" width="20.140625" style="17" customWidth="1"/>
    <col min="10" max="10" width="19" style="17" customWidth="1"/>
    <col min="11" max="11" width="18.28515625" style="17" customWidth="1"/>
    <col min="12" max="12" width="15.28515625" style="17" customWidth="1"/>
    <col min="13" max="13" width="25.28515625" style="17" customWidth="1"/>
    <col min="14" max="14" width="27.7109375" style="17" customWidth="1"/>
    <col min="15" max="15" width="31.140625" style="17" customWidth="1"/>
    <col min="16" max="22" width="2.7109375" style="10" hidden="1" customWidth="1" outlineLevel="1"/>
    <col min="23" max="23" width="3" style="10" hidden="1" customWidth="1" outlineLevel="1"/>
    <col min="24" max="24" width="2.42578125" style="10" hidden="1" customWidth="1" outlineLevel="1"/>
    <col min="25" max="95" width="2.7109375" style="10" hidden="1" customWidth="1" outlineLevel="1"/>
    <col min="96" max="160" width="0" style="2" hidden="1" customWidth="1" outlineLevel="1"/>
    <col min="161" max="161" width="2.7109375" style="2" collapsed="1"/>
    <col min="162" max="16384" width="2.7109375" style="2"/>
  </cols>
  <sheetData>
    <row r="1" spans="2:252" ht="31.5">
      <c r="C1" s="11" t="s">
        <v>4</v>
      </c>
      <c r="F1" s="1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</row>
    <row r="2" spans="2:252" ht="12.75">
      <c r="F2" s="15"/>
      <c r="G2" s="2"/>
      <c r="H2" s="2"/>
      <c r="I2" s="2"/>
      <c r="J2" s="2"/>
      <c r="K2" s="2"/>
      <c r="L2" s="2"/>
      <c r="M2" s="11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13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</row>
    <row r="3" spans="2:252" s="15" customFormat="1" ht="12.75">
      <c r="C3" s="2" t="s">
        <v>5</v>
      </c>
      <c r="D3" s="2"/>
      <c r="E3" s="12">
        <v>46113</v>
      </c>
      <c r="F3" s="16" t="b">
        <v>0</v>
      </c>
      <c r="M3" s="2"/>
    </row>
    <row r="4" spans="2:252" ht="12.75">
      <c r="C4" s="2" t="s">
        <v>6</v>
      </c>
      <c r="E4" s="13">
        <v>46296</v>
      </c>
      <c r="F4" s="15"/>
      <c r="G4" s="2"/>
      <c r="H4" s="2"/>
      <c r="I4" s="150" t="s">
        <v>168</v>
      </c>
      <c r="J4" s="150" t="s">
        <v>169</v>
      </c>
      <c r="K4" s="150" t="s">
        <v>170</v>
      </c>
      <c r="L4" s="150" t="s">
        <v>171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</row>
    <row r="5" spans="2:252" ht="12.75">
      <c r="C5" s="2" t="s">
        <v>7</v>
      </c>
      <c r="E5" s="14">
        <v>1</v>
      </c>
      <c r="F5" s="15"/>
      <c r="G5" s="2"/>
      <c r="H5" s="2"/>
      <c r="I5" s="151"/>
      <c r="J5" s="151"/>
      <c r="K5" s="151"/>
      <c r="L5" s="15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</row>
    <row r="6" spans="2:252" ht="12.75">
      <c r="F6" s="15"/>
      <c r="G6" s="2"/>
      <c r="H6" s="2"/>
      <c r="I6" s="151"/>
      <c r="J6" s="151"/>
      <c r="K6" s="151"/>
      <c r="L6" s="15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</row>
    <row r="7" spans="2:252" s="116" customFormat="1" ht="19.5" customHeight="1">
      <c r="B7" s="114"/>
      <c r="C7" s="114"/>
      <c r="D7" s="114"/>
      <c r="E7" s="114"/>
      <c r="F7" s="115"/>
      <c r="G7" s="114"/>
      <c r="H7" s="114"/>
      <c r="I7" s="152"/>
      <c r="J7" s="152" t="s">
        <v>165</v>
      </c>
      <c r="K7" s="152" t="s">
        <v>166</v>
      </c>
      <c r="L7" s="152" t="s">
        <v>167</v>
      </c>
      <c r="M7" s="114"/>
      <c r="N7" s="114"/>
      <c r="O7" s="114"/>
      <c r="P7" s="116" t="str">
        <f ca="1">IF(P8=TODAY(),CHAR(113),"")</f>
        <v/>
      </c>
      <c r="Q7" s="116" t="str">
        <f t="shared" ref="Q7:CB7" ca="1" si="0">IF(Q8=TODAY(),CHAR(113),"")</f>
        <v/>
      </c>
      <c r="R7" s="116" t="str">
        <f t="shared" ca="1" si="0"/>
        <v/>
      </c>
      <c r="S7" s="116" t="str">
        <f t="shared" ca="1" si="0"/>
        <v/>
      </c>
      <c r="T7" s="116" t="str">
        <f t="shared" ca="1" si="0"/>
        <v/>
      </c>
      <c r="U7" s="116" t="str">
        <f t="shared" ca="1" si="0"/>
        <v/>
      </c>
      <c r="V7" s="116" t="str">
        <f t="shared" ca="1" si="0"/>
        <v/>
      </c>
      <c r="W7" s="116" t="str">
        <f t="shared" ca="1" si="0"/>
        <v/>
      </c>
      <c r="X7" s="116" t="str">
        <f t="shared" ca="1" si="0"/>
        <v/>
      </c>
      <c r="Y7" s="116" t="str">
        <f t="shared" ca="1" si="0"/>
        <v/>
      </c>
      <c r="Z7" s="116" t="str">
        <f t="shared" ca="1" si="0"/>
        <v/>
      </c>
      <c r="AA7" s="116" t="str">
        <f t="shared" ca="1" si="0"/>
        <v/>
      </c>
      <c r="AB7" s="116" t="str">
        <f t="shared" ca="1" si="0"/>
        <v/>
      </c>
      <c r="AC7" s="116" t="str">
        <f t="shared" ca="1" si="0"/>
        <v/>
      </c>
      <c r="AD7" s="116" t="str">
        <f t="shared" ca="1" si="0"/>
        <v/>
      </c>
      <c r="AE7" s="116" t="str">
        <f t="shared" ca="1" si="0"/>
        <v/>
      </c>
      <c r="AF7" s="116" t="str">
        <f t="shared" ca="1" si="0"/>
        <v/>
      </c>
      <c r="AG7" s="116" t="str">
        <f t="shared" ca="1" si="0"/>
        <v/>
      </c>
      <c r="AH7" s="116" t="str">
        <f t="shared" ca="1" si="0"/>
        <v/>
      </c>
      <c r="AI7" s="116" t="str">
        <f t="shared" ca="1" si="0"/>
        <v/>
      </c>
      <c r="AJ7" s="116" t="str">
        <f t="shared" ca="1" si="0"/>
        <v/>
      </c>
      <c r="AK7" s="116" t="str">
        <f t="shared" ca="1" si="0"/>
        <v/>
      </c>
      <c r="AL7" s="116" t="str">
        <f t="shared" ca="1" si="0"/>
        <v/>
      </c>
      <c r="AM7" s="116" t="str">
        <f t="shared" ca="1" si="0"/>
        <v/>
      </c>
      <c r="AN7" s="116" t="str">
        <f t="shared" ca="1" si="0"/>
        <v/>
      </c>
      <c r="AO7" s="116" t="str">
        <f t="shared" ca="1" si="0"/>
        <v/>
      </c>
      <c r="AP7" s="116" t="str">
        <f t="shared" ca="1" si="0"/>
        <v/>
      </c>
      <c r="AQ7" s="116" t="str">
        <f t="shared" ca="1" si="0"/>
        <v/>
      </c>
      <c r="AR7" s="116" t="str">
        <f t="shared" ca="1" si="0"/>
        <v/>
      </c>
      <c r="AS7" s="116" t="str">
        <f t="shared" ca="1" si="0"/>
        <v/>
      </c>
      <c r="AT7" s="116" t="str">
        <f t="shared" ca="1" si="0"/>
        <v/>
      </c>
      <c r="AU7" s="116" t="str">
        <f t="shared" ca="1" si="0"/>
        <v/>
      </c>
      <c r="AV7" s="116" t="str">
        <f t="shared" ca="1" si="0"/>
        <v/>
      </c>
      <c r="AW7" s="116" t="str">
        <f t="shared" ca="1" si="0"/>
        <v/>
      </c>
      <c r="AX7" s="116" t="str">
        <f t="shared" ca="1" si="0"/>
        <v/>
      </c>
      <c r="AY7" s="116" t="str">
        <f t="shared" ca="1" si="0"/>
        <v/>
      </c>
      <c r="AZ7" s="116" t="str">
        <f t="shared" ca="1" si="0"/>
        <v/>
      </c>
      <c r="BA7" s="116" t="str">
        <f t="shared" ca="1" si="0"/>
        <v/>
      </c>
      <c r="BB7" s="116" t="str">
        <f t="shared" ca="1" si="0"/>
        <v/>
      </c>
      <c r="BC7" s="116" t="str">
        <f t="shared" ca="1" si="0"/>
        <v/>
      </c>
      <c r="BD7" s="116" t="str">
        <f t="shared" ca="1" si="0"/>
        <v/>
      </c>
      <c r="BE7" s="116" t="str">
        <f t="shared" ca="1" si="0"/>
        <v/>
      </c>
      <c r="BF7" s="116" t="str">
        <f t="shared" ca="1" si="0"/>
        <v/>
      </c>
      <c r="BG7" s="116" t="str">
        <f t="shared" ca="1" si="0"/>
        <v/>
      </c>
      <c r="BH7" s="116" t="str">
        <f t="shared" ca="1" si="0"/>
        <v/>
      </c>
      <c r="BI7" s="116" t="str">
        <f t="shared" ca="1" si="0"/>
        <v/>
      </c>
      <c r="BJ7" s="116" t="str">
        <f t="shared" ca="1" si="0"/>
        <v/>
      </c>
      <c r="BK7" s="116" t="str">
        <f t="shared" ca="1" si="0"/>
        <v/>
      </c>
      <c r="BL7" s="116" t="str">
        <f t="shared" ca="1" si="0"/>
        <v/>
      </c>
      <c r="BM7" s="116" t="str">
        <f t="shared" ca="1" si="0"/>
        <v/>
      </c>
      <c r="BN7" s="116" t="str">
        <f t="shared" ca="1" si="0"/>
        <v/>
      </c>
      <c r="BO7" s="116" t="str">
        <f t="shared" ca="1" si="0"/>
        <v/>
      </c>
      <c r="BP7" s="116" t="str">
        <f t="shared" ca="1" si="0"/>
        <v/>
      </c>
      <c r="BQ7" s="116" t="str">
        <f t="shared" ca="1" si="0"/>
        <v/>
      </c>
      <c r="BR7" s="116" t="str">
        <f t="shared" ca="1" si="0"/>
        <v/>
      </c>
      <c r="BS7" s="116" t="str">
        <f t="shared" ca="1" si="0"/>
        <v/>
      </c>
      <c r="BT7" s="116" t="str">
        <f t="shared" ca="1" si="0"/>
        <v/>
      </c>
      <c r="BU7" s="116" t="str">
        <f t="shared" ca="1" si="0"/>
        <v/>
      </c>
      <c r="BV7" s="116" t="str">
        <f t="shared" ca="1" si="0"/>
        <v/>
      </c>
      <c r="BW7" s="116" t="str">
        <f t="shared" ca="1" si="0"/>
        <v/>
      </c>
      <c r="BX7" s="116" t="str">
        <f t="shared" ca="1" si="0"/>
        <v/>
      </c>
      <c r="BY7" s="116" t="str">
        <f t="shared" ca="1" si="0"/>
        <v/>
      </c>
      <c r="BZ7" s="116" t="str">
        <f t="shared" ca="1" si="0"/>
        <v/>
      </c>
      <c r="CA7" s="116" t="str">
        <f t="shared" ca="1" si="0"/>
        <v/>
      </c>
      <c r="CB7" s="116" t="str">
        <f t="shared" ca="1" si="0"/>
        <v/>
      </c>
      <c r="CC7" s="116" t="str">
        <f t="shared" ref="CC7:EN7" ca="1" si="1">IF(CC8=TODAY(),CHAR(113),"")</f>
        <v/>
      </c>
      <c r="CD7" s="116" t="str">
        <f t="shared" ca="1" si="1"/>
        <v/>
      </c>
      <c r="CE7" s="116" t="str">
        <f t="shared" ca="1" si="1"/>
        <v/>
      </c>
      <c r="CF7" s="116" t="str">
        <f t="shared" ca="1" si="1"/>
        <v/>
      </c>
      <c r="CG7" s="116" t="str">
        <f t="shared" ca="1" si="1"/>
        <v/>
      </c>
      <c r="CH7" s="116" t="str">
        <f t="shared" ca="1" si="1"/>
        <v/>
      </c>
      <c r="CI7" s="116" t="str">
        <f t="shared" ca="1" si="1"/>
        <v/>
      </c>
      <c r="CJ7" s="116" t="str">
        <f t="shared" ca="1" si="1"/>
        <v/>
      </c>
      <c r="CK7" s="116" t="str">
        <f t="shared" ca="1" si="1"/>
        <v/>
      </c>
      <c r="CL7" s="116" t="str">
        <f t="shared" ca="1" si="1"/>
        <v/>
      </c>
      <c r="CM7" s="116" t="str">
        <f t="shared" ca="1" si="1"/>
        <v/>
      </c>
      <c r="CN7" s="116" t="str">
        <f t="shared" ca="1" si="1"/>
        <v/>
      </c>
      <c r="CO7" s="116" t="str">
        <f t="shared" ca="1" si="1"/>
        <v/>
      </c>
      <c r="CP7" s="116" t="str">
        <f t="shared" ca="1" si="1"/>
        <v/>
      </c>
      <c r="CQ7" s="116" t="str">
        <f t="shared" ca="1" si="1"/>
        <v/>
      </c>
      <c r="CR7" s="116" t="str">
        <f t="shared" ca="1" si="1"/>
        <v/>
      </c>
      <c r="CS7" s="116" t="str">
        <f t="shared" ca="1" si="1"/>
        <v/>
      </c>
      <c r="CT7" s="116" t="str">
        <f t="shared" ca="1" si="1"/>
        <v/>
      </c>
      <c r="CU7" s="116" t="str">
        <f t="shared" ca="1" si="1"/>
        <v/>
      </c>
      <c r="CV7" s="116" t="str">
        <f t="shared" ca="1" si="1"/>
        <v/>
      </c>
      <c r="CW7" s="116" t="str">
        <f t="shared" ca="1" si="1"/>
        <v/>
      </c>
      <c r="CX7" s="116" t="str">
        <f t="shared" ca="1" si="1"/>
        <v/>
      </c>
      <c r="CY7" s="116" t="str">
        <f t="shared" ca="1" si="1"/>
        <v/>
      </c>
      <c r="CZ7" s="116" t="str">
        <f t="shared" ca="1" si="1"/>
        <v/>
      </c>
      <c r="DA7" s="116" t="str">
        <f t="shared" ca="1" si="1"/>
        <v/>
      </c>
      <c r="DB7" s="116" t="str">
        <f t="shared" ca="1" si="1"/>
        <v/>
      </c>
      <c r="DC7" s="116" t="str">
        <f t="shared" ca="1" si="1"/>
        <v/>
      </c>
      <c r="DD7" s="116" t="str">
        <f t="shared" ca="1" si="1"/>
        <v/>
      </c>
      <c r="DE7" s="116" t="str">
        <f t="shared" ca="1" si="1"/>
        <v/>
      </c>
      <c r="DF7" s="116" t="str">
        <f t="shared" ca="1" si="1"/>
        <v/>
      </c>
      <c r="DG7" s="116" t="str">
        <f t="shared" ca="1" si="1"/>
        <v/>
      </c>
      <c r="DH7" s="116" t="str">
        <f t="shared" ca="1" si="1"/>
        <v/>
      </c>
      <c r="DI7" s="116" t="str">
        <f t="shared" ca="1" si="1"/>
        <v/>
      </c>
      <c r="DJ7" s="116" t="str">
        <f t="shared" ca="1" si="1"/>
        <v/>
      </c>
      <c r="DK7" s="116" t="str">
        <f t="shared" ca="1" si="1"/>
        <v/>
      </c>
      <c r="DL7" s="116" t="str">
        <f t="shared" ca="1" si="1"/>
        <v/>
      </c>
      <c r="DM7" s="116" t="str">
        <f t="shared" ca="1" si="1"/>
        <v/>
      </c>
      <c r="DN7" s="116" t="str">
        <f t="shared" ca="1" si="1"/>
        <v/>
      </c>
      <c r="DO7" s="116" t="str">
        <f t="shared" ca="1" si="1"/>
        <v/>
      </c>
      <c r="DP7" s="116" t="str">
        <f t="shared" ca="1" si="1"/>
        <v/>
      </c>
      <c r="DQ7" s="116" t="str">
        <f t="shared" ca="1" si="1"/>
        <v/>
      </c>
      <c r="DR7" s="116" t="str">
        <f t="shared" ca="1" si="1"/>
        <v/>
      </c>
      <c r="DS7" s="116" t="str">
        <f t="shared" ca="1" si="1"/>
        <v/>
      </c>
      <c r="DT7" s="116" t="str">
        <f t="shared" ca="1" si="1"/>
        <v/>
      </c>
      <c r="DU7" s="116" t="str">
        <f t="shared" ca="1" si="1"/>
        <v/>
      </c>
      <c r="DV7" s="116" t="str">
        <f t="shared" ca="1" si="1"/>
        <v/>
      </c>
      <c r="DW7" s="116" t="str">
        <f t="shared" ca="1" si="1"/>
        <v/>
      </c>
      <c r="DX7" s="116" t="str">
        <f t="shared" ca="1" si="1"/>
        <v/>
      </c>
      <c r="DY7" s="116" t="str">
        <f t="shared" ca="1" si="1"/>
        <v/>
      </c>
      <c r="DZ7" s="116" t="str">
        <f t="shared" ca="1" si="1"/>
        <v/>
      </c>
      <c r="EA7" s="116" t="str">
        <f t="shared" ca="1" si="1"/>
        <v/>
      </c>
      <c r="EB7" s="116" t="str">
        <f t="shared" ca="1" si="1"/>
        <v/>
      </c>
      <c r="EC7" s="116" t="str">
        <f t="shared" ca="1" si="1"/>
        <v/>
      </c>
      <c r="ED7" s="116" t="str">
        <f t="shared" ca="1" si="1"/>
        <v/>
      </c>
      <c r="EE7" s="116" t="str">
        <f t="shared" ca="1" si="1"/>
        <v/>
      </c>
      <c r="EF7" s="116" t="str">
        <f t="shared" ca="1" si="1"/>
        <v/>
      </c>
      <c r="EG7" s="116" t="str">
        <f t="shared" ca="1" si="1"/>
        <v/>
      </c>
      <c r="EH7" s="116" t="str">
        <f t="shared" ca="1" si="1"/>
        <v/>
      </c>
      <c r="EI7" s="116" t="str">
        <f t="shared" ca="1" si="1"/>
        <v/>
      </c>
      <c r="EJ7" s="116" t="str">
        <f t="shared" ca="1" si="1"/>
        <v/>
      </c>
      <c r="EK7" s="116" t="str">
        <f t="shared" ca="1" si="1"/>
        <v/>
      </c>
      <c r="EL7" s="116" t="str">
        <f t="shared" ca="1" si="1"/>
        <v/>
      </c>
      <c r="EM7" s="116" t="str">
        <f t="shared" ca="1" si="1"/>
        <v/>
      </c>
      <c r="EN7" s="116" t="str">
        <f t="shared" ca="1" si="1"/>
        <v/>
      </c>
      <c r="EO7" s="116" t="str">
        <f t="shared" ref="EO7:EX7" ca="1" si="2">IF(EO8=TODAY(),CHAR(113),"")</f>
        <v/>
      </c>
      <c r="EP7" s="116" t="str">
        <f t="shared" ca="1" si="2"/>
        <v/>
      </c>
      <c r="EQ7" s="116" t="str">
        <f t="shared" ca="1" si="2"/>
        <v/>
      </c>
      <c r="ER7" s="116" t="str">
        <f t="shared" ca="1" si="2"/>
        <v/>
      </c>
      <c r="ES7" s="116" t="str">
        <f t="shared" ca="1" si="2"/>
        <v/>
      </c>
      <c r="ET7" s="116" t="str">
        <f t="shared" ca="1" si="2"/>
        <v/>
      </c>
      <c r="EU7" s="116" t="str">
        <f t="shared" ca="1" si="2"/>
        <v/>
      </c>
      <c r="EV7" s="116" t="str">
        <f t="shared" ca="1" si="2"/>
        <v/>
      </c>
      <c r="EW7" s="116" t="str">
        <f t="shared" ca="1" si="2"/>
        <v/>
      </c>
      <c r="EX7" s="116" t="str">
        <f t="shared" ca="1" si="2"/>
        <v/>
      </c>
    </row>
    <row r="8" spans="2:252" s="6" customFormat="1" ht="83.25" customHeight="1">
      <c r="B8" s="3" t="s">
        <v>1</v>
      </c>
      <c r="C8" s="3" t="s">
        <v>0</v>
      </c>
      <c r="D8" s="4" t="s">
        <v>14</v>
      </c>
      <c r="E8" s="4" t="s">
        <v>2</v>
      </c>
      <c r="F8" s="5" t="str">
        <f>IF(F3,"Длительность, раб.дн.","Длительность, дн.")</f>
        <v>Длительность, дн.</v>
      </c>
      <c r="G8" s="4" t="s">
        <v>3</v>
      </c>
      <c r="H8" s="8" t="s">
        <v>8</v>
      </c>
      <c r="I8" s="117" t="s">
        <v>161</v>
      </c>
      <c r="J8" s="117" t="s">
        <v>162</v>
      </c>
      <c r="K8" s="117" t="s">
        <v>163</v>
      </c>
      <c r="L8" s="117" t="s">
        <v>164</v>
      </c>
      <c r="M8" s="113" t="s">
        <v>230</v>
      </c>
      <c r="N8" s="113" t="s">
        <v>210</v>
      </c>
      <c r="O8" s="113" t="s">
        <v>58</v>
      </c>
      <c r="P8" s="89">
        <f>E3</f>
        <v>46113</v>
      </c>
      <c r="Q8" s="89">
        <f>IF(P8&lt;=$E$4,P8+$E$5,"")</f>
        <v>46114</v>
      </c>
      <c r="R8" s="89">
        <f t="shared" ref="R8:CC8" si="3">IF(Q8&lt;=$E$4,Q8+$E$5,"")</f>
        <v>46115</v>
      </c>
      <c r="S8" s="89">
        <f t="shared" si="3"/>
        <v>46116</v>
      </c>
      <c r="T8" s="89">
        <f t="shared" si="3"/>
        <v>46117</v>
      </c>
      <c r="U8" s="89">
        <f t="shared" si="3"/>
        <v>46118</v>
      </c>
      <c r="V8" s="89">
        <f t="shared" si="3"/>
        <v>46119</v>
      </c>
      <c r="W8" s="89">
        <f t="shared" si="3"/>
        <v>46120</v>
      </c>
      <c r="X8" s="89">
        <f t="shared" si="3"/>
        <v>46121</v>
      </c>
      <c r="Y8" s="89">
        <f t="shared" si="3"/>
        <v>46122</v>
      </c>
      <c r="Z8" s="89">
        <f t="shared" si="3"/>
        <v>46123</v>
      </c>
      <c r="AA8" s="89">
        <f t="shared" si="3"/>
        <v>46124</v>
      </c>
      <c r="AB8" s="89">
        <f t="shared" si="3"/>
        <v>46125</v>
      </c>
      <c r="AC8" s="89">
        <f t="shared" si="3"/>
        <v>46126</v>
      </c>
      <c r="AD8" s="89">
        <f t="shared" si="3"/>
        <v>46127</v>
      </c>
      <c r="AE8" s="89">
        <f t="shared" si="3"/>
        <v>46128</v>
      </c>
      <c r="AF8" s="89">
        <f t="shared" si="3"/>
        <v>46129</v>
      </c>
      <c r="AG8" s="89">
        <f t="shared" si="3"/>
        <v>46130</v>
      </c>
      <c r="AH8" s="89">
        <f t="shared" si="3"/>
        <v>46131</v>
      </c>
      <c r="AI8" s="89">
        <f t="shared" si="3"/>
        <v>46132</v>
      </c>
      <c r="AJ8" s="89">
        <f t="shared" si="3"/>
        <v>46133</v>
      </c>
      <c r="AK8" s="89">
        <f t="shared" si="3"/>
        <v>46134</v>
      </c>
      <c r="AL8" s="89">
        <f t="shared" si="3"/>
        <v>46135</v>
      </c>
      <c r="AM8" s="89">
        <f t="shared" si="3"/>
        <v>46136</v>
      </c>
      <c r="AN8" s="89">
        <f t="shared" si="3"/>
        <v>46137</v>
      </c>
      <c r="AO8" s="89">
        <f t="shared" si="3"/>
        <v>46138</v>
      </c>
      <c r="AP8" s="89">
        <f t="shared" si="3"/>
        <v>46139</v>
      </c>
      <c r="AQ8" s="89">
        <f t="shared" si="3"/>
        <v>46140</v>
      </c>
      <c r="AR8" s="89">
        <f t="shared" si="3"/>
        <v>46141</v>
      </c>
      <c r="AS8" s="89">
        <f t="shared" si="3"/>
        <v>46142</v>
      </c>
      <c r="AT8" s="89">
        <f t="shared" si="3"/>
        <v>46143</v>
      </c>
      <c r="AU8" s="89">
        <f>IF(AT8&lt;=$E$4,AT8+$E$5,"")</f>
        <v>46144</v>
      </c>
      <c r="AV8" s="89">
        <f>IF(AU8&lt;=$E$4,AU8+$E$5,"")</f>
        <v>46145</v>
      </c>
      <c r="AW8" s="89">
        <f t="shared" si="3"/>
        <v>46146</v>
      </c>
      <c r="AX8" s="89">
        <f t="shared" si="3"/>
        <v>46147</v>
      </c>
      <c r="AY8" s="89">
        <f t="shared" si="3"/>
        <v>46148</v>
      </c>
      <c r="AZ8" s="89">
        <f t="shared" si="3"/>
        <v>46149</v>
      </c>
      <c r="BA8" s="89">
        <f t="shared" si="3"/>
        <v>46150</v>
      </c>
      <c r="BB8" s="89">
        <f t="shared" si="3"/>
        <v>46151</v>
      </c>
      <c r="BC8" s="89">
        <f t="shared" si="3"/>
        <v>46152</v>
      </c>
      <c r="BD8" s="89">
        <f t="shared" si="3"/>
        <v>46153</v>
      </c>
      <c r="BE8" s="89">
        <f t="shared" si="3"/>
        <v>46154</v>
      </c>
      <c r="BF8" s="89">
        <f t="shared" si="3"/>
        <v>46155</v>
      </c>
      <c r="BG8" s="89">
        <f t="shared" si="3"/>
        <v>46156</v>
      </c>
      <c r="BH8" s="89">
        <f t="shared" si="3"/>
        <v>46157</v>
      </c>
      <c r="BI8" s="89">
        <f t="shared" si="3"/>
        <v>46158</v>
      </c>
      <c r="BJ8" s="89">
        <f t="shared" si="3"/>
        <v>46159</v>
      </c>
      <c r="BK8" s="89">
        <f t="shared" si="3"/>
        <v>46160</v>
      </c>
      <c r="BL8" s="89">
        <f t="shared" si="3"/>
        <v>46161</v>
      </c>
      <c r="BM8" s="89">
        <f t="shared" si="3"/>
        <v>46162</v>
      </c>
      <c r="BN8" s="89">
        <f t="shared" si="3"/>
        <v>46163</v>
      </c>
      <c r="BO8" s="89">
        <f t="shared" si="3"/>
        <v>46164</v>
      </c>
      <c r="BP8" s="89">
        <f t="shared" si="3"/>
        <v>46165</v>
      </c>
      <c r="BQ8" s="89">
        <f t="shared" si="3"/>
        <v>46166</v>
      </c>
      <c r="BR8" s="89">
        <f t="shared" si="3"/>
        <v>46167</v>
      </c>
      <c r="BS8" s="89">
        <f t="shared" si="3"/>
        <v>46168</v>
      </c>
      <c r="BT8" s="89">
        <f t="shared" si="3"/>
        <v>46169</v>
      </c>
      <c r="BU8" s="89">
        <f t="shared" si="3"/>
        <v>46170</v>
      </c>
      <c r="BV8" s="89">
        <f t="shared" si="3"/>
        <v>46171</v>
      </c>
      <c r="BW8" s="89">
        <f t="shared" si="3"/>
        <v>46172</v>
      </c>
      <c r="BX8" s="89">
        <f t="shared" si="3"/>
        <v>46173</v>
      </c>
      <c r="BY8" s="89">
        <f t="shared" si="3"/>
        <v>46174</v>
      </c>
      <c r="BZ8" s="89">
        <f t="shared" si="3"/>
        <v>46175</v>
      </c>
      <c r="CA8" s="89">
        <f t="shared" si="3"/>
        <v>46176</v>
      </c>
      <c r="CB8" s="89">
        <f t="shared" si="3"/>
        <v>46177</v>
      </c>
      <c r="CC8" s="89">
        <f t="shared" si="3"/>
        <v>46178</v>
      </c>
      <c r="CD8" s="89">
        <f t="shared" ref="CD8:EO8" si="4">IF(CC8&lt;=$E$4,CC8+$E$5,"")</f>
        <v>46179</v>
      </c>
      <c r="CE8" s="89">
        <f t="shared" si="4"/>
        <v>46180</v>
      </c>
      <c r="CF8" s="89">
        <f t="shared" si="4"/>
        <v>46181</v>
      </c>
      <c r="CG8" s="89">
        <f t="shared" si="4"/>
        <v>46182</v>
      </c>
      <c r="CH8" s="89">
        <f t="shared" si="4"/>
        <v>46183</v>
      </c>
      <c r="CI8" s="89">
        <f t="shared" si="4"/>
        <v>46184</v>
      </c>
      <c r="CJ8" s="89">
        <f t="shared" si="4"/>
        <v>46185</v>
      </c>
      <c r="CK8" s="89">
        <f t="shared" si="4"/>
        <v>46186</v>
      </c>
      <c r="CL8" s="89">
        <f t="shared" si="4"/>
        <v>46187</v>
      </c>
      <c r="CM8" s="89">
        <f t="shared" si="4"/>
        <v>46188</v>
      </c>
      <c r="CN8" s="89">
        <f t="shared" si="4"/>
        <v>46189</v>
      </c>
      <c r="CO8" s="89">
        <f t="shared" si="4"/>
        <v>46190</v>
      </c>
      <c r="CP8" s="89">
        <f t="shared" si="4"/>
        <v>46191</v>
      </c>
      <c r="CQ8" s="89">
        <f t="shared" si="4"/>
        <v>46192</v>
      </c>
      <c r="CR8" s="89">
        <f t="shared" si="4"/>
        <v>46193</v>
      </c>
      <c r="CS8" s="89">
        <f t="shared" si="4"/>
        <v>46194</v>
      </c>
      <c r="CT8" s="89">
        <f t="shared" si="4"/>
        <v>46195</v>
      </c>
      <c r="CU8" s="89">
        <f t="shared" si="4"/>
        <v>46196</v>
      </c>
      <c r="CV8" s="89">
        <f t="shared" si="4"/>
        <v>46197</v>
      </c>
      <c r="CW8" s="89">
        <f t="shared" si="4"/>
        <v>46198</v>
      </c>
      <c r="CX8" s="89">
        <f t="shared" si="4"/>
        <v>46199</v>
      </c>
      <c r="CY8" s="89">
        <f t="shared" si="4"/>
        <v>46200</v>
      </c>
      <c r="CZ8" s="89">
        <f t="shared" si="4"/>
        <v>46201</v>
      </c>
      <c r="DA8" s="89">
        <f t="shared" si="4"/>
        <v>46202</v>
      </c>
      <c r="DB8" s="89">
        <f t="shared" si="4"/>
        <v>46203</v>
      </c>
      <c r="DC8" s="89">
        <f t="shared" si="4"/>
        <v>46204</v>
      </c>
      <c r="DD8" s="89">
        <f t="shared" si="4"/>
        <v>46205</v>
      </c>
      <c r="DE8" s="89">
        <f t="shared" si="4"/>
        <v>46206</v>
      </c>
      <c r="DF8" s="89">
        <f t="shared" si="4"/>
        <v>46207</v>
      </c>
      <c r="DG8" s="89">
        <f t="shared" si="4"/>
        <v>46208</v>
      </c>
      <c r="DH8" s="89">
        <f t="shared" si="4"/>
        <v>46209</v>
      </c>
      <c r="DI8" s="89">
        <f t="shared" si="4"/>
        <v>46210</v>
      </c>
      <c r="DJ8" s="89">
        <f t="shared" si="4"/>
        <v>46211</v>
      </c>
      <c r="DK8" s="89">
        <f t="shared" si="4"/>
        <v>46212</v>
      </c>
      <c r="DL8" s="89">
        <f t="shared" si="4"/>
        <v>46213</v>
      </c>
      <c r="DM8" s="89">
        <f t="shared" si="4"/>
        <v>46214</v>
      </c>
      <c r="DN8" s="89">
        <f t="shared" si="4"/>
        <v>46215</v>
      </c>
      <c r="DO8" s="89">
        <f t="shared" si="4"/>
        <v>46216</v>
      </c>
      <c r="DP8" s="89">
        <f t="shared" si="4"/>
        <v>46217</v>
      </c>
      <c r="DQ8" s="89">
        <f t="shared" si="4"/>
        <v>46218</v>
      </c>
      <c r="DR8" s="89">
        <f t="shared" si="4"/>
        <v>46219</v>
      </c>
      <c r="DS8" s="89">
        <f t="shared" si="4"/>
        <v>46220</v>
      </c>
      <c r="DT8" s="89">
        <f t="shared" si="4"/>
        <v>46221</v>
      </c>
      <c r="DU8" s="89">
        <f t="shared" si="4"/>
        <v>46222</v>
      </c>
      <c r="DV8" s="89">
        <f t="shared" si="4"/>
        <v>46223</v>
      </c>
      <c r="DW8" s="89">
        <f t="shared" si="4"/>
        <v>46224</v>
      </c>
      <c r="DX8" s="89">
        <f t="shared" si="4"/>
        <v>46225</v>
      </c>
      <c r="DY8" s="89">
        <f t="shared" si="4"/>
        <v>46226</v>
      </c>
      <c r="DZ8" s="89">
        <f t="shared" si="4"/>
        <v>46227</v>
      </c>
      <c r="EA8" s="89">
        <f t="shared" si="4"/>
        <v>46228</v>
      </c>
      <c r="EB8" s="89">
        <f t="shared" si="4"/>
        <v>46229</v>
      </c>
      <c r="EC8" s="89">
        <f t="shared" si="4"/>
        <v>46230</v>
      </c>
      <c r="ED8" s="89">
        <f t="shared" si="4"/>
        <v>46231</v>
      </c>
      <c r="EE8" s="89">
        <f t="shared" si="4"/>
        <v>46232</v>
      </c>
      <c r="EF8" s="89">
        <f t="shared" si="4"/>
        <v>46233</v>
      </c>
      <c r="EG8" s="89">
        <f t="shared" si="4"/>
        <v>46234</v>
      </c>
      <c r="EH8" s="89">
        <f t="shared" si="4"/>
        <v>46235</v>
      </c>
      <c r="EI8" s="89">
        <f t="shared" si="4"/>
        <v>46236</v>
      </c>
      <c r="EJ8" s="89">
        <f>IF(EI8&lt;=$E$4,EI8+$E$5,"")</f>
        <v>46237</v>
      </c>
      <c r="EK8" s="89">
        <f t="shared" si="4"/>
        <v>46238</v>
      </c>
      <c r="EL8" s="89">
        <f t="shared" si="4"/>
        <v>46239</v>
      </c>
      <c r="EM8" s="89">
        <f t="shared" si="4"/>
        <v>46240</v>
      </c>
      <c r="EN8" s="89">
        <f t="shared" si="4"/>
        <v>46241</v>
      </c>
      <c r="EO8" s="89">
        <f t="shared" si="4"/>
        <v>46242</v>
      </c>
      <c r="EP8" s="89">
        <f>IF(EO8&lt;=$E$4,EO8+$E$5,"")</f>
        <v>46243</v>
      </c>
      <c r="EQ8" s="89">
        <f>IF(EP8&lt;=$E$4,EP8+$E$5,"")</f>
        <v>46244</v>
      </c>
      <c r="ER8" s="89">
        <f>IF(EQ8&lt;=$E$4,EQ8+$E$5,"")</f>
        <v>46245</v>
      </c>
      <c r="ES8" s="89">
        <f t="shared" ref="ES8:HD8" si="5">IF(ER8&lt;=$E$4,ER8+$E$5,"")</f>
        <v>46246</v>
      </c>
      <c r="ET8" s="89">
        <f t="shared" si="5"/>
        <v>46247</v>
      </c>
      <c r="EU8" s="89">
        <f t="shared" si="5"/>
        <v>46248</v>
      </c>
      <c r="EV8" s="89">
        <f t="shared" si="5"/>
        <v>46249</v>
      </c>
      <c r="EW8" s="89">
        <f t="shared" si="5"/>
        <v>46250</v>
      </c>
      <c r="EX8" s="89">
        <f t="shared" si="5"/>
        <v>46251</v>
      </c>
      <c r="EY8" s="89">
        <f t="shared" si="5"/>
        <v>46252</v>
      </c>
      <c r="EZ8" s="89">
        <f t="shared" si="5"/>
        <v>46253</v>
      </c>
      <c r="FA8" s="89">
        <f t="shared" si="5"/>
        <v>46254</v>
      </c>
      <c r="FB8" s="89">
        <f t="shared" si="5"/>
        <v>46255</v>
      </c>
      <c r="FC8" s="89">
        <f t="shared" si="5"/>
        <v>46256</v>
      </c>
      <c r="FD8" s="89">
        <f t="shared" si="5"/>
        <v>46257</v>
      </c>
      <c r="FE8" s="89">
        <f t="shared" si="5"/>
        <v>46258</v>
      </c>
      <c r="FF8" s="89">
        <f t="shared" si="5"/>
        <v>46259</v>
      </c>
      <c r="FG8" s="89">
        <f t="shared" si="5"/>
        <v>46260</v>
      </c>
      <c r="FH8" s="89">
        <f t="shared" si="5"/>
        <v>46261</v>
      </c>
      <c r="FI8" s="89">
        <f t="shared" si="5"/>
        <v>46262</v>
      </c>
      <c r="FJ8" s="89">
        <f t="shared" si="5"/>
        <v>46263</v>
      </c>
      <c r="FK8" s="89">
        <f t="shared" si="5"/>
        <v>46264</v>
      </c>
      <c r="FL8" s="89">
        <f t="shared" si="5"/>
        <v>46265</v>
      </c>
      <c r="FM8" s="89">
        <f t="shared" si="5"/>
        <v>46266</v>
      </c>
      <c r="FN8" s="89">
        <f t="shared" si="5"/>
        <v>46267</v>
      </c>
      <c r="FO8" s="89">
        <f t="shared" ref="FO8" si="6">IF(FN8&lt;=$E$4,FN8+$E$5,"")</f>
        <v>46268</v>
      </c>
      <c r="FP8" s="89">
        <f t="shared" ref="FP8" si="7">IF(FO8&lt;=$E$4,FO8+$E$5,"")</f>
        <v>46269</v>
      </c>
      <c r="FQ8" s="89">
        <f t="shared" ref="FQ8" si="8">IF(FP8&lt;=$E$4,FP8+$E$5,"")</f>
        <v>46270</v>
      </c>
      <c r="FR8" s="89">
        <f t="shared" ref="FR8" si="9">IF(FQ8&lt;=$E$4,FQ8+$E$5,"")</f>
        <v>46271</v>
      </c>
      <c r="FS8" s="89">
        <f t="shared" ref="FS8" si="10">IF(FR8&lt;=$E$4,FR8+$E$5,"")</f>
        <v>46272</v>
      </c>
      <c r="FT8" s="89">
        <f t="shared" ref="FT8" si="11">IF(FS8&lt;=$E$4,FS8+$E$5,"")</f>
        <v>46273</v>
      </c>
      <c r="FU8" s="89">
        <f t="shared" ref="FU8" si="12">IF(FT8&lt;=$E$4,FT8+$E$5,"")</f>
        <v>46274</v>
      </c>
      <c r="FV8" s="89">
        <f t="shared" ref="FV8" si="13">IF(FU8&lt;=$E$4,FU8+$E$5,"")</f>
        <v>46275</v>
      </c>
      <c r="FW8" s="89">
        <f t="shared" ref="FW8" si="14">IF(FV8&lt;=$E$4,FV8+$E$5,"")</f>
        <v>46276</v>
      </c>
      <c r="FX8" s="89">
        <f t="shared" ref="FX8" si="15">IF(FW8&lt;=$E$4,FW8+$E$5,"")</f>
        <v>46277</v>
      </c>
      <c r="FY8" s="89">
        <f t="shared" ref="FY8" si="16">IF(FX8&lt;=$E$4,FX8+$E$5,"")</f>
        <v>46278</v>
      </c>
      <c r="FZ8" s="89">
        <f t="shared" ref="FZ8" si="17">IF(FY8&lt;=$E$4,FY8+$E$5,"")</f>
        <v>46279</v>
      </c>
      <c r="GA8" s="89">
        <f t="shared" ref="GA8" si="18">IF(FZ8&lt;=$E$4,FZ8+$E$5,"")</f>
        <v>46280</v>
      </c>
      <c r="GB8" s="89">
        <f t="shared" si="5"/>
        <v>46281</v>
      </c>
      <c r="GC8" s="89">
        <f t="shared" si="5"/>
        <v>46282</v>
      </c>
      <c r="GD8" s="89">
        <f t="shared" si="5"/>
        <v>46283</v>
      </c>
      <c r="GE8" s="89">
        <f t="shared" si="5"/>
        <v>46284</v>
      </c>
      <c r="GF8" s="89">
        <f t="shared" si="5"/>
        <v>46285</v>
      </c>
      <c r="GG8" s="89">
        <f t="shared" si="5"/>
        <v>46286</v>
      </c>
      <c r="GH8" s="89">
        <f t="shared" si="5"/>
        <v>46287</v>
      </c>
      <c r="GI8" s="89">
        <f t="shared" si="5"/>
        <v>46288</v>
      </c>
      <c r="GJ8" s="89">
        <f t="shared" si="5"/>
        <v>46289</v>
      </c>
      <c r="GK8" s="89">
        <f t="shared" si="5"/>
        <v>46290</v>
      </c>
      <c r="GL8" s="89">
        <f t="shared" si="5"/>
        <v>46291</v>
      </c>
      <c r="GM8" s="89">
        <f t="shared" si="5"/>
        <v>46292</v>
      </c>
      <c r="GN8" s="89">
        <f t="shared" si="5"/>
        <v>46293</v>
      </c>
      <c r="GO8" s="89">
        <f t="shared" si="5"/>
        <v>46294</v>
      </c>
      <c r="GP8" s="89">
        <f t="shared" si="5"/>
        <v>46295</v>
      </c>
      <c r="GQ8" s="89">
        <f t="shared" si="5"/>
        <v>46296</v>
      </c>
      <c r="GR8" s="89">
        <f t="shared" si="5"/>
        <v>46297</v>
      </c>
      <c r="GS8" s="89" t="str">
        <f t="shared" si="5"/>
        <v/>
      </c>
      <c r="GT8" s="89" t="str">
        <f t="shared" si="5"/>
        <v/>
      </c>
      <c r="GU8" s="89" t="str">
        <f t="shared" si="5"/>
        <v/>
      </c>
      <c r="GV8" s="89" t="str">
        <f t="shared" si="5"/>
        <v/>
      </c>
      <c r="GW8" s="89" t="str">
        <f t="shared" si="5"/>
        <v/>
      </c>
      <c r="GX8" s="89" t="str">
        <f t="shared" si="5"/>
        <v/>
      </c>
      <c r="GY8" s="89" t="str">
        <f t="shared" si="5"/>
        <v/>
      </c>
      <c r="GZ8" s="89" t="str">
        <f t="shared" si="5"/>
        <v/>
      </c>
      <c r="HA8" s="89" t="str">
        <f t="shared" si="5"/>
        <v/>
      </c>
      <c r="HB8" s="89" t="str">
        <f t="shared" si="5"/>
        <v/>
      </c>
      <c r="HC8" s="89" t="str">
        <f t="shared" si="5"/>
        <v/>
      </c>
      <c r="HD8" s="89" t="str">
        <f t="shared" si="5"/>
        <v/>
      </c>
      <c r="HE8" s="89" t="str">
        <f t="shared" ref="HE8:IR8" si="19">IF(HD8&lt;=$E$4,HD8+$E$5,"")</f>
        <v/>
      </c>
      <c r="HF8" s="89" t="str">
        <f t="shared" si="19"/>
        <v/>
      </c>
      <c r="HG8" s="89" t="str">
        <f t="shared" si="19"/>
        <v/>
      </c>
      <c r="HH8" s="89" t="str">
        <f t="shared" si="19"/>
        <v/>
      </c>
      <c r="HI8" s="89" t="str">
        <f t="shared" si="19"/>
        <v/>
      </c>
      <c r="HJ8" s="89" t="str">
        <f t="shared" si="19"/>
        <v/>
      </c>
      <c r="HK8" s="89" t="str">
        <f t="shared" si="19"/>
        <v/>
      </c>
      <c r="HL8" s="89" t="str">
        <f t="shared" si="19"/>
        <v/>
      </c>
      <c r="HM8" s="89" t="str">
        <f t="shared" si="19"/>
        <v/>
      </c>
      <c r="HN8" s="89" t="str">
        <f t="shared" si="19"/>
        <v/>
      </c>
      <c r="HO8" s="89" t="str">
        <f t="shared" si="19"/>
        <v/>
      </c>
      <c r="HP8" s="89" t="str">
        <f t="shared" si="19"/>
        <v/>
      </c>
      <c r="HQ8" s="89" t="str">
        <f t="shared" si="19"/>
        <v/>
      </c>
      <c r="HR8" s="89" t="str">
        <f t="shared" si="19"/>
        <v/>
      </c>
      <c r="HS8" s="89" t="str">
        <f t="shared" si="19"/>
        <v/>
      </c>
      <c r="HT8" s="89" t="str">
        <f t="shared" si="19"/>
        <v/>
      </c>
      <c r="HU8" s="89" t="str">
        <f t="shared" si="19"/>
        <v/>
      </c>
      <c r="HV8" s="89" t="str">
        <f t="shared" si="19"/>
        <v/>
      </c>
      <c r="HW8" s="89" t="str">
        <f t="shared" si="19"/>
        <v/>
      </c>
      <c r="HX8" s="89" t="str">
        <f t="shared" si="19"/>
        <v/>
      </c>
      <c r="HY8" s="89" t="str">
        <f t="shared" si="19"/>
        <v/>
      </c>
      <c r="HZ8" s="89" t="str">
        <f t="shared" si="19"/>
        <v/>
      </c>
      <c r="IA8" s="89" t="str">
        <f t="shared" si="19"/>
        <v/>
      </c>
      <c r="IB8" s="89" t="str">
        <f t="shared" si="19"/>
        <v/>
      </c>
      <c r="IC8" s="89" t="str">
        <f t="shared" si="19"/>
        <v/>
      </c>
      <c r="ID8" s="89" t="str">
        <f t="shared" si="19"/>
        <v/>
      </c>
      <c r="IE8" s="89" t="str">
        <f t="shared" si="19"/>
        <v/>
      </c>
      <c r="IF8" s="89" t="str">
        <f t="shared" si="19"/>
        <v/>
      </c>
      <c r="IG8" s="89" t="str">
        <f t="shared" si="19"/>
        <v/>
      </c>
      <c r="IH8" s="89" t="str">
        <f t="shared" si="19"/>
        <v/>
      </c>
      <c r="II8" s="89" t="str">
        <f t="shared" si="19"/>
        <v/>
      </c>
      <c r="IJ8" s="89" t="str">
        <f t="shared" si="19"/>
        <v/>
      </c>
      <c r="IK8" s="89" t="str">
        <f t="shared" si="19"/>
        <v/>
      </c>
      <c r="IL8" s="89" t="str">
        <f t="shared" si="19"/>
        <v/>
      </c>
      <c r="IM8" s="89" t="str">
        <f t="shared" si="19"/>
        <v/>
      </c>
      <c r="IN8" s="89" t="str">
        <f t="shared" si="19"/>
        <v/>
      </c>
      <c r="IO8" s="89" t="str">
        <f t="shared" si="19"/>
        <v/>
      </c>
      <c r="IP8" s="89" t="str">
        <f t="shared" si="19"/>
        <v/>
      </c>
      <c r="IQ8" s="89" t="str">
        <f t="shared" si="19"/>
        <v/>
      </c>
      <c r="IR8" s="89" t="str">
        <f t="shared" si="19"/>
        <v/>
      </c>
    </row>
    <row r="9" spans="2:252" ht="18.75">
      <c r="B9" s="34" t="s">
        <v>101</v>
      </c>
      <c r="C9" s="34"/>
      <c r="D9" s="34"/>
      <c r="E9" s="69">
        <v>46113</v>
      </c>
      <c r="F9" s="34">
        <f>NETWORKDAYS(E9,G9,Праздники!$A$1:$A$14)</f>
        <v>27</v>
      </c>
      <c r="G9" s="69">
        <v>46150</v>
      </c>
      <c r="H9" s="70">
        <f>AVERAGE(H10:H26)</f>
        <v>0.79642857142857137</v>
      </c>
      <c r="I9" s="70"/>
      <c r="J9" s="70"/>
      <c r="K9" s="70"/>
      <c r="L9" s="70"/>
      <c r="M9" s="70"/>
      <c r="N9" s="70"/>
      <c r="O9" s="70"/>
      <c r="P9" s="87" t="str">
        <f t="shared" ref="P9:AE34" ca="1" si="20">IF(P$8=TODAY(),CHAR(124),"")</f>
        <v/>
      </c>
      <c r="Q9" s="88" t="str">
        <f t="shared" ca="1" si="20"/>
        <v/>
      </c>
      <c r="R9" s="88" t="str">
        <f t="shared" ca="1" si="20"/>
        <v/>
      </c>
      <c r="S9" s="88" t="str">
        <f t="shared" ca="1" si="20"/>
        <v/>
      </c>
      <c r="T9" s="88" t="str">
        <f t="shared" ca="1" si="20"/>
        <v/>
      </c>
      <c r="U9" s="88" t="str">
        <f t="shared" ca="1" si="20"/>
        <v/>
      </c>
      <c r="V9" s="88" t="str">
        <f t="shared" ca="1" si="20"/>
        <v/>
      </c>
      <c r="W9" s="88" t="str">
        <f t="shared" ca="1" si="20"/>
        <v/>
      </c>
      <c r="X9" s="88" t="str">
        <f t="shared" ca="1" si="20"/>
        <v/>
      </c>
      <c r="Y9" s="88" t="str">
        <f t="shared" ca="1" si="20"/>
        <v/>
      </c>
      <c r="Z9" s="88" t="str">
        <f t="shared" ca="1" si="20"/>
        <v/>
      </c>
      <c r="AA9" s="88" t="str">
        <f t="shared" ca="1" si="20"/>
        <v/>
      </c>
      <c r="AB9" s="88" t="str">
        <f t="shared" ca="1" si="20"/>
        <v/>
      </c>
      <c r="AC9" s="88" t="str">
        <f t="shared" ca="1" si="20"/>
        <v/>
      </c>
      <c r="AD9" s="88" t="str">
        <f t="shared" ca="1" si="20"/>
        <v/>
      </c>
      <c r="AE9" s="88" t="str">
        <f t="shared" ca="1" si="20"/>
        <v/>
      </c>
      <c r="AF9" s="88" t="str">
        <f t="shared" ref="AF9:CQ12" ca="1" si="21">IF(AF$8=TODAY(),CHAR(124),"")</f>
        <v/>
      </c>
      <c r="AG9" s="88" t="str">
        <f t="shared" ca="1" si="21"/>
        <v/>
      </c>
      <c r="AH9" s="88" t="str">
        <f t="shared" ca="1" si="21"/>
        <v/>
      </c>
      <c r="AI9" s="88" t="str">
        <f t="shared" ca="1" si="21"/>
        <v/>
      </c>
      <c r="AJ9" s="88" t="str">
        <f t="shared" ca="1" si="21"/>
        <v/>
      </c>
      <c r="AK9" s="88" t="str">
        <f t="shared" ca="1" si="21"/>
        <v/>
      </c>
      <c r="AL9" s="88" t="str">
        <f t="shared" ca="1" si="21"/>
        <v/>
      </c>
      <c r="AM9" s="88" t="str">
        <f t="shared" ca="1" si="21"/>
        <v/>
      </c>
      <c r="AN9" s="88" t="str">
        <f t="shared" ca="1" si="21"/>
        <v/>
      </c>
      <c r="AO9" s="88" t="str">
        <f t="shared" ca="1" si="21"/>
        <v/>
      </c>
      <c r="AP9" s="88" t="str">
        <f t="shared" ca="1" si="21"/>
        <v/>
      </c>
      <c r="AQ9" s="88" t="str">
        <f t="shared" ca="1" si="21"/>
        <v/>
      </c>
      <c r="AR9" s="88" t="str">
        <f t="shared" ca="1" si="21"/>
        <v/>
      </c>
      <c r="AS9" s="88" t="str">
        <f t="shared" ca="1" si="21"/>
        <v/>
      </c>
      <c r="AT9" s="88" t="str">
        <f t="shared" ca="1" si="21"/>
        <v/>
      </c>
      <c r="AU9" s="88" t="str">
        <f t="shared" ca="1" si="21"/>
        <v/>
      </c>
      <c r="AV9" s="88" t="str">
        <f t="shared" ca="1" si="21"/>
        <v/>
      </c>
      <c r="AW9" s="88" t="str">
        <f t="shared" ca="1" si="21"/>
        <v/>
      </c>
      <c r="AX9" s="88" t="str">
        <f t="shared" ca="1" si="21"/>
        <v/>
      </c>
      <c r="AY9" s="88" t="str">
        <f t="shared" ca="1" si="21"/>
        <v/>
      </c>
      <c r="AZ9" s="88" t="str">
        <f t="shared" ca="1" si="21"/>
        <v/>
      </c>
      <c r="BA9" s="88" t="str">
        <f t="shared" ca="1" si="21"/>
        <v/>
      </c>
      <c r="BB9" s="88" t="str">
        <f t="shared" ca="1" si="21"/>
        <v/>
      </c>
      <c r="BC9" s="88" t="str">
        <f t="shared" ca="1" si="21"/>
        <v/>
      </c>
      <c r="BD9" s="88" t="str">
        <f t="shared" ca="1" si="21"/>
        <v/>
      </c>
      <c r="BE9" s="88" t="str">
        <f t="shared" ca="1" si="21"/>
        <v/>
      </c>
      <c r="BF9" s="88" t="str">
        <f t="shared" ca="1" si="21"/>
        <v/>
      </c>
      <c r="BG9" s="88" t="str">
        <f t="shared" ca="1" si="21"/>
        <v/>
      </c>
      <c r="BH9" s="88" t="str">
        <f t="shared" ca="1" si="21"/>
        <v/>
      </c>
      <c r="BI9" s="88" t="str">
        <f t="shared" ca="1" si="21"/>
        <v/>
      </c>
      <c r="BJ9" s="88" t="str">
        <f t="shared" ca="1" si="21"/>
        <v/>
      </c>
      <c r="BK9" s="88" t="str">
        <f t="shared" ca="1" si="21"/>
        <v/>
      </c>
      <c r="BL9" s="88" t="str">
        <f t="shared" ca="1" si="21"/>
        <v/>
      </c>
      <c r="BM9" s="88" t="str">
        <f t="shared" ca="1" si="21"/>
        <v/>
      </c>
      <c r="BN9" s="88" t="str">
        <f t="shared" ca="1" si="21"/>
        <v/>
      </c>
      <c r="BO9" s="88" t="str">
        <f t="shared" ca="1" si="21"/>
        <v/>
      </c>
      <c r="BP9" s="88" t="str">
        <f t="shared" ca="1" si="21"/>
        <v/>
      </c>
      <c r="BQ9" s="88" t="str">
        <f t="shared" ca="1" si="21"/>
        <v/>
      </c>
      <c r="BR9" s="88" t="str">
        <f t="shared" ca="1" si="21"/>
        <v/>
      </c>
      <c r="BS9" s="88" t="str">
        <f t="shared" ca="1" si="21"/>
        <v/>
      </c>
      <c r="BT9" s="88" t="str">
        <f t="shared" ca="1" si="21"/>
        <v/>
      </c>
      <c r="BU9" s="88" t="str">
        <f t="shared" ca="1" si="21"/>
        <v/>
      </c>
      <c r="BV9" s="88" t="str">
        <f t="shared" ca="1" si="21"/>
        <v/>
      </c>
      <c r="BW9" s="88" t="str">
        <f t="shared" ca="1" si="21"/>
        <v/>
      </c>
      <c r="BX9" s="88" t="str">
        <f t="shared" ca="1" si="21"/>
        <v/>
      </c>
      <c r="BY9" s="88" t="str">
        <f t="shared" ca="1" si="21"/>
        <v/>
      </c>
      <c r="BZ9" s="88" t="str">
        <f t="shared" ca="1" si="21"/>
        <v/>
      </c>
      <c r="CA9" s="88" t="str">
        <f t="shared" ca="1" si="21"/>
        <v/>
      </c>
      <c r="CB9" s="88" t="str">
        <f t="shared" ca="1" si="21"/>
        <v/>
      </c>
      <c r="CC9" s="88" t="str">
        <f t="shared" ca="1" si="21"/>
        <v/>
      </c>
      <c r="CD9" s="88" t="str">
        <f t="shared" ca="1" si="21"/>
        <v/>
      </c>
      <c r="CE9" s="88" t="str">
        <f t="shared" ca="1" si="21"/>
        <v/>
      </c>
      <c r="CF9" s="88" t="str">
        <f t="shared" ca="1" si="21"/>
        <v/>
      </c>
      <c r="CG9" s="88" t="str">
        <f t="shared" ca="1" si="21"/>
        <v/>
      </c>
      <c r="CH9" s="88" t="str">
        <f t="shared" ca="1" si="21"/>
        <v/>
      </c>
      <c r="CI9" s="88" t="str">
        <f t="shared" ca="1" si="21"/>
        <v/>
      </c>
      <c r="CJ9" s="88" t="str">
        <f t="shared" ca="1" si="21"/>
        <v/>
      </c>
      <c r="CK9" s="88" t="str">
        <f t="shared" ca="1" si="21"/>
        <v/>
      </c>
      <c r="CL9" s="88" t="str">
        <f t="shared" ca="1" si="21"/>
        <v/>
      </c>
      <c r="CM9" s="88" t="str">
        <f t="shared" ca="1" si="21"/>
        <v/>
      </c>
      <c r="CN9" s="88" t="str">
        <f t="shared" ca="1" si="21"/>
        <v/>
      </c>
      <c r="CO9" s="88" t="str">
        <f t="shared" ca="1" si="21"/>
        <v/>
      </c>
      <c r="CP9" s="88" t="str">
        <f t="shared" ca="1" si="21"/>
        <v/>
      </c>
      <c r="CQ9" s="88" t="str">
        <f t="shared" ca="1" si="21"/>
        <v/>
      </c>
      <c r="CR9" s="88" t="str">
        <f t="shared" ref="CR9:DW9" ca="1" si="22">IF(CR$8=TODAY(),CHAR(124),"")</f>
        <v/>
      </c>
      <c r="CS9" s="88" t="str">
        <f t="shared" ca="1" si="22"/>
        <v/>
      </c>
      <c r="CT9" s="88" t="str">
        <f t="shared" ca="1" si="22"/>
        <v/>
      </c>
      <c r="CU9" s="88" t="str">
        <f t="shared" ca="1" si="22"/>
        <v/>
      </c>
      <c r="CV9" s="88" t="str">
        <f t="shared" ca="1" si="22"/>
        <v/>
      </c>
      <c r="CW9" s="88" t="str">
        <f t="shared" ca="1" si="22"/>
        <v/>
      </c>
      <c r="CX9" s="88" t="str">
        <f t="shared" ca="1" si="22"/>
        <v/>
      </c>
      <c r="CY9" s="88" t="str">
        <f t="shared" ca="1" si="22"/>
        <v/>
      </c>
      <c r="CZ9" s="88" t="str">
        <f t="shared" ca="1" si="22"/>
        <v/>
      </c>
      <c r="DA9" s="88" t="str">
        <f t="shared" ca="1" si="22"/>
        <v/>
      </c>
      <c r="DB9" s="88" t="str">
        <f t="shared" ca="1" si="22"/>
        <v/>
      </c>
      <c r="DC9" s="88" t="str">
        <f t="shared" ca="1" si="22"/>
        <v/>
      </c>
      <c r="DD9" s="88" t="str">
        <f t="shared" ca="1" si="22"/>
        <v/>
      </c>
      <c r="DE9" s="88" t="str">
        <f t="shared" ca="1" si="22"/>
        <v/>
      </c>
      <c r="DF9" s="88" t="str">
        <f t="shared" ca="1" si="22"/>
        <v/>
      </c>
      <c r="DG9" s="88" t="str">
        <f t="shared" ca="1" si="22"/>
        <v/>
      </c>
      <c r="DH9" s="88" t="str">
        <f t="shared" ca="1" si="22"/>
        <v/>
      </c>
      <c r="DI9" s="88" t="str">
        <f t="shared" ca="1" si="22"/>
        <v/>
      </c>
      <c r="DJ9" s="88" t="str">
        <f t="shared" ca="1" si="22"/>
        <v/>
      </c>
      <c r="DK9" s="88" t="str">
        <f t="shared" ca="1" si="22"/>
        <v/>
      </c>
      <c r="DL9" s="88" t="str">
        <f t="shared" ca="1" si="22"/>
        <v/>
      </c>
      <c r="DM9" s="88" t="str">
        <f t="shared" ca="1" si="22"/>
        <v/>
      </c>
      <c r="DN9" s="88" t="str">
        <f t="shared" ca="1" si="22"/>
        <v/>
      </c>
      <c r="DO9" s="88" t="str">
        <f t="shared" ca="1" si="22"/>
        <v/>
      </c>
      <c r="DP9" s="88" t="str">
        <f t="shared" ca="1" si="22"/>
        <v/>
      </c>
      <c r="DQ9" s="88" t="str">
        <f t="shared" ca="1" si="22"/>
        <v/>
      </c>
      <c r="DR9" s="88" t="str">
        <f t="shared" ca="1" si="22"/>
        <v/>
      </c>
      <c r="DS9" s="88" t="str">
        <f t="shared" ca="1" si="22"/>
        <v/>
      </c>
      <c r="DT9" s="88" t="str">
        <f t="shared" ca="1" si="22"/>
        <v/>
      </c>
      <c r="DU9" s="88" t="str">
        <f t="shared" ca="1" si="22"/>
        <v/>
      </c>
      <c r="DV9" s="88" t="str">
        <f t="shared" ca="1" si="22"/>
        <v/>
      </c>
      <c r="DW9" s="88" t="str">
        <f t="shared" ca="1" si="22"/>
        <v/>
      </c>
      <c r="DX9" s="88" t="str">
        <f t="shared" ref="DX9:EN9" ca="1" si="23">IF(DX$8=TODAY(),CHAR(124),"")</f>
        <v/>
      </c>
      <c r="DY9" s="88" t="str">
        <f t="shared" ca="1" si="23"/>
        <v/>
      </c>
      <c r="DZ9" s="88" t="str">
        <f t="shared" ca="1" si="23"/>
        <v/>
      </c>
      <c r="EA9" s="88" t="str">
        <f t="shared" ca="1" si="23"/>
        <v/>
      </c>
      <c r="EB9" s="88" t="str">
        <f t="shared" ca="1" si="23"/>
        <v/>
      </c>
      <c r="EC9" s="88" t="str">
        <f t="shared" ca="1" si="23"/>
        <v/>
      </c>
      <c r="ED9" s="88" t="str">
        <f t="shared" ca="1" si="23"/>
        <v/>
      </c>
      <c r="EE9" s="88" t="str">
        <f t="shared" ca="1" si="23"/>
        <v/>
      </c>
      <c r="EF9" s="88" t="str">
        <f t="shared" ca="1" si="23"/>
        <v/>
      </c>
      <c r="EG9" s="88" t="str">
        <f t="shared" ca="1" si="23"/>
        <v/>
      </c>
      <c r="EH9" s="88" t="str">
        <f t="shared" ca="1" si="23"/>
        <v/>
      </c>
      <c r="EI9" s="88" t="str">
        <f t="shared" ca="1" si="23"/>
        <v/>
      </c>
      <c r="EJ9" s="9" t="str">
        <f t="shared" ca="1" si="23"/>
        <v/>
      </c>
      <c r="EK9" s="9" t="str">
        <f t="shared" ca="1" si="23"/>
        <v/>
      </c>
      <c r="EL9" s="9" t="str">
        <f t="shared" ca="1" si="23"/>
        <v/>
      </c>
      <c r="EM9" s="9" t="str">
        <f t="shared" ca="1" si="23"/>
        <v/>
      </c>
      <c r="EN9" s="9" t="str">
        <f t="shared" ca="1" si="23"/>
        <v/>
      </c>
      <c r="EO9" s="9" t="str">
        <f t="shared" ref="EL9:EX33" ca="1" si="24">IF(EO$8=TODAY(),CHAR(124),"")</f>
        <v/>
      </c>
      <c r="EP9" s="9" t="str">
        <f t="shared" ca="1" si="24"/>
        <v/>
      </c>
      <c r="EQ9" s="9" t="str">
        <f t="shared" ca="1" si="24"/>
        <v/>
      </c>
      <c r="ER9" s="9" t="str">
        <f t="shared" ca="1" si="24"/>
        <v/>
      </c>
      <c r="ES9" s="9" t="str">
        <f t="shared" ca="1" si="24"/>
        <v/>
      </c>
      <c r="ET9" s="9" t="str">
        <f t="shared" ca="1" si="24"/>
        <v/>
      </c>
      <c r="EU9" s="9" t="str">
        <f t="shared" ca="1" si="24"/>
        <v/>
      </c>
      <c r="EV9" s="9" t="str">
        <f t="shared" ca="1" si="24"/>
        <v/>
      </c>
      <c r="EW9" s="9" t="str">
        <f t="shared" ca="1" si="24"/>
        <v/>
      </c>
      <c r="EX9" s="9" t="str">
        <f t="shared" ca="1" si="24"/>
        <v/>
      </c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</row>
    <row r="10" spans="2:252">
      <c r="B10" s="112" t="s">
        <v>260</v>
      </c>
      <c r="C10" s="18" t="s">
        <v>306</v>
      </c>
      <c r="D10" s="18" t="s">
        <v>15</v>
      </c>
      <c r="E10" s="19">
        <v>46113</v>
      </c>
      <c r="F10" s="18">
        <f>NETWORKDAYS(E10,G10,Праздники!$A$1:$A$14)</f>
        <v>22</v>
      </c>
      <c r="G10" s="19">
        <v>46142</v>
      </c>
      <c r="H10" s="20">
        <v>1</v>
      </c>
      <c r="I10" s="18" t="s">
        <v>145</v>
      </c>
      <c r="J10" s="35" t="s">
        <v>150</v>
      </c>
      <c r="K10" s="35" t="s">
        <v>225</v>
      </c>
      <c r="L10" s="35" t="s">
        <v>308</v>
      </c>
      <c r="M10" s="123" t="s">
        <v>307</v>
      </c>
      <c r="N10" s="35"/>
      <c r="O10" s="90"/>
      <c r="P10" s="87" t="str">
        <f t="shared" ca="1" si="20"/>
        <v/>
      </c>
      <c r="Q10" s="88" t="str">
        <f t="shared" ca="1" si="20"/>
        <v/>
      </c>
      <c r="R10" s="88" t="str">
        <f t="shared" ca="1" si="20"/>
        <v/>
      </c>
      <c r="S10" s="88" t="str">
        <f t="shared" ca="1" si="20"/>
        <v/>
      </c>
      <c r="T10" s="88" t="str">
        <f t="shared" ca="1" si="20"/>
        <v/>
      </c>
      <c r="U10" s="88" t="str">
        <f t="shared" ca="1" si="20"/>
        <v/>
      </c>
      <c r="V10" s="88" t="str">
        <f t="shared" ca="1" si="20"/>
        <v/>
      </c>
      <c r="W10" s="88" t="str">
        <f t="shared" ca="1" si="20"/>
        <v/>
      </c>
      <c r="X10" s="88" t="str">
        <f t="shared" ca="1" si="20"/>
        <v/>
      </c>
      <c r="Y10" s="88" t="str">
        <f t="shared" ca="1" si="20"/>
        <v/>
      </c>
      <c r="Z10" s="88" t="str">
        <f t="shared" ca="1" si="20"/>
        <v/>
      </c>
      <c r="AA10" s="88" t="str">
        <f t="shared" ca="1" si="20"/>
        <v/>
      </c>
      <c r="AB10" s="88" t="str">
        <f t="shared" ca="1" si="20"/>
        <v/>
      </c>
      <c r="AC10" s="88" t="str">
        <f t="shared" ca="1" si="20"/>
        <v/>
      </c>
      <c r="AD10" s="88" t="str">
        <f t="shared" ca="1" si="20"/>
        <v/>
      </c>
      <c r="AE10" s="88" t="str">
        <f t="shared" ca="1" si="20"/>
        <v/>
      </c>
      <c r="AF10" s="88" t="str">
        <f t="shared" ca="1" si="21"/>
        <v/>
      </c>
      <c r="AG10" s="88" t="str">
        <f t="shared" ca="1" si="21"/>
        <v/>
      </c>
      <c r="AH10" s="88" t="str">
        <f t="shared" ca="1" si="21"/>
        <v/>
      </c>
      <c r="AI10" s="88" t="str">
        <f t="shared" ca="1" si="21"/>
        <v/>
      </c>
      <c r="AJ10" s="88" t="str">
        <f t="shared" ca="1" si="21"/>
        <v/>
      </c>
      <c r="AK10" s="88" t="str">
        <f t="shared" ca="1" si="21"/>
        <v/>
      </c>
      <c r="AL10" s="88" t="str">
        <f t="shared" ca="1" si="21"/>
        <v/>
      </c>
      <c r="AM10" s="88" t="str">
        <f t="shared" ca="1" si="21"/>
        <v/>
      </c>
      <c r="AN10" s="88" t="str">
        <f t="shared" ca="1" si="21"/>
        <v/>
      </c>
      <c r="AO10" s="88" t="str">
        <f t="shared" ca="1" si="21"/>
        <v/>
      </c>
      <c r="AP10" s="88" t="str">
        <f t="shared" ca="1" si="21"/>
        <v/>
      </c>
      <c r="AQ10" s="88" t="str">
        <f t="shared" ca="1" si="21"/>
        <v/>
      </c>
      <c r="AR10" s="88" t="str">
        <f t="shared" ca="1" si="21"/>
        <v/>
      </c>
      <c r="AS10" s="88" t="str">
        <f t="shared" ca="1" si="21"/>
        <v/>
      </c>
      <c r="AT10" s="88" t="str">
        <f t="shared" ca="1" si="21"/>
        <v/>
      </c>
      <c r="AU10" s="88" t="str">
        <f t="shared" ca="1" si="21"/>
        <v/>
      </c>
      <c r="AV10" s="88" t="str">
        <f t="shared" ca="1" si="21"/>
        <v/>
      </c>
      <c r="AW10" s="88" t="str">
        <f t="shared" ca="1" si="21"/>
        <v/>
      </c>
      <c r="AX10" s="88" t="str">
        <f t="shared" ca="1" si="21"/>
        <v/>
      </c>
      <c r="AY10" s="88" t="str">
        <f t="shared" ca="1" si="21"/>
        <v/>
      </c>
      <c r="AZ10" s="88" t="str">
        <f t="shared" ca="1" si="21"/>
        <v/>
      </c>
      <c r="BA10" s="88" t="str">
        <f t="shared" ca="1" si="21"/>
        <v/>
      </c>
      <c r="BB10" s="88" t="str">
        <f t="shared" ca="1" si="21"/>
        <v/>
      </c>
      <c r="BC10" s="88" t="str">
        <f t="shared" ca="1" si="21"/>
        <v/>
      </c>
      <c r="BD10" s="88" t="str">
        <f t="shared" ca="1" si="21"/>
        <v/>
      </c>
      <c r="BE10" s="88" t="str">
        <f t="shared" ca="1" si="21"/>
        <v/>
      </c>
      <c r="BF10" s="88" t="str">
        <f t="shared" ca="1" si="21"/>
        <v/>
      </c>
      <c r="BG10" s="88" t="str">
        <f t="shared" ca="1" si="21"/>
        <v/>
      </c>
      <c r="BH10" s="88" t="str">
        <f t="shared" ca="1" si="21"/>
        <v/>
      </c>
      <c r="BI10" s="88" t="str">
        <f t="shared" ca="1" si="21"/>
        <v/>
      </c>
      <c r="BJ10" s="88" t="str">
        <f t="shared" ca="1" si="21"/>
        <v/>
      </c>
      <c r="BK10" s="88" t="str">
        <f t="shared" ca="1" si="21"/>
        <v/>
      </c>
      <c r="BL10" s="88" t="str">
        <f t="shared" ca="1" si="21"/>
        <v/>
      </c>
      <c r="BM10" s="88" t="str">
        <f t="shared" ca="1" si="21"/>
        <v/>
      </c>
      <c r="BN10" s="88" t="str">
        <f t="shared" ca="1" si="21"/>
        <v/>
      </c>
      <c r="BO10" s="88" t="str">
        <f t="shared" ca="1" si="21"/>
        <v/>
      </c>
      <c r="BP10" s="88" t="str">
        <f t="shared" ca="1" si="21"/>
        <v/>
      </c>
      <c r="BQ10" s="88" t="str">
        <f t="shared" ca="1" si="21"/>
        <v/>
      </c>
      <c r="BR10" s="88" t="str">
        <f t="shared" ca="1" si="21"/>
        <v/>
      </c>
      <c r="BS10" s="88" t="str">
        <f t="shared" ca="1" si="21"/>
        <v/>
      </c>
      <c r="BT10" s="88" t="str">
        <f t="shared" ca="1" si="21"/>
        <v/>
      </c>
      <c r="BU10" s="88" t="str">
        <f t="shared" ca="1" si="21"/>
        <v/>
      </c>
      <c r="BV10" s="88" t="str">
        <f t="shared" ca="1" si="21"/>
        <v/>
      </c>
      <c r="BW10" s="88" t="str">
        <f t="shared" ca="1" si="21"/>
        <v/>
      </c>
      <c r="BX10" s="88" t="str">
        <f t="shared" ca="1" si="21"/>
        <v/>
      </c>
      <c r="BY10" s="88" t="str">
        <f t="shared" ca="1" si="21"/>
        <v/>
      </c>
      <c r="BZ10" s="88" t="str">
        <f t="shared" ca="1" si="21"/>
        <v/>
      </c>
      <c r="CA10" s="88" t="str">
        <f t="shared" ca="1" si="21"/>
        <v/>
      </c>
      <c r="CB10" s="88" t="str">
        <f t="shared" ca="1" si="21"/>
        <v/>
      </c>
      <c r="CC10" s="88" t="str">
        <f t="shared" ca="1" si="21"/>
        <v/>
      </c>
      <c r="CD10" s="88" t="str">
        <f t="shared" ca="1" si="21"/>
        <v/>
      </c>
      <c r="CE10" s="88" t="str">
        <f t="shared" ca="1" si="21"/>
        <v/>
      </c>
      <c r="CF10" s="88" t="str">
        <f t="shared" ca="1" si="21"/>
        <v/>
      </c>
      <c r="CG10" s="88" t="str">
        <f t="shared" ca="1" si="21"/>
        <v/>
      </c>
      <c r="CH10" s="88" t="str">
        <f t="shared" ca="1" si="21"/>
        <v/>
      </c>
      <c r="CI10" s="88" t="str">
        <f t="shared" ca="1" si="21"/>
        <v/>
      </c>
      <c r="CJ10" s="88" t="str">
        <f t="shared" ca="1" si="21"/>
        <v/>
      </c>
      <c r="CK10" s="88" t="str">
        <f t="shared" ca="1" si="21"/>
        <v/>
      </c>
      <c r="CL10" s="88" t="str">
        <f t="shared" ca="1" si="21"/>
        <v/>
      </c>
      <c r="CM10" s="88" t="str">
        <f t="shared" ca="1" si="21"/>
        <v/>
      </c>
      <c r="CN10" s="88" t="str">
        <f t="shared" ca="1" si="21"/>
        <v/>
      </c>
      <c r="CO10" s="88" t="str">
        <f t="shared" ca="1" si="21"/>
        <v/>
      </c>
      <c r="CP10" s="88" t="str">
        <f t="shared" ca="1" si="21"/>
        <v/>
      </c>
      <c r="CQ10" s="88" t="str">
        <f t="shared" ca="1" si="21"/>
        <v/>
      </c>
      <c r="CR10" s="88" t="str">
        <f t="shared" ref="CR10:DA15" ca="1" si="25">IF(CR$8=TODAY(),CHAR(124),"")</f>
        <v/>
      </c>
      <c r="CS10" s="88" t="str">
        <f t="shared" ca="1" si="25"/>
        <v/>
      </c>
      <c r="CT10" s="88" t="str">
        <f t="shared" ca="1" si="25"/>
        <v/>
      </c>
      <c r="CU10" s="88" t="str">
        <f t="shared" ca="1" si="25"/>
        <v/>
      </c>
      <c r="CV10" s="88" t="str">
        <f t="shared" ca="1" si="25"/>
        <v/>
      </c>
      <c r="CW10" s="88" t="str">
        <f t="shared" ca="1" si="25"/>
        <v/>
      </c>
      <c r="CX10" s="88" t="str">
        <f t="shared" ca="1" si="25"/>
        <v/>
      </c>
      <c r="CY10" s="88" t="str">
        <f t="shared" ca="1" si="25"/>
        <v/>
      </c>
      <c r="CZ10" s="88" t="str">
        <f t="shared" ca="1" si="25"/>
        <v/>
      </c>
      <c r="DA10" s="88" t="str">
        <f t="shared" ca="1" si="25"/>
        <v/>
      </c>
      <c r="DB10" s="88" t="str">
        <f t="shared" ref="DB10:DK15" ca="1" si="26">IF(DB$8=TODAY(),CHAR(124),"")</f>
        <v/>
      </c>
      <c r="DC10" s="88" t="str">
        <f t="shared" ca="1" si="26"/>
        <v/>
      </c>
      <c r="DD10" s="88" t="str">
        <f t="shared" ca="1" si="26"/>
        <v/>
      </c>
      <c r="DE10" s="88" t="str">
        <f t="shared" ca="1" si="26"/>
        <v/>
      </c>
      <c r="DF10" s="88" t="str">
        <f t="shared" ca="1" si="26"/>
        <v/>
      </c>
      <c r="DG10" s="88" t="str">
        <f t="shared" ca="1" si="26"/>
        <v/>
      </c>
      <c r="DH10" s="88" t="str">
        <f t="shared" ca="1" si="26"/>
        <v/>
      </c>
      <c r="DI10" s="88" t="str">
        <f t="shared" ca="1" si="26"/>
        <v/>
      </c>
      <c r="DJ10" s="88" t="str">
        <f t="shared" ca="1" si="26"/>
        <v/>
      </c>
      <c r="DK10" s="88" t="str">
        <f t="shared" ca="1" si="26"/>
        <v/>
      </c>
      <c r="DL10" s="88" t="str">
        <f t="shared" ref="DL10:DU15" ca="1" si="27">IF(DL$8=TODAY(),CHAR(124),"")</f>
        <v/>
      </c>
      <c r="DM10" s="88" t="str">
        <f t="shared" ca="1" si="27"/>
        <v/>
      </c>
      <c r="DN10" s="88" t="str">
        <f t="shared" ca="1" si="27"/>
        <v/>
      </c>
      <c r="DO10" s="88" t="str">
        <f t="shared" ca="1" si="27"/>
        <v/>
      </c>
      <c r="DP10" s="88" t="str">
        <f t="shared" ca="1" si="27"/>
        <v/>
      </c>
      <c r="DQ10" s="88" t="str">
        <f t="shared" ca="1" si="27"/>
        <v/>
      </c>
      <c r="DR10" s="88" t="str">
        <f t="shared" ca="1" si="27"/>
        <v/>
      </c>
      <c r="DS10" s="88" t="str">
        <f t="shared" ca="1" si="27"/>
        <v/>
      </c>
      <c r="DT10" s="88" t="str">
        <f t="shared" ca="1" si="27"/>
        <v/>
      </c>
      <c r="DU10" s="88" t="str">
        <f t="shared" ca="1" si="27"/>
        <v/>
      </c>
      <c r="DV10" s="88" t="str">
        <f t="shared" ref="DV10:EE15" ca="1" si="28">IF(DV$8=TODAY(),CHAR(124),"")</f>
        <v/>
      </c>
      <c r="DW10" s="88" t="str">
        <f t="shared" ca="1" si="28"/>
        <v/>
      </c>
      <c r="DX10" s="88" t="str">
        <f t="shared" ca="1" si="28"/>
        <v/>
      </c>
      <c r="DY10" s="88" t="str">
        <f t="shared" ca="1" si="28"/>
        <v/>
      </c>
      <c r="DZ10" s="88" t="str">
        <f t="shared" ca="1" si="28"/>
        <v/>
      </c>
      <c r="EA10" s="88" t="str">
        <f t="shared" ca="1" si="28"/>
        <v/>
      </c>
      <c r="EB10" s="88" t="str">
        <f t="shared" ca="1" si="28"/>
        <v/>
      </c>
      <c r="EC10" s="88" t="str">
        <f t="shared" ca="1" si="28"/>
        <v/>
      </c>
      <c r="ED10" s="88" t="str">
        <f t="shared" ca="1" si="28"/>
        <v/>
      </c>
      <c r="EE10" s="88" t="str">
        <f t="shared" ca="1" si="28"/>
        <v/>
      </c>
      <c r="EF10" s="88" t="str">
        <f t="shared" ref="EF10:EK15" ca="1" si="29">IF(EF$8=TODAY(),CHAR(124),"")</f>
        <v/>
      </c>
      <c r="EG10" s="88" t="str">
        <f t="shared" ca="1" si="29"/>
        <v/>
      </c>
      <c r="EH10" s="88" t="str">
        <f t="shared" ca="1" si="29"/>
        <v/>
      </c>
      <c r="EI10" s="88" t="str">
        <f t="shared" ca="1" si="29"/>
        <v/>
      </c>
      <c r="EJ10" s="9" t="str">
        <f t="shared" ca="1" si="29"/>
        <v/>
      </c>
      <c r="EK10" s="9" t="str">
        <f t="shared" ca="1" si="29"/>
        <v/>
      </c>
      <c r="EL10" s="9" t="str">
        <f t="shared" ca="1" si="24"/>
        <v/>
      </c>
      <c r="EM10" s="9" t="str">
        <f t="shared" ca="1" si="24"/>
        <v/>
      </c>
      <c r="EN10" s="9" t="str">
        <f t="shared" ca="1" si="24"/>
        <v/>
      </c>
      <c r="EO10" s="9" t="str">
        <f t="shared" ca="1" si="24"/>
        <v/>
      </c>
      <c r="EP10" s="9" t="str">
        <f t="shared" ca="1" si="24"/>
        <v/>
      </c>
      <c r="EQ10" s="9" t="str">
        <f t="shared" ca="1" si="24"/>
        <v/>
      </c>
      <c r="ER10" s="9" t="str">
        <f t="shared" ca="1" si="24"/>
        <v/>
      </c>
      <c r="ES10" s="9" t="str">
        <f t="shared" ca="1" si="24"/>
        <v/>
      </c>
      <c r="ET10" s="9" t="str">
        <f t="shared" ca="1" si="24"/>
        <v/>
      </c>
      <c r="EU10" s="9" t="str">
        <f t="shared" ca="1" si="24"/>
        <v/>
      </c>
      <c r="EV10" s="9" t="str">
        <f t="shared" ca="1" si="24"/>
        <v/>
      </c>
      <c r="EW10" s="9" t="str">
        <f t="shared" ca="1" si="24"/>
        <v/>
      </c>
      <c r="EX10" s="9" t="str">
        <f t="shared" ca="1" si="24"/>
        <v/>
      </c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</row>
    <row r="11" spans="2:252" ht="15" customHeight="1">
      <c r="B11" s="112" t="s">
        <v>261</v>
      </c>
      <c r="C11" s="18" t="s">
        <v>9</v>
      </c>
      <c r="D11" s="18" t="s">
        <v>16</v>
      </c>
      <c r="E11" s="19">
        <v>46141</v>
      </c>
      <c r="F11" s="18">
        <f>NETWORKDAYS(E11,G11,Праздники!$A$1:$A$14)</f>
        <v>5</v>
      </c>
      <c r="G11" s="19">
        <v>46148</v>
      </c>
      <c r="H11" s="20">
        <v>1</v>
      </c>
      <c r="I11" s="18" t="s">
        <v>146</v>
      </c>
      <c r="J11" s="35"/>
      <c r="K11" s="35"/>
      <c r="L11" s="35"/>
      <c r="M11" s="35"/>
      <c r="N11" s="35"/>
      <c r="O11" s="35"/>
      <c r="P11" s="87" t="str">
        <f t="shared" ca="1" si="20"/>
        <v/>
      </c>
      <c r="Q11" s="88" t="str">
        <f t="shared" ca="1" si="20"/>
        <v/>
      </c>
      <c r="R11" s="88" t="str">
        <f t="shared" ca="1" si="20"/>
        <v/>
      </c>
      <c r="S11" s="88" t="str">
        <f t="shared" ca="1" si="20"/>
        <v/>
      </c>
      <c r="T11" s="88" t="str">
        <f t="shared" ca="1" si="20"/>
        <v/>
      </c>
      <c r="U11" s="88" t="str">
        <f t="shared" ca="1" si="20"/>
        <v/>
      </c>
      <c r="V11" s="88" t="str">
        <f t="shared" ca="1" si="20"/>
        <v/>
      </c>
      <c r="W11" s="88" t="str">
        <f t="shared" ca="1" si="20"/>
        <v/>
      </c>
      <c r="X11" s="88" t="str">
        <f t="shared" ca="1" si="20"/>
        <v/>
      </c>
      <c r="Y11" s="88" t="str">
        <f t="shared" ca="1" si="20"/>
        <v/>
      </c>
      <c r="Z11" s="88" t="str">
        <f t="shared" ca="1" si="20"/>
        <v/>
      </c>
      <c r="AA11" s="88" t="str">
        <f t="shared" ca="1" si="20"/>
        <v/>
      </c>
      <c r="AB11" s="88" t="str">
        <f t="shared" ca="1" si="20"/>
        <v/>
      </c>
      <c r="AC11" s="88" t="str">
        <f t="shared" ca="1" si="20"/>
        <v/>
      </c>
      <c r="AD11" s="88" t="str">
        <f t="shared" ca="1" si="20"/>
        <v/>
      </c>
      <c r="AE11" s="88" t="str">
        <f t="shared" ca="1" si="20"/>
        <v/>
      </c>
      <c r="AF11" s="88" t="str">
        <f t="shared" ca="1" si="21"/>
        <v/>
      </c>
      <c r="AG11" s="88" t="str">
        <f t="shared" ca="1" si="21"/>
        <v/>
      </c>
      <c r="AH11" s="88" t="str">
        <f t="shared" ca="1" si="21"/>
        <v/>
      </c>
      <c r="AI11" s="88" t="str">
        <f t="shared" ca="1" si="21"/>
        <v/>
      </c>
      <c r="AJ11" s="88" t="str">
        <f t="shared" ca="1" si="21"/>
        <v/>
      </c>
      <c r="AK11" s="88" t="str">
        <f t="shared" ca="1" si="21"/>
        <v/>
      </c>
      <c r="AL11" s="88" t="str">
        <f t="shared" ca="1" si="21"/>
        <v/>
      </c>
      <c r="AM11" s="88" t="str">
        <f t="shared" ca="1" si="21"/>
        <v/>
      </c>
      <c r="AN11" s="88" t="str">
        <f t="shared" ca="1" si="21"/>
        <v/>
      </c>
      <c r="AO11" s="88" t="str">
        <f t="shared" ca="1" si="21"/>
        <v/>
      </c>
      <c r="AP11" s="88" t="str">
        <f t="shared" ca="1" si="21"/>
        <v/>
      </c>
      <c r="AQ11" s="88" t="str">
        <f t="shared" ca="1" si="21"/>
        <v/>
      </c>
      <c r="AR11" s="88" t="str">
        <f t="shared" ca="1" si="21"/>
        <v/>
      </c>
      <c r="AS11" s="88" t="str">
        <f t="shared" ca="1" si="21"/>
        <v/>
      </c>
      <c r="AT11" s="88" t="str">
        <f t="shared" ca="1" si="21"/>
        <v/>
      </c>
      <c r="AU11" s="88" t="str">
        <f t="shared" ca="1" si="21"/>
        <v/>
      </c>
      <c r="AV11" s="88" t="str">
        <f t="shared" ca="1" si="21"/>
        <v/>
      </c>
      <c r="AW11" s="88" t="str">
        <f t="shared" ca="1" si="21"/>
        <v/>
      </c>
      <c r="AX11" s="88" t="str">
        <f t="shared" ca="1" si="21"/>
        <v/>
      </c>
      <c r="AY11" s="88" t="str">
        <f t="shared" ca="1" si="21"/>
        <v/>
      </c>
      <c r="AZ11" s="88" t="str">
        <f t="shared" ca="1" si="21"/>
        <v/>
      </c>
      <c r="BA11" s="88" t="str">
        <f t="shared" ca="1" si="21"/>
        <v/>
      </c>
      <c r="BB11" s="88" t="str">
        <f t="shared" ca="1" si="21"/>
        <v/>
      </c>
      <c r="BC11" s="88" t="str">
        <f t="shared" ca="1" si="21"/>
        <v/>
      </c>
      <c r="BD11" s="88" t="str">
        <f t="shared" ca="1" si="21"/>
        <v/>
      </c>
      <c r="BE11" s="88" t="str">
        <f t="shared" ca="1" si="21"/>
        <v/>
      </c>
      <c r="BF11" s="88" t="str">
        <f t="shared" ca="1" si="21"/>
        <v/>
      </c>
      <c r="BG11" s="88" t="str">
        <f t="shared" ca="1" si="21"/>
        <v/>
      </c>
      <c r="BH11" s="88" t="str">
        <f t="shared" ca="1" si="21"/>
        <v/>
      </c>
      <c r="BI11" s="88" t="str">
        <f t="shared" ca="1" si="21"/>
        <v/>
      </c>
      <c r="BJ11" s="88" t="str">
        <f t="shared" ca="1" si="21"/>
        <v/>
      </c>
      <c r="BK11" s="88" t="str">
        <f t="shared" ca="1" si="21"/>
        <v/>
      </c>
      <c r="BL11" s="88" t="str">
        <f t="shared" ca="1" si="21"/>
        <v/>
      </c>
      <c r="BM11" s="88" t="str">
        <f t="shared" ca="1" si="21"/>
        <v/>
      </c>
      <c r="BN11" s="88" t="str">
        <f t="shared" ca="1" si="21"/>
        <v/>
      </c>
      <c r="BO11" s="88" t="str">
        <f t="shared" ca="1" si="21"/>
        <v/>
      </c>
      <c r="BP11" s="88" t="str">
        <f t="shared" ca="1" si="21"/>
        <v/>
      </c>
      <c r="BQ11" s="88" t="str">
        <f t="shared" ca="1" si="21"/>
        <v/>
      </c>
      <c r="BR11" s="88" t="str">
        <f t="shared" ca="1" si="21"/>
        <v/>
      </c>
      <c r="BS11" s="88" t="str">
        <f t="shared" ca="1" si="21"/>
        <v/>
      </c>
      <c r="BT11" s="88" t="str">
        <f t="shared" ca="1" si="21"/>
        <v/>
      </c>
      <c r="BU11" s="88" t="str">
        <f t="shared" ca="1" si="21"/>
        <v/>
      </c>
      <c r="BV11" s="88" t="str">
        <f t="shared" ca="1" si="21"/>
        <v/>
      </c>
      <c r="BW11" s="88" t="str">
        <f t="shared" ca="1" si="21"/>
        <v/>
      </c>
      <c r="BX11" s="88" t="str">
        <f t="shared" ca="1" si="21"/>
        <v/>
      </c>
      <c r="BY11" s="88" t="str">
        <f t="shared" ca="1" si="21"/>
        <v/>
      </c>
      <c r="BZ11" s="88" t="str">
        <f t="shared" ca="1" si="21"/>
        <v/>
      </c>
      <c r="CA11" s="88" t="str">
        <f t="shared" ca="1" si="21"/>
        <v/>
      </c>
      <c r="CB11" s="88" t="str">
        <f t="shared" ca="1" si="21"/>
        <v/>
      </c>
      <c r="CC11" s="88" t="str">
        <f t="shared" ca="1" si="21"/>
        <v/>
      </c>
      <c r="CD11" s="88" t="str">
        <f t="shared" ca="1" si="21"/>
        <v/>
      </c>
      <c r="CE11" s="88" t="str">
        <f t="shared" ca="1" si="21"/>
        <v/>
      </c>
      <c r="CF11" s="88" t="str">
        <f t="shared" ca="1" si="21"/>
        <v/>
      </c>
      <c r="CG11" s="88" t="str">
        <f t="shared" ca="1" si="21"/>
        <v/>
      </c>
      <c r="CH11" s="88" t="str">
        <f t="shared" ca="1" si="21"/>
        <v/>
      </c>
      <c r="CI11" s="88" t="str">
        <f t="shared" ca="1" si="21"/>
        <v/>
      </c>
      <c r="CJ11" s="88" t="str">
        <f t="shared" ca="1" si="21"/>
        <v/>
      </c>
      <c r="CK11" s="88" t="str">
        <f t="shared" ca="1" si="21"/>
        <v/>
      </c>
      <c r="CL11" s="88" t="str">
        <f t="shared" ca="1" si="21"/>
        <v/>
      </c>
      <c r="CM11" s="88" t="str">
        <f t="shared" ca="1" si="21"/>
        <v/>
      </c>
      <c r="CN11" s="88" t="str">
        <f t="shared" ca="1" si="21"/>
        <v/>
      </c>
      <c r="CO11" s="88" t="str">
        <f t="shared" ca="1" si="21"/>
        <v/>
      </c>
      <c r="CP11" s="88" t="str">
        <f t="shared" ca="1" si="21"/>
        <v/>
      </c>
      <c r="CQ11" s="88" t="str">
        <f t="shared" ca="1" si="21"/>
        <v/>
      </c>
      <c r="CR11" s="88" t="str">
        <f t="shared" ca="1" si="25"/>
        <v/>
      </c>
      <c r="CS11" s="88" t="str">
        <f t="shared" ca="1" si="25"/>
        <v/>
      </c>
      <c r="CT11" s="88" t="str">
        <f t="shared" ca="1" si="25"/>
        <v/>
      </c>
      <c r="CU11" s="88" t="str">
        <f t="shared" ca="1" si="25"/>
        <v/>
      </c>
      <c r="CV11" s="88" t="str">
        <f t="shared" ca="1" si="25"/>
        <v/>
      </c>
      <c r="CW11" s="88" t="str">
        <f t="shared" ca="1" si="25"/>
        <v/>
      </c>
      <c r="CX11" s="88" t="str">
        <f t="shared" ca="1" si="25"/>
        <v/>
      </c>
      <c r="CY11" s="88" t="str">
        <f t="shared" ca="1" si="25"/>
        <v/>
      </c>
      <c r="CZ11" s="88" t="str">
        <f t="shared" ca="1" si="25"/>
        <v/>
      </c>
      <c r="DA11" s="88" t="str">
        <f t="shared" ca="1" si="25"/>
        <v/>
      </c>
      <c r="DB11" s="88" t="str">
        <f t="shared" ca="1" si="26"/>
        <v/>
      </c>
      <c r="DC11" s="88" t="str">
        <f t="shared" ca="1" si="26"/>
        <v/>
      </c>
      <c r="DD11" s="88" t="str">
        <f t="shared" ca="1" si="26"/>
        <v/>
      </c>
      <c r="DE11" s="88" t="str">
        <f t="shared" ca="1" si="26"/>
        <v/>
      </c>
      <c r="DF11" s="88" t="str">
        <f t="shared" ca="1" si="26"/>
        <v/>
      </c>
      <c r="DG11" s="88" t="str">
        <f t="shared" ca="1" si="26"/>
        <v/>
      </c>
      <c r="DH11" s="88" t="str">
        <f t="shared" ca="1" si="26"/>
        <v/>
      </c>
      <c r="DI11" s="88" t="str">
        <f t="shared" ca="1" si="26"/>
        <v/>
      </c>
      <c r="DJ11" s="88" t="str">
        <f t="shared" ca="1" si="26"/>
        <v/>
      </c>
      <c r="DK11" s="88" t="str">
        <f t="shared" ca="1" si="26"/>
        <v/>
      </c>
      <c r="DL11" s="88" t="str">
        <f t="shared" ca="1" si="27"/>
        <v/>
      </c>
      <c r="DM11" s="88" t="str">
        <f t="shared" ca="1" si="27"/>
        <v/>
      </c>
      <c r="DN11" s="88" t="str">
        <f t="shared" ca="1" si="27"/>
        <v/>
      </c>
      <c r="DO11" s="88" t="str">
        <f t="shared" ca="1" si="27"/>
        <v/>
      </c>
      <c r="DP11" s="88" t="str">
        <f t="shared" ca="1" si="27"/>
        <v/>
      </c>
      <c r="DQ11" s="88" t="str">
        <f t="shared" ca="1" si="27"/>
        <v/>
      </c>
      <c r="DR11" s="88" t="str">
        <f t="shared" ca="1" si="27"/>
        <v/>
      </c>
      <c r="DS11" s="88" t="str">
        <f t="shared" ca="1" si="27"/>
        <v/>
      </c>
      <c r="DT11" s="88" t="str">
        <f t="shared" ca="1" si="27"/>
        <v/>
      </c>
      <c r="DU11" s="88" t="str">
        <f t="shared" ca="1" si="27"/>
        <v/>
      </c>
      <c r="DV11" s="88" t="str">
        <f t="shared" ca="1" si="28"/>
        <v/>
      </c>
      <c r="DW11" s="88" t="str">
        <f t="shared" ca="1" si="28"/>
        <v/>
      </c>
      <c r="DX11" s="88" t="str">
        <f t="shared" ca="1" si="28"/>
        <v/>
      </c>
      <c r="DY11" s="88" t="str">
        <f t="shared" ca="1" si="28"/>
        <v/>
      </c>
      <c r="DZ11" s="88" t="str">
        <f t="shared" ca="1" si="28"/>
        <v/>
      </c>
      <c r="EA11" s="88" t="str">
        <f t="shared" ca="1" si="28"/>
        <v/>
      </c>
      <c r="EB11" s="88" t="str">
        <f t="shared" ca="1" si="28"/>
        <v/>
      </c>
      <c r="EC11" s="88" t="str">
        <f t="shared" ca="1" si="28"/>
        <v/>
      </c>
      <c r="ED11" s="88" t="str">
        <f t="shared" ca="1" si="28"/>
        <v/>
      </c>
      <c r="EE11" s="88" t="str">
        <f t="shared" ca="1" si="28"/>
        <v/>
      </c>
      <c r="EF11" s="88" t="str">
        <f t="shared" ca="1" si="29"/>
        <v/>
      </c>
      <c r="EG11" s="88" t="str">
        <f t="shared" ca="1" si="29"/>
        <v/>
      </c>
      <c r="EH11" s="88" t="str">
        <f t="shared" ca="1" si="29"/>
        <v/>
      </c>
      <c r="EI11" s="88" t="str">
        <f t="shared" ca="1" si="29"/>
        <v/>
      </c>
      <c r="EJ11" s="9" t="str">
        <f t="shared" ca="1" si="29"/>
        <v/>
      </c>
      <c r="EK11" s="9" t="str">
        <f t="shared" ca="1" si="29"/>
        <v/>
      </c>
      <c r="EL11" s="9" t="str">
        <f t="shared" ca="1" si="24"/>
        <v/>
      </c>
      <c r="EM11" s="9" t="str">
        <f t="shared" ca="1" si="24"/>
        <v/>
      </c>
      <c r="EN11" s="9" t="str">
        <f t="shared" ca="1" si="24"/>
        <v/>
      </c>
      <c r="EO11" s="9" t="str">
        <f t="shared" ca="1" si="24"/>
        <v/>
      </c>
      <c r="EP11" s="9" t="str">
        <f t="shared" ca="1" si="24"/>
        <v/>
      </c>
      <c r="EQ11" s="9" t="str">
        <f t="shared" ca="1" si="24"/>
        <v/>
      </c>
      <c r="ER11" s="9" t="str">
        <f t="shared" ca="1" si="24"/>
        <v/>
      </c>
      <c r="ES11" s="9" t="str">
        <f t="shared" ca="1" si="24"/>
        <v/>
      </c>
      <c r="ET11" s="9" t="str">
        <f t="shared" ca="1" si="24"/>
        <v/>
      </c>
      <c r="EU11" s="9" t="str">
        <f t="shared" ca="1" si="24"/>
        <v/>
      </c>
      <c r="EV11" s="9" t="str">
        <f t="shared" ca="1" si="24"/>
        <v/>
      </c>
      <c r="EW11" s="9" t="str">
        <f t="shared" ca="1" si="24"/>
        <v/>
      </c>
      <c r="EX11" s="9" t="str">
        <f t="shared" ca="1" si="24"/>
        <v/>
      </c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</row>
    <row r="12" spans="2:252">
      <c r="B12" s="112" t="s">
        <v>262</v>
      </c>
      <c r="C12" s="18" t="s">
        <v>10</v>
      </c>
      <c r="D12" s="18" t="s">
        <v>17</v>
      </c>
      <c r="E12" s="19">
        <v>46133</v>
      </c>
      <c r="F12" s="18">
        <f>NETWORKDAYS(E12,G12,Праздники!$A$1:$A$14)</f>
        <v>6</v>
      </c>
      <c r="G12" s="19">
        <v>46140</v>
      </c>
      <c r="H12" s="20">
        <v>1</v>
      </c>
      <c r="I12" s="18" t="s">
        <v>208</v>
      </c>
      <c r="J12" s="35"/>
      <c r="K12" s="35" t="s">
        <v>151</v>
      </c>
      <c r="L12" s="35" t="s">
        <v>151</v>
      </c>
      <c r="M12" s="35"/>
      <c r="N12" s="35"/>
      <c r="O12" s="35"/>
      <c r="P12" s="87" t="str">
        <f t="shared" ca="1" si="20"/>
        <v/>
      </c>
      <c r="Q12" s="88" t="str">
        <f t="shared" ca="1" si="20"/>
        <v/>
      </c>
      <c r="R12" s="88" t="str">
        <f t="shared" ca="1" si="20"/>
        <v/>
      </c>
      <c r="S12" s="88" t="str">
        <f t="shared" ca="1" si="20"/>
        <v/>
      </c>
      <c r="T12" s="88" t="str">
        <f t="shared" ca="1" si="20"/>
        <v/>
      </c>
      <c r="U12" s="88" t="str">
        <f t="shared" ca="1" si="20"/>
        <v/>
      </c>
      <c r="V12" s="88" t="str">
        <f t="shared" ca="1" si="20"/>
        <v/>
      </c>
      <c r="W12" s="88" t="str">
        <f t="shared" ca="1" si="20"/>
        <v/>
      </c>
      <c r="X12" s="88" t="str">
        <f t="shared" ca="1" si="20"/>
        <v/>
      </c>
      <c r="Y12" s="88" t="str">
        <f t="shared" ca="1" si="20"/>
        <v/>
      </c>
      <c r="Z12" s="88" t="str">
        <f t="shared" ca="1" si="20"/>
        <v/>
      </c>
      <c r="AA12" s="88" t="str">
        <f t="shared" ca="1" si="20"/>
        <v/>
      </c>
      <c r="AB12" s="88" t="str">
        <f t="shared" ca="1" si="20"/>
        <v/>
      </c>
      <c r="AC12" s="88" t="str">
        <f t="shared" ca="1" si="20"/>
        <v/>
      </c>
      <c r="AD12" s="88" t="str">
        <f t="shared" ca="1" si="20"/>
        <v/>
      </c>
      <c r="AE12" s="88" t="str">
        <f t="shared" ca="1" si="20"/>
        <v/>
      </c>
      <c r="AF12" s="88" t="str">
        <f t="shared" ca="1" si="21"/>
        <v/>
      </c>
      <c r="AG12" s="88" t="str">
        <f t="shared" ca="1" si="21"/>
        <v/>
      </c>
      <c r="AH12" s="88" t="str">
        <f t="shared" ca="1" si="21"/>
        <v/>
      </c>
      <c r="AI12" s="88" t="str">
        <f t="shared" ca="1" si="21"/>
        <v/>
      </c>
      <c r="AJ12" s="88" t="str">
        <f t="shared" ca="1" si="21"/>
        <v/>
      </c>
      <c r="AK12" s="88" t="str">
        <f t="shared" ca="1" si="21"/>
        <v/>
      </c>
      <c r="AL12" s="88" t="str">
        <f t="shared" ca="1" si="21"/>
        <v/>
      </c>
      <c r="AM12" s="88" t="str">
        <f t="shared" ca="1" si="21"/>
        <v/>
      </c>
      <c r="AN12" s="88" t="str">
        <f t="shared" ca="1" si="21"/>
        <v/>
      </c>
      <c r="AO12" s="88" t="str">
        <f t="shared" ca="1" si="21"/>
        <v/>
      </c>
      <c r="AP12" s="88" t="str">
        <f t="shared" ca="1" si="21"/>
        <v/>
      </c>
      <c r="AQ12" s="88" t="str">
        <f t="shared" ca="1" si="21"/>
        <v/>
      </c>
      <c r="AR12" s="88" t="str">
        <f t="shared" ca="1" si="21"/>
        <v/>
      </c>
      <c r="AS12" s="88" t="str">
        <f t="shared" ca="1" si="21"/>
        <v/>
      </c>
      <c r="AT12" s="88" t="str">
        <f t="shared" ca="1" si="21"/>
        <v/>
      </c>
      <c r="AU12" s="88" t="str">
        <f t="shared" ca="1" si="21"/>
        <v/>
      </c>
      <c r="AV12" s="88" t="str">
        <f t="shared" ca="1" si="21"/>
        <v/>
      </c>
      <c r="AW12" s="88" t="str">
        <f t="shared" ca="1" si="21"/>
        <v/>
      </c>
      <c r="AX12" s="88" t="str">
        <f t="shared" ca="1" si="21"/>
        <v/>
      </c>
      <c r="AY12" s="88" t="str">
        <f t="shared" ca="1" si="21"/>
        <v/>
      </c>
      <c r="AZ12" s="88" t="str">
        <f t="shared" ca="1" si="21"/>
        <v/>
      </c>
      <c r="BA12" s="88" t="str">
        <f t="shared" ca="1" si="21"/>
        <v/>
      </c>
      <c r="BB12" s="88" t="str">
        <f t="shared" ca="1" si="21"/>
        <v/>
      </c>
      <c r="BC12" s="88" t="str">
        <f t="shared" ca="1" si="21"/>
        <v/>
      </c>
      <c r="BD12" s="88" t="str">
        <f t="shared" ca="1" si="21"/>
        <v/>
      </c>
      <c r="BE12" s="88" t="str">
        <f t="shared" ca="1" si="21"/>
        <v/>
      </c>
      <c r="BF12" s="88" t="str">
        <f t="shared" ca="1" si="21"/>
        <v/>
      </c>
      <c r="BG12" s="88" t="str">
        <f t="shared" ca="1" si="21"/>
        <v/>
      </c>
      <c r="BH12" s="88" t="str">
        <f t="shared" ca="1" si="21"/>
        <v/>
      </c>
      <c r="BI12" s="88" t="str">
        <f t="shared" ca="1" si="21"/>
        <v/>
      </c>
      <c r="BJ12" s="88" t="str">
        <f t="shared" ca="1" si="21"/>
        <v/>
      </c>
      <c r="BK12" s="88" t="str">
        <f t="shared" ca="1" si="21"/>
        <v/>
      </c>
      <c r="BL12" s="88" t="str">
        <f t="shared" ca="1" si="21"/>
        <v/>
      </c>
      <c r="BM12" s="88" t="str">
        <f t="shared" ca="1" si="21"/>
        <v/>
      </c>
      <c r="BN12" s="88" t="str">
        <f t="shared" ca="1" si="21"/>
        <v/>
      </c>
      <c r="BO12" s="88" t="str">
        <f t="shared" ca="1" si="21"/>
        <v/>
      </c>
      <c r="BP12" s="88" t="str">
        <f t="shared" ca="1" si="21"/>
        <v/>
      </c>
      <c r="BQ12" s="88" t="str">
        <f t="shared" ca="1" si="21"/>
        <v/>
      </c>
      <c r="BR12" s="88" t="str">
        <f t="shared" ca="1" si="21"/>
        <v/>
      </c>
      <c r="BS12" s="88" t="str">
        <f t="shared" ca="1" si="21"/>
        <v/>
      </c>
      <c r="BT12" s="88" t="str">
        <f t="shared" ca="1" si="21"/>
        <v/>
      </c>
      <c r="BU12" s="88" t="str">
        <f t="shared" ca="1" si="21"/>
        <v/>
      </c>
      <c r="BV12" s="88" t="str">
        <f t="shared" ca="1" si="21"/>
        <v/>
      </c>
      <c r="BW12" s="88" t="str">
        <f t="shared" ca="1" si="21"/>
        <v/>
      </c>
      <c r="BX12" s="88" t="str">
        <f t="shared" ca="1" si="21"/>
        <v/>
      </c>
      <c r="BY12" s="88" t="str">
        <f t="shared" ca="1" si="21"/>
        <v/>
      </c>
      <c r="BZ12" s="88" t="str">
        <f t="shared" ca="1" si="21"/>
        <v/>
      </c>
      <c r="CA12" s="88" t="str">
        <f t="shared" ca="1" si="21"/>
        <v/>
      </c>
      <c r="CB12" s="88" t="str">
        <f t="shared" ca="1" si="21"/>
        <v/>
      </c>
      <c r="CC12" s="88" t="str">
        <f t="shared" ca="1" si="21"/>
        <v/>
      </c>
      <c r="CD12" s="88" t="str">
        <f t="shared" ca="1" si="21"/>
        <v/>
      </c>
      <c r="CE12" s="88" t="str">
        <f t="shared" ca="1" si="21"/>
        <v/>
      </c>
      <c r="CF12" s="88" t="str">
        <f t="shared" ca="1" si="21"/>
        <v/>
      </c>
      <c r="CG12" s="88" t="str">
        <f t="shared" ca="1" si="21"/>
        <v/>
      </c>
      <c r="CH12" s="88" t="str">
        <f t="shared" ca="1" si="21"/>
        <v/>
      </c>
      <c r="CI12" s="88" t="str">
        <f t="shared" ca="1" si="21"/>
        <v/>
      </c>
      <c r="CJ12" s="88" t="str">
        <f t="shared" ca="1" si="21"/>
        <v/>
      </c>
      <c r="CK12" s="88" t="str">
        <f t="shared" ca="1" si="21"/>
        <v/>
      </c>
      <c r="CL12" s="88" t="str">
        <f t="shared" ca="1" si="21"/>
        <v/>
      </c>
      <c r="CM12" s="88" t="str">
        <f t="shared" ca="1" si="21"/>
        <v/>
      </c>
      <c r="CN12" s="88" t="str">
        <f t="shared" ca="1" si="21"/>
        <v/>
      </c>
      <c r="CO12" s="88" t="str">
        <f t="shared" ca="1" si="21"/>
        <v/>
      </c>
      <c r="CP12" s="88" t="str">
        <f t="shared" ca="1" si="21"/>
        <v/>
      </c>
      <c r="CQ12" s="88" t="str">
        <f ca="1">IF(CQ$8=TODAY(),CHAR(124),"")</f>
        <v/>
      </c>
      <c r="CR12" s="88" t="str">
        <f t="shared" ca="1" si="25"/>
        <v/>
      </c>
      <c r="CS12" s="88" t="str">
        <f t="shared" ca="1" si="25"/>
        <v/>
      </c>
      <c r="CT12" s="88" t="str">
        <f t="shared" ca="1" si="25"/>
        <v/>
      </c>
      <c r="CU12" s="88" t="str">
        <f t="shared" ca="1" si="25"/>
        <v/>
      </c>
      <c r="CV12" s="88" t="str">
        <f t="shared" ca="1" si="25"/>
        <v/>
      </c>
      <c r="CW12" s="88" t="str">
        <f t="shared" ca="1" si="25"/>
        <v/>
      </c>
      <c r="CX12" s="88" t="str">
        <f t="shared" ca="1" si="25"/>
        <v/>
      </c>
      <c r="CY12" s="88" t="str">
        <f t="shared" ca="1" si="25"/>
        <v/>
      </c>
      <c r="CZ12" s="88" t="str">
        <f t="shared" ca="1" si="25"/>
        <v/>
      </c>
      <c r="DA12" s="88" t="str">
        <f t="shared" ca="1" si="25"/>
        <v/>
      </c>
      <c r="DB12" s="88" t="str">
        <f t="shared" ca="1" si="26"/>
        <v/>
      </c>
      <c r="DC12" s="88" t="str">
        <f t="shared" ca="1" si="26"/>
        <v/>
      </c>
      <c r="DD12" s="88" t="str">
        <f t="shared" ca="1" si="26"/>
        <v/>
      </c>
      <c r="DE12" s="88" t="str">
        <f t="shared" ca="1" si="26"/>
        <v/>
      </c>
      <c r="DF12" s="88" t="str">
        <f t="shared" ca="1" si="26"/>
        <v/>
      </c>
      <c r="DG12" s="88" t="str">
        <f t="shared" ca="1" si="26"/>
        <v/>
      </c>
      <c r="DH12" s="88" t="str">
        <f t="shared" ca="1" si="26"/>
        <v/>
      </c>
      <c r="DI12" s="88" t="str">
        <f t="shared" ca="1" si="26"/>
        <v/>
      </c>
      <c r="DJ12" s="88" t="str">
        <f t="shared" ca="1" si="26"/>
        <v/>
      </c>
      <c r="DK12" s="88" t="str">
        <f t="shared" ca="1" si="26"/>
        <v/>
      </c>
      <c r="DL12" s="88" t="str">
        <f t="shared" ca="1" si="27"/>
        <v/>
      </c>
      <c r="DM12" s="88" t="str">
        <f t="shared" ca="1" si="27"/>
        <v/>
      </c>
      <c r="DN12" s="88" t="str">
        <f t="shared" ca="1" si="27"/>
        <v/>
      </c>
      <c r="DO12" s="88" t="str">
        <f t="shared" ca="1" si="27"/>
        <v/>
      </c>
      <c r="DP12" s="88" t="str">
        <f t="shared" ca="1" si="27"/>
        <v/>
      </c>
      <c r="DQ12" s="88" t="str">
        <f t="shared" ca="1" si="27"/>
        <v/>
      </c>
      <c r="DR12" s="88" t="str">
        <f t="shared" ca="1" si="27"/>
        <v/>
      </c>
      <c r="DS12" s="88" t="str">
        <f t="shared" ca="1" si="27"/>
        <v/>
      </c>
      <c r="DT12" s="88" t="str">
        <f t="shared" ca="1" si="27"/>
        <v/>
      </c>
      <c r="DU12" s="88" t="str">
        <f t="shared" ca="1" si="27"/>
        <v/>
      </c>
      <c r="DV12" s="88" t="str">
        <f t="shared" ca="1" si="28"/>
        <v/>
      </c>
      <c r="DW12" s="88" t="str">
        <f t="shared" ca="1" si="28"/>
        <v/>
      </c>
      <c r="DX12" s="88" t="str">
        <f t="shared" ca="1" si="28"/>
        <v/>
      </c>
      <c r="DY12" s="88" t="str">
        <f t="shared" ca="1" si="28"/>
        <v/>
      </c>
      <c r="DZ12" s="88" t="str">
        <f t="shared" ca="1" si="28"/>
        <v/>
      </c>
      <c r="EA12" s="88" t="str">
        <f t="shared" ca="1" si="28"/>
        <v/>
      </c>
      <c r="EB12" s="88" t="str">
        <f t="shared" ca="1" si="28"/>
        <v/>
      </c>
      <c r="EC12" s="88" t="str">
        <f t="shared" ca="1" si="28"/>
        <v/>
      </c>
      <c r="ED12" s="88" t="str">
        <f t="shared" ca="1" si="28"/>
        <v/>
      </c>
      <c r="EE12" s="88" t="str">
        <f t="shared" ca="1" si="28"/>
        <v/>
      </c>
      <c r="EF12" s="88" t="str">
        <f t="shared" ca="1" si="29"/>
        <v/>
      </c>
      <c r="EG12" s="88" t="str">
        <f t="shared" ca="1" si="29"/>
        <v/>
      </c>
      <c r="EH12" s="88" t="str">
        <f t="shared" ca="1" si="29"/>
        <v/>
      </c>
      <c r="EI12" s="88" t="str">
        <f t="shared" ca="1" si="29"/>
        <v/>
      </c>
      <c r="EJ12" s="9" t="str">
        <f t="shared" ca="1" si="29"/>
        <v/>
      </c>
      <c r="EK12" s="9" t="str">
        <f t="shared" ca="1" si="29"/>
        <v/>
      </c>
      <c r="EL12" s="9" t="str">
        <f t="shared" ca="1" si="24"/>
        <v/>
      </c>
      <c r="EM12" s="9" t="str">
        <f t="shared" ca="1" si="24"/>
        <v/>
      </c>
      <c r="EN12" s="9" t="str">
        <f t="shared" ca="1" si="24"/>
        <v/>
      </c>
      <c r="EO12" s="9" t="str">
        <f t="shared" ca="1" si="24"/>
        <v/>
      </c>
      <c r="EP12" s="9" t="str">
        <f t="shared" ca="1" si="24"/>
        <v/>
      </c>
      <c r="EQ12" s="9" t="str">
        <f t="shared" ca="1" si="24"/>
        <v/>
      </c>
      <c r="ER12" s="9" t="str">
        <f t="shared" ca="1" si="24"/>
        <v/>
      </c>
      <c r="ES12" s="9" t="str">
        <f t="shared" ca="1" si="24"/>
        <v/>
      </c>
      <c r="ET12" s="9" t="str">
        <f t="shared" ca="1" si="24"/>
        <v/>
      </c>
      <c r="EU12" s="9" t="str">
        <f t="shared" ca="1" si="24"/>
        <v/>
      </c>
      <c r="EV12" s="9" t="str">
        <f t="shared" ca="1" si="24"/>
        <v/>
      </c>
      <c r="EW12" s="9" t="str">
        <f t="shared" ca="1" si="24"/>
        <v/>
      </c>
      <c r="EX12" s="9" t="str">
        <f t="shared" ca="1" si="24"/>
        <v/>
      </c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</row>
    <row r="13" spans="2:252">
      <c r="B13" s="112" t="s">
        <v>263</v>
      </c>
      <c r="C13" s="18" t="s">
        <v>273</v>
      </c>
      <c r="D13" s="18"/>
      <c r="E13" s="19">
        <v>46269</v>
      </c>
      <c r="F13" s="18">
        <f>NETWORKDAYS(E13,G13,Праздники!$A$1:$A$14)</f>
        <v>6</v>
      </c>
      <c r="G13" s="19">
        <v>46276</v>
      </c>
      <c r="H13" s="20">
        <v>0.1</v>
      </c>
      <c r="I13" s="18" t="s">
        <v>156</v>
      </c>
      <c r="J13" s="35" t="s">
        <v>160</v>
      </c>
      <c r="K13" s="35" t="s">
        <v>151</v>
      </c>
      <c r="L13" s="35"/>
      <c r="M13" s="35"/>
      <c r="N13" s="35"/>
      <c r="O13" s="35"/>
      <c r="P13" s="87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  <c r="DL13" s="88"/>
      <c r="DM13" s="88"/>
      <c r="DN13" s="88"/>
      <c r="DO13" s="88"/>
      <c r="DP13" s="88"/>
      <c r="DQ13" s="88"/>
      <c r="DR13" s="88"/>
      <c r="DS13" s="88"/>
      <c r="DT13" s="88"/>
      <c r="DU13" s="88"/>
      <c r="DV13" s="88"/>
      <c r="DW13" s="88"/>
      <c r="DX13" s="88"/>
      <c r="DY13" s="88"/>
      <c r="DZ13" s="88"/>
      <c r="EA13" s="88"/>
      <c r="EB13" s="88"/>
      <c r="EC13" s="88"/>
      <c r="ED13" s="88"/>
      <c r="EE13" s="88"/>
      <c r="EF13" s="88"/>
      <c r="EG13" s="88"/>
      <c r="EH13" s="88"/>
      <c r="EI13" s="88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</row>
    <row r="14" spans="2:252">
      <c r="B14" s="112" t="s">
        <v>263</v>
      </c>
      <c r="C14" s="18" t="s">
        <v>265</v>
      </c>
      <c r="D14" s="18"/>
      <c r="E14" s="19">
        <v>46269</v>
      </c>
      <c r="F14" s="18">
        <f>NETWORKDAYS(E14,G14,Праздники!$A$1:$A$14)</f>
        <v>6</v>
      </c>
      <c r="G14" s="19">
        <v>46276</v>
      </c>
      <c r="H14" s="20">
        <v>1</v>
      </c>
      <c r="I14" s="18" t="s">
        <v>183</v>
      </c>
      <c r="J14" s="18" t="s">
        <v>183</v>
      </c>
      <c r="K14" s="35" t="s">
        <v>151</v>
      </c>
      <c r="L14" s="35" t="s">
        <v>266</v>
      </c>
      <c r="M14" s="35"/>
      <c r="N14" s="35" t="s">
        <v>301</v>
      </c>
      <c r="O14" s="35"/>
      <c r="P14" s="87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88"/>
      <c r="DB14" s="88"/>
      <c r="DC14" s="88"/>
      <c r="DD14" s="88"/>
      <c r="DE14" s="88"/>
      <c r="DF14" s="88"/>
      <c r="DG14" s="88"/>
      <c r="DH14" s="88"/>
      <c r="DI14" s="88"/>
      <c r="DJ14" s="88"/>
      <c r="DK14" s="88"/>
      <c r="DL14" s="88"/>
      <c r="DM14" s="88"/>
      <c r="DN14" s="88"/>
      <c r="DO14" s="88"/>
      <c r="DP14" s="88"/>
      <c r="DQ14" s="88"/>
      <c r="DR14" s="88"/>
      <c r="DS14" s="88"/>
      <c r="DT14" s="88"/>
      <c r="DU14" s="88"/>
      <c r="DV14" s="88"/>
      <c r="DW14" s="88"/>
      <c r="DX14" s="88"/>
      <c r="DY14" s="88"/>
      <c r="DZ14" s="88"/>
      <c r="EA14" s="88"/>
      <c r="EB14" s="88"/>
      <c r="EC14" s="88"/>
      <c r="ED14" s="88"/>
      <c r="EE14" s="88"/>
      <c r="EF14" s="88"/>
      <c r="EG14" s="88"/>
      <c r="EH14" s="88"/>
      <c r="EI14" s="88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</row>
    <row r="15" spans="2:252">
      <c r="B15" s="112" t="s">
        <v>264</v>
      </c>
      <c r="C15" s="18" t="s">
        <v>11</v>
      </c>
      <c r="D15" s="18" t="s">
        <v>17</v>
      </c>
      <c r="E15" s="19">
        <v>46133</v>
      </c>
      <c r="F15" s="18">
        <f>NETWORKDAYS(E15,G15,Праздники!$A$1:$A$14)</f>
        <v>6</v>
      </c>
      <c r="G15" s="19">
        <v>46140</v>
      </c>
      <c r="H15" s="20">
        <v>1</v>
      </c>
      <c r="I15" s="18" t="s">
        <v>208</v>
      </c>
      <c r="J15" s="35" t="s">
        <v>172</v>
      </c>
      <c r="K15" s="35" t="s">
        <v>151</v>
      </c>
      <c r="L15" s="35" t="s">
        <v>267</v>
      </c>
      <c r="M15" s="35"/>
      <c r="N15" s="35"/>
      <c r="O15" s="35"/>
      <c r="P15" s="87" t="str">
        <f t="shared" ca="1" si="20"/>
        <v/>
      </c>
      <c r="Q15" s="88" t="str">
        <f t="shared" ca="1" si="20"/>
        <v/>
      </c>
      <c r="R15" s="88" t="str">
        <f t="shared" ca="1" si="20"/>
        <v/>
      </c>
      <c r="S15" s="88" t="str">
        <f t="shared" ca="1" si="20"/>
        <v/>
      </c>
      <c r="T15" s="88" t="str">
        <f t="shared" ca="1" si="20"/>
        <v/>
      </c>
      <c r="U15" s="88" t="str">
        <f t="shared" ca="1" si="20"/>
        <v/>
      </c>
      <c r="V15" s="88" t="str">
        <f t="shared" ca="1" si="20"/>
        <v/>
      </c>
      <c r="W15" s="88" t="str">
        <f t="shared" ca="1" si="20"/>
        <v/>
      </c>
      <c r="X15" s="88" t="str">
        <f t="shared" ca="1" si="20"/>
        <v/>
      </c>
      <c r="Y15" s="88" t="str">
        <f t="shared" ca="1" si="20"/>
        <v/>
      </c>
      <c r="Z15" s="88" t="str">
        <f t="shared" ca="1" si="20"/>
        <v/>
      </c>
      <c r="AA15" s="88" t="str">
        <f t="shared" ca="1" si="20"/>
        <v/>
      </c>
      <c r="AB15" s="88" t="str">
        <f t="shared" ca="1" si="20"/>
        <v/>
      </c>
      <c r="AC15" s="88" t="str">
        <f t="shared" ca="1" si="20"/>
        <v/>
      </c>
      <c r="AD15" s="88" t="str">
        <f t="shared" ca="1" si="20"/>
        <v/>
      </c>
      <c r="AE15" s="88" t="str">
        <f t="shared" ca="1" si="20"/>
        <v/>
      </c>
      <c r="AF15" s="88" t="str">
        <f t="shared" ref="AF15:BK15" ca="1" si="30">IF(AF$8=TODAY(),CHAR(124),"")</f>
        <v/>
      </c>
      <c r="AG15" s="88" t="str">
        <f t="shared" ca="1" si="30"/>
        <v/>
      </c>
      <c r="AH15" s="88" t="str">
        <f t="shared" ca="1" si="30"/>
        <v/>
      </c>
      <c r="AI15" s="88" t="str">
        <f t="shared" ca="1" si="30"/>
        <v/>
      </c>
      <c r="AJ15" s="88" t="str">
        <f t="shared" ca="1" si="30"/>
        <v/>
      </c>
      <c r="AK15" s="88" t="str">
        <f t="shared" ca="1" si="30"/>
        <v/>
      </c>
      <c r="AL15" s="88" t="str">
        <f t="shared" ca="1" si="30"/>
        <v/>
      </c>
      <c r="AM15" s="88" t="str">
        <f t="shared" ca="1" si="30"/>
        <v/>
      </c>
      <c r="AN15" s="88" t="str">
        <f t="shared" ca="1" si="30"/>
        <v/>
      </c>
      <c r="AO15" s="88" t="str">
        <f t="shared" ca="1" si="30"/>
        <v/>
      </c>
      <c r="AP15" s="88" t="str">
        <f t="shared" ca="1" si="30"/>
        <v/>
      </c>
      <c r="AQ15" s="88" t="str">
        <f t="shared" ca="1" si="30"/>
        <v/>
      </c>
      <c r="AR15" s="88" t="str">
        <f t="shared" ca="1" si="30"/>
        <v/>
      </c>
      <c r="AS15" s="88" t="str">
        <f t="shared" ca="1" si="30"/>
        <v/>
      </c>
      <c r="AT15" s="88" t="str">
        <f t="shared" ca="1" si="30"/>
        <v/>
      </c>
      <c r="AU15" s="88" t="str">
        <f t="shared" ca="1" si="30"/>
        <v/>
      </c>
      <c r="AV15" s="88" t="str">
        <f t="shared" ca="1" si="30"/>
        <v/>
      </c>
      <c r="AW15" s="88" t="str">
        <f t="shared" ca="1" si="30"/>
        <v/>
      </c>
      <c r="AX15" s="88" t="str">
        <f t="shared" ca="1" si="30"/>
        <v/>
      </c>
      <c r="AY15" s="88" t="str">
        <f t="shared" ca="1" si="30"/>
        <v/>
      </c>
      <c r="AZ15" s="88" t="str">
        <f t="shared" ca="1" si="30"/>
        <v/>
      </c>
      <c r="BA15" s="88" t="str">
        <f t="shared" ca="1" si="30"/>
        <v/>
      </c>
      <c r="BB15" s="88" t="str">
        <f t="shared" ca="1" si="30"/>
        <v/>
      </c>
      <c r="BC15" s="88" t="str">
        <f t="shared" ca="1" si="30"/>
        <v/>
      </c>
      <c r="BD15" s="88" t="str">
        <f t="shared" ca="1" si="30"/>
        <v/>
      </c>
      <c r="BE15" s="88" t="str">
        <f t="shared" ca="1" si="30"/>
        <v/>
      </c>
      <c r="BF15" s="88" t="str">
        <f t="shared" ca="1" si="30"/>
        <v/>
      </c>
      <c r="BG15" s="88" t="str">
        <f t="shared" ca="1" si="30"/>
        <v/>
      </c>
      <c r="BH15" s="88" t="str">
        <f t="shared" ca="1" si="30"/>
        <v/>
      </c>
      <c r="BI15" s="88" t="str">
        <f t="shared" ca="1" si="30"/>
        <v/>
      </c>
      <c r="BJ15" s="88" t="str">
        <f t="shared" ca="1" si="30"/>
        <v/>
      </c>
      <c r="BK15" s="88" t="str">
        <f t="shared" ca="1" si="30"/>
        <v/>
      </c>
      <c r="BL15" s="88" t="str">
        <f t="shared" ref="BL15:CP15" ca="1" si="31">IF(BL$8=TODAY(),CHAR(124),"")</f>
        <v/>
      </c>
      <c r="BM15" s="88" t="str">
        <f t="shared" ca="1" si="31"/>
        <v/>
      </c>
      <c r="BN15" s="88" t="str">
        <f t="shared" ca="1" si="31"/>
        <v/>
      </c>
      <c r="BO15" s="88" t="str">
        <f t="shared" ca="1" si="31"/>
        <v/>
      </c>
      <c r="BP15" s="88" t="str">
        <f t="shared" ca="1" si="31"/>
        <v/>
      </c>
      <c r="BQ15" s="88" t="str">
        <f t="shared" ca="1" si="31"/>
        <v/>
      </c>
      <c r="BR15" s="88" t="str">
        <f t="shared" ca="1" si="31"/>
        <v/>
      </c>
      <c r="BS15" s="88" t="str">
        <f t="shared" ca="1" si="31"/>
        <v/>
      </c>
      <c r="BT15" s="88" t="str">
        <f t="shared" ca="1" si="31"/>
        <v/>
      </c>
      <c r="BU15" s="88" t="str">
        <f t="shared" ca="1" si="31"/>
        <v/>
      </c>
      <c r="BV15" s="88" t="str">
        <f t="shared" ca="1" si="31"/>
        <v/>
      </c>
      <c r="BW15" s="88" t="str">
        <f t="shared" ca="1" si="31"/>
        <v/>
      </c>
      <c r="BX15" s="88" t="str">
        <f t="shared" ca="1" si="31"/>
        <v/>
      </c>
      <c r="BY15" s="88" t="str">
        <f t="shared" ca="1" si="31"/>
        <v/>
      </c>
      <c r="BZ15" s="88" t="str">
        <f t="shared" ca="1" si="31"/>
        <v/>
      </c>
      <c r="CA15" s="88" t="str">
        <f t="shared" ca="1" si="31"/>
        <v/>
      </c>
      <c r="CB15" s="88" t="str">
        <f t="shared" ca="1" si="31"/>
        <v/>
      </c>
      <c r="CC15" s="88" t="str">
        <f t="shared" ca="1" si="31"/>
        <v/>
      </c>
      <c r="CD15" s="88" t="str">
        <f t="shared" ca="1" si="31"/>
        <v/>
      </c>
      <c r="CE15" s="88" t="str">
        <f t="shared" ca="1" si="31"/>
        <v/>
      </c>
      <c r="CF15" s="88" t="str">
        <f t="shared" ca="1" si="31"/>
        <v/>
      </c>
      <c r="CG15" s="88" t="str">
        <f t="shared" ca="1" si="31"/>
        <v/>
      </c>
      <c r="CH15" s="88" t="str">
        <f t="shared" ca="1" si="31"/>
        <v/>
      </c>
      <c r="CI15" s="88" t="str">
        <f t="shared" ca="1" si="31"/>
        <v/>
      </c>
      <c r="CJ15" s="88" t="str">
        <f t="shared" ca="1" si="31"/>
        <v/>
      </c>
      <c r="CK15" s="88" t="str">
        <f t="shared" ca="1" si="31"/>
        <v/>
      </c>
      <c r="CL15" s="88" t="str">
        <f t="shared" ca="1" si="31"/>
        <v/>
      </c>
      <c r="CM15" s="88" t="str">
        <f t="shared" ca="1" si="31"/>
        <v/>
      </c>
      <c r="CN15" s="88" t="str">
        <f t="shared" ca="1" si="31"/>
        <v/>
      </c>
      <c r="CO15" s="88" t="str">
        <f t="shared" ca="1" si="31"/>
        <v/>
      </c>
      <c r="CP15" s="88" t="str">
        <f t="shared" ca="1" si="31"/>
        <v/>
      </c>
      <c r="CQ15" s="88" t="str">
        <f ca="1">IF(CQ$8=TODAY(),CHAR(124),"")</f>
        <v/>
      </c>
      <c r="CR15" s="88" t="str">
        <f t="shared" ca="1" si="25"/>
        <v/>
      </c>
      <c r="CS15" s="88" t="str">
        <f t="shared" ca="1" si="25"/>
        <v/>
      </c>
      <c r="CT15" s="88" t="str">
        <f t="shared" ca="1" si="25"/>
        <v/>
      </c>
      <c r="CU15" s="88" t="str">
        <f t="shared" ca="1" si="25"/>
        <v/>
      </c>
      <c r="CV15" s="88" t="str">
        <f t="shared" ca="1" si="25"/>
        <v/>
      </c>
      <c r="CW15" s="88" t="str">
        <f t="shared" ca="1" si="25"/>
        <v/>
      </c>
      <c r="CX15" s="88" t="str">
        <f t="shared" ca="1" si="25"/>
        <v/>
      </c>
      <c r="CY15" s="88" t="str">
        <f t="shared" ca="1" si="25"/>
        <v/>
      </c>
      <c r="CZ15" s="88" t="str">
        <f t="shared" ca="1" si="25"/>
        <v/>
      </c>
      <c r="DA15" s="88" t="str">
        <f t="shared" ca="1" si="25"/>
        <v/>
      </c>
      <c r="DB15" s="88" t="str">
        <f t="shared" ca="1" si="26"/>
        <v/>
      </c>
      <c r="DC15" s="88" t="str">
        <f t="shared" ca="1" si="26"/>
        <v/>
      </c>
      <c r="DD15" s="88" t="str">
        <f t="shared" ca="1" si="26"/>
        <v/>
      </c>
      <c r="DE15" s="88" t="str">
        <f t="shared" ca="1" si="26"/>
        <v/>
      </c>
      <c r="DF15" s="88" t="str">
        <f t="shared" ca="1" si="26"/>
        <v/>
      </c>
      <c r="DG15" s="88" t="str">
        <f t="shared" ca="1" si="26"/>
        <v/>
      </c>
      <c r="DH15" s="88" t="str">
        <f t="shared" ca="1" si="26"/>
        <v/>
      </c>
      <c r="DI15" s="88" t="str">
        <f t="shared" ca="1" si="26"/>
        <v/>
      </c>
      <c r="DJ15" s="88" t="str">
        <f t="shared" ca="1" si="26"/>
        <v/>
      </c>
      <c r="DK15" s="88" t="str">
        <f t="shared" ca="1" si="26"/>
        <v/>
      </c>
      <c r="DL15" s="88" t="str">
        <f t="shared" ca="1" si="27"/>
        <v/>
      </c>
      <c r="DM15" s="88" t="str">
        <f t="shared" ca="1" si="27"/>
        <v/>
      </c>
      <c r="DN15" s="88" t="str">
        <f t="shared" ca="1" si="27"/>
        <v/>
      </c>
      <c r="DO15" s="88" t="str">
        <f t="shared" ca="1" si="27"/>
        <v/>
      </c>
      <c r="DP15" s="88" t="str">
        <f t="shared" ca="1" si="27"/>
        <v/>
      </c>
      <c r="DQ15" s="88" t="str">
        <f t="shared" ca="1" si="27"/>
        <v/>
      </c>
      <c r="DR15" s="88" t="str">
        <f t="shared" ca="1" si="27"/>
        <v/>
      </c>
      <c r="DS15" s="88" t="str">
        <f t="shared" ca="1" si="27"/>
        <v/>
      </c>
      <c r="DT15" s="88" t="str">
        <f t="shared" ca="1" si="27"/>
        <v/>
      </c>
      <c r="DU15" s="88" t="str">
        <f t="shared" ca="1" si="27"/>
        <v/>
      </c>
      <c r="DV15" s="88" t="str">
        <f t="shared" ca="1" si="28"/>
        <v/>
      </c>
      <c r="DW15" s="88" t="str">
        <f t="shared" ca="1" si="28"/>
        <v/>
      </c>
      <c r="DX15" s="88" t="str">
        <f t="shared" ca="1" si="28"/>
        <v/>
      </c>
      <c r="DY15" s="88" t="str">
        <f t="shared" ca="1" si="28"/>
        <v/>
      </c>
      <c r="DZ15" s="88" t="str">
        <f t="shared" ca="1" si="28"/>
        <v/>
      </c>
      <c r="EA15" s="88" t="str">
        <f t="shared" ca="1" si="28"/>
        <v/>
      </c>
      <c r="EB15" s="88" t="str">
        <f t="shared" ca="1" si="28"/>
        <v/>
      </c>
      <c r="EC15" s="88" t="str">
        <f t="shared" ca="1" si="28"/>
        <v/>
      </c>
      <c r="ED15" s="88" t="str">
        <f t="shared" ca="1" si="28"/>
        <v/>
      </c>
      <c r="EE15" s="88" t="str">
        <f t="shared" ca="1" si="28"/>
        <v/>
      </c>
      <c r="EF15" s="88" t="str">
        <f t="shared" ca="1" si="29"/>
        <v/>
      </c>
      <c r="EG15" s="88" t="str">
        <f t="shared" ca="1" si="29"/>
        <v/>
      </c>
      <c r="EH15" s="88" t="str">
        <f t="shared" ca="1" si="29"/>
        <v/>
      </c>
      <c r="EI15" s="88" t="str">
        <f t="shared" ca="1" si="29"/>
        <v/>
      </c>
      <c r="EJ15" s="9" t="str">
        <f t="shared" ca="1" si="29"/>
        <v/>
      </c>
      <c r="EK15" s="9" t="str">
        <f t="shared" ca="1" si="29"/>
        <v/>
      </c>
      <c r="EL15" s="9" t="str">
        <f t="shared" ca="1" si="24"/>
        <v/>
      </c>
      <c r="EM15" s="9" t="str">
        <f t="shared" ca="1" si="24"/>
        <v/>
      </c>
      <c r="EN15" s="9" t="str">
        <f t="shared" ca="1" si="24"/>
        <v/>
      </c>
      <c r="EO15" s="9" t="str">
        <f t="shared" ca="1" si="24"/>
        <v/>
      </c>
      <c r="EP15" s="9" t="str">
        <f t="shared" ca="1" si="24"/>
        <v/>
      </c>
      <c r="EQ15" s="9" t="str">
        <f t="shared" ca="1" si="24"/>
        <v/>
      </c>
      <c r="ER15" s="9" t="str">
        <f t="shared" ca="1" si="24"/>
        <v/>
      </c>
      <c r="ES15" s="9" t="str">
        <f t="shared" ca="1" si="24"/>
        <v/>
      </c>
      <c r="ET15" s="9" t="str">
        <f t="shared" ca="1" si="24"/>
        <v/>
      </c>
      <c r="EU15" s="9" t="str">
        <f t="shared" ca="1" si="24"/>
        <v/>
      </c>
      <c r="EV15" s="9" t="str">
        <f t="shared" ca="1" si="24"/>
        <v/>
      </c>
      <c r="EW15" s="9" t="str">
        <f t="shared" ca="1" si="24"/>
        <v/>
      </c>
      <c r="EX15" s="9" t="str">
        <f t="shared" ca="1" si="24"/>
        <v/>
      </c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</row>
    <row r="16" spans="2:252">
      <c r="B16" s="112" t="s">
        <v>270</v>
      </c>
      <c r="C16" s="18" t="s">
        <v>272</v>
      </c>
      <c r="D16" s="18"/>
      <c r="E16" s="19">
        <v>46269</v>
      </c>
      <c r="F16" s="18">
        <f>NETWORKDAYS(E16,G16,Праздники!$A$1:$A$14)</f>
        <v>6</v>
      </c>
      <c r="G16" s="19">
        <v>46276</v>
      </c>
      <c r="H16" s="20">
        <v>0.1</v>
      </c>
      <c r="I16" s="18" t="s">
        <v>156</v>
      </c>
      <c r="J16" s="35" t="s">
        <v>160</v>
      </c>
      <c r="K16" s="35" t="s">
        <v>151</v>
      </c>
      <c r="L16" s="35"/>
      <c r="M16" s="35"/>
      <c r="N16" s="35"/>
      <c r="O16" s="35"/>
      <c r="P16" s="87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8"/>
      <c r="DQ16" s="88"/>
      <c r="DR16" s="88"/>
      <c r="DS16" s="88"/>
      <c r="DT16" s="88"/>
      <c r="DU16" s="88"/>
      <c r="DV16" s="88"/>
      <c r="DW16" s="88"/>
      <c r="DX16" s="88"/>
      <c r="DY16" s="88"/>
      <c r="DZ16" s="88"/>
      <c r="EA16" s="88"/>
      <c r="EB16" s="88"/>
      <c r="EC16" s="88"/>
      <c r="ED16" s="88"/>
      <c r="EE16" s="88"/>
      <c r="EF16" s="88"/>
      <c r="EG16" s="88"/>
      <c r="EH16" s="88"/>
      <c r="EI16" s="88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</row>
    <row r="17" spans="2:252">
      <c r="B17" s="112" t="s">
        <v>274</v>
      </c>
      <c r="C17" s="18" t="s">
        <v>302</v>
      </c>
      <c r="D17" s="18" t="s">
        <v>17</v>
      </c>
      <c r="E17" s="19">
        <v>46133</v>
      </c>
      <c r="F17" s="18">
        <f>NETWORKDAYS(E17,G17,Праздники!$A$1:$A$14)</f>
        <v>6</v>
      </c>
      <c r="G17" s="19">
        <v>46140</v>
      </c>
      <c r="H17" s="20">
        <v>1</v>
      </c>
      <c r="I17" s="18" t="s">
        <v>149</v>
      </c>
      <c r="J17" s="35" t="s">
        <v>172</v>
      </c>
      <c r="K17" s="35" t="s">
        <v>268</v>
      </c>
      <c r="L17" s="35" t="s">
        <v>268</v>
      </c>
      <c r="M17" s="123" t="s">
        <v>209</v>
      </c>
      <c r="N17" s="123"/>
      <c r="O17" s="35"/>
      <c r="P17" s="87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88"/>
      <c r="DN17" s="88"/>
      <c r="DO17" s="88"/>
      <c r="DP17" s="88"/>
      <c r="DQ17" s="88"/>
      <c r="DR17" s="88"/>
      <c r="DS17" s="88"/>
      <c r="DT17" s="88"/>
      <c r="DU17" s="88"/>
      <c r="DV17" s="88"/>
      <c r="DW17" s="88"/>
      <c r="DX17" s="88"/>
      <c r="DY17" s="88"/>
      <c r="DZ17" s="88"/>
      <c r="EA17" s="88"/>
      <c r="EB17" s="88"/>
      <c r="EC17" s="88"/>
      <c r="ED17" s="88"/>
      <c r="EE17" s="88"/>
      <c r="EF17" s="88"/>
      <c r="EG17" s="88"/>
      <c r="EH17" s="88"/>
      <c r="EI17" s="88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</row>
    <row r="18" spans="2:252">
      <c r="B18" s="112" t="s">
        <v>275</v>
      </c>
      <c r="C18" s="18" t="s">
        <v>280</v>
      </c>
      <c r="D18" s="18"/>
      <c r="E18" s="19"/>
      <c r="F18" s="18"/>
      <c r="G18" s="19"/>
      <c r="H18" s="20"/>
      <c r="I18" s="18"/>
      <c r="J18" s="35"/>
      <c r="K18" s="35"/>
      <c r="L18" s="35"/>
      <c r="M18" s="35"/>
      <c r="N18" s="35"/>
      <c r="O18" s="35"/>
      <c r="P18" s="87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8"/>
      <c r="CO18" s="88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8"/>
      <c r="DA18" s="88"/>
      <c r="DB18" s="88"/>
      <c r="DC18" s="88"/>
      <c r="DD18" s="88"/>
      <c r="DE18" s="88"/>
      <c r="DF18" s="88"/>
      <c r="DG18" s="88"/>
      <c r="DH18" s="88"/>
      <c r="DI18" s="88"/>
      <c r="DJ18" s="88"/>
      <c r="DK18" s="88"/>
      <c r="DL18" s="88"/>
      <c r="DM18" s="88"/>
      <c r="DN18" s="88"/>
      <c r="DO18" s="88"/>
      <c r="DP18" s="88"/>
      <c r="DQ18" s="88"/>
      <c r="DR18" s="88"/>
      <c r="DS18" s="88"/>
      <c r="DT18" s="88"/>
      <c r="DU18" s="88"/>
      <c r="DV18" s="88"/>
      <c r="DW18" s="88"/>
      <c r="DX18" s="88"/>
      <c r="DY18" s="88"/>
      <c r="DZ18" s="88"/>
      <c r="EA18" s="88"/>
      <c r="EB18" s="88"/>
      <c r="EC18" s="88"/>
      <c r="ED18" s="88"/>
      <c r="EE18" s="88"/>
      <c r="EF18" s="88"/>
      <c r="EG18" s="88"/>
      <c r="EH18" s="88"/>
      <c r="EI18" s="88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</row>
    <row r="19" spans="2:252">
      <c r="B19" s="112" t="s">
        <v>276</v>
      </c>
      <c r="C19" s="18" t="s">
        <v>284</v>
      </c>
      <c r="D19" s="18"/>
      <c r="E19" s="19"/>
      <c r="F19" s="18"/>
      <c r="G19" s="19"/>
      <c r="H19" s="20"/>
      <c r="I19" s="18"/>
      <c r="J19" s="35"/>
      <c r="K19" s="35"/>
      <c r="L19" s="35"/>
      <c r="M19" s="35"/>
      <c r="N19" s="35"/>
      <c r="O19" s="35"/>
      <c r="P19" s="87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8"/>
      <c r="DA19" s="88"/>
      <c r="DB19" s="88"/>
      <c r="DC19" s="88"/>
      <c r="DD19" s="88"/>
      <c r="DE19" s="88"/>
      <c r="DF19" s="88"/>
      <c r="DG19" s="88"/>
      <c r="DH19" s="88"/>
      <c r="DI19" s="88"/>
      <c r="DJ19" s="88"/>
      <c r="DK19" s="88"/>
      <c r="DL19" s="88"/>
      <c r="DM19" s="88"/>
      <c r="DN19" s="88"/>
      <c r="DO19" s="88"/>
      <c r="DP19" s="88"/>
      <c r="DQ19" s="88"/>
      <c r="DR19" s="88"/>
      <c r="DS19" s="88"/>
      <c r="DT19" s="88"/>
      <c r="DU19" s="88"/>
      <c r="DV19" s="88"/>
      <c r="DW19" s="88"/>
      <c r="DX19" s="88"/>
      <c r="DY19" s="88"/>
      <c r="DZ19" s="88"/>
      <c r="EA19" s="88"/>
      <c r="EB19" s="88"/>
      <c r="EC19" s="88"/>
      <c r="ED19" s="88"/>
      <c r="EE19" s="88"/>
      <c r="EF19" s="88"/>
      <c r="EG19" s="88"/>
      <c r="EH19" s="88"/>
      <c r="EI19" s="88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</row>
    <row r="20" spans="2:252">
      <c r="B20" s="112" t="s">
        <v>277</v>
      </c>
      <c r="C20" s="18" t="s">
        <v>278</v>
      </c>
      <c r="D20" s="18"/>
      <c r="E20" s="19"/>
      <c r="F20" s="18"/>
      <c r="G20" s="19"/>
      <c r="H20" s="20"/>
      <c r="I20" s="18"/>
      <c r="J20" s="35"/>
      <c r="K20" s="35"/>
      <c r="L20" s="35"/>
      <c r="M20" s="35"/>
      <c r="N20" s="35"/>
      <c r="O20" s="35"/>
      <c r="P20" s="87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88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8"/>
      <c r="DA20" s="88"/>
      <c r="DB20" s="88"/>
      <c r="DC20" s="88"/>
      <c r="DD20" s="88"/>
      <c r="DE20" s="88"/>
      <c r="DF20" s="88"/>
      <c r="DG20" s="88"/>
      <c r="DH20" s="88"/>
      <c r="DI20" s="88"/>
      <c r="DJ20" s="88"/>
      <c r="DK20" s="88"/>
      <c r="DL20" s="88"/>
      <c r="DM20" s="88"/>
      <c r="DN20" s="88"/>
      <c r="DO20" s="88"/>
      <c r="DP20" s="88"/>
      <c r="DQ20" s="88"/>
      <c r="DR20" s="88"/>
      <c r="DS20" s="88"/>
      <c r="DT20" s="88"/>
      <c r="DU20" s="88"/>
      <c r="DV20" s="88"/>
      <c r="DW20" s="88"/>
      <c r="DX20" s="88"/>
      <c r="DY20" s="88"/>
      <c r="DZ20" s="88"/>
      <c r="EA20" s="88"/>
      <c r="EB20" s="88"/>
      <c r="EC20" s="88"/>
      <c r="ED20" s="88"/>
      <c r="EE20" s="88"/>
      <c r="EF20" s="88"/>
      <c r="EG20" s="88"/>
      <c r="EH20" s="88"/>
      <c r="EI20" s="88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</row>
    <row r="21" spans="2:252">
      <c r="B21" s="112" t="s">
        <v>286</v>
      </c>
      <c r="C21" s="18" t="s">
        <v>285</v>
      </c>
      <c r="D21" s="18"/>
      <c r="E21" s="19">
        <v>46133</v>
      </c>
      <c r="F21" s="18">
        <f>NETWORKDAYS(E21,G21,Праздники!$A$1:$A$14)</f>
        <v>6</v>
      </c>
      <c r="G21" s="19">
        <v>46140</v>
      </c>
      <c r="H21" s="20">
        <v>1</v>
      </c>
      <c r="I21" s="18" t="s">
        <v>149</v>
      </c>
      <c r="J21" s="18" t="s">
        <v>149</v>
      </c>
      <c r="K21" s="35"/>
      <c r="L21" s="35" t="s">
        <v>119</v>
      </c>
      <c r="M21" s="35"/>
      <c r="N21" s="35"/>
      <c r="O21" s="35"/>
      <c r="P21" s="87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I21" s="88"/>
      <c r="CJ21" s="88"/>
      <c r="CK21" s="88"/>
      <c r="CL21" s="88"/>
      <c r="CM21" s="8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88"/>
      <c r="DB21" s="88"/>
      <c r="DC21" s="88"/>
      <c r="DD21" s="88"/>
      <c r="DE21" s="88"/>
      <c r="DF21" s="88"/>
      <c r="DG21" s="88"/>
      <c r="DH21" s="88"/>
      <c r="DI21" s="88"/>
      <c r="DJ21" s="88"/>
      <c r="DK21" s="88"/>
      <c r="DL21" s="88"/>
      <c r="DM21" s="88"/>
      <c r="DN21" s="88"/>
      <c r="DO21" s="88"/>
      <c r="DP21" s="88"/>
      <c r="DQ21" s="88"/>
      <c r="DR21" s="88"/>
      <c r="DS21" s="88"/>
      <c r="DT21" s="88"/>
      <c r="DU21" s="88"/>
      <c r="DV21" s="88"/>
      <c r="DW21" s="88"/>
      <c r="DX21" s="88"/>
      <c r="DY21" s="88"/>
      <c r="DZ21" s="88"/>
      <c r="EA21" s="88"/>
      <c r="EB21" s="88"/>
      <c r="EC21" s="88"/>
      <c r="ED21" s="88"/>
      <c r="EE21" s="88"/>
      <c r="EF21" s="88"/>
      <c r="EG21" s="88"/>
      <c r="EH21" s="88"/>
      <c r="EI21" s="88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</row>
    <row r="22" spans="2:252">
      <c r="B22" s="112" t="s">
        <v>271</v>
      </c>
      <c r="C22" s="18" t="s">
        <v>269</v>
      </c>
      <c r="D22" s="18"/>
      <c r="E22" s="19">
        <v>46269</v>
      </c>
      <c r="F22" s="18">
        <f>NETWORKDAYS(E22,G22,Праздники!$A$1:$A$14)</f>
        <v>6</v>
      </c>
      <c r="G22" s="19">
        <v>46276</v>
      </c>
      <c r="H22" s="20">
        <v>1</v>
      </c>
      <c r="I22" s="18" t="s">
        <v>183</v>
      </c>
      <c r="J22" s="18" t="s">
        <v>183</v>
      </c>
      <c r="K22" s="35" t="s">
        <v>151</v>
      </c>
      <c r="L22" s="35" t="s">
        <v>266</v>
      </c>
      <c r="M22" s="35"/>
      <c r="N22" s="35"/>
      <c r="O22" s="35"/>
      <c r="P22" s="87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  <c r="CG22" s="88"/>
      <c r="CH22" s="88"/>
      <c r="CI22" s="8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88"/>
      <c r="DB22" s="88"/>
      <c r="DC22" s="88"/>
      <c r="DD22" s="88"/>
      <c r="DE22" s="88"/>
      <c r="DF22" s="88"/>
      <c r="DG22" s="88"/>
      <c r="DH22" s="88"/>
      <c r="DI22" s="88"/>
      <c r="DJ22" s="88"/>
      <c r="DK22" s="88"/>
      <c r="DL22" s="88"/>
      <c r="DM22" s="88"/>
      <c r="DN22" s="88"/>
      <c r="DO22" s="88"/>
      <c r="DP22" s="88"/>
      <c r="DQ22" s="88"/>
      <c r="DR22" s="88"/>
      <c r="DS22" s="88"/>
      <c r="DT22" s="88"/>
      <c r="DU22" s="88"/>
      <c r="DV22" s="88"/>
      <c r="DW22" s="88"/>
      <c r="DX22" s="88"/>
      <c r="DY22" s="88"/>
      <c r="DZ22" s="88"/>
      <c r="EA22" s="88"/>
      <c r="EB22" s="88"/>
      <c r="EC22" s="88"/>
      <c r="ED22" s="88"/>
      <c r="EE22" s="88"/>
      <c r="EF22" s="88"/>
      <c r="EG22" s="88"/>
      <c r="EH22" s="88"/>
      <c r="EI22" s="88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</row>
    <row r="23" spans="2:252" ht="12.75" customHeight="1">
      <c r="B23" s="112">
        <v>5</v>
      </c>
      <c r="C23" s="18" t="s">
        <v>112</v>
      </c>
      <c r="D23" s="18" t="s">
        <v>113</v>
      </c>
      <c r="E23" s="19">
        <v>46189</v>
      </c>
      <c r="F23" s="18">
        <f>NETWORKDAYS(E23,G23,Праздники!$A$1:$A$14)</f>
        <v>64</v>
      </c>
      <c r="G23" s="19">
        <v>46276</v>
      </c>
      <c r="H23" s="20">
        <v>0.5</v>
      </c>
      <c r="I23" s="18" t="s">
        <v>148</v>
      </c>
      <c r="J23" s="35"/>
      <c r="K23" s="35" t="s">
        <v>147</v>
      </c>
      <c r="L23" s="35"/>
      <c r="M23" s="35"/>
      <c r="N23" s="35"/>
      <c r="O23" s="129" t="s">
        <v>279</v>
      </c>
      <c r="P23" s="87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88"/>
      <c r="DF23" s="88"/>
      <c r="DG23" s="88"/>
      <c r="DH23" s="88"/>
      <c r="DI23" s="88"/>
      <c r="DJ23" s="88"/>
      <c r="DK23" s="88"/>
      <c r="DL23" s="88"/>
      <c r="DM23" s="88"/>
      <c r="DN23" s="88"/>
      <c r="DO23" s="88"/>
      <c r="DP23" s="88"/>
      <c r="DQ23" s="88"/>
      <c r="DR23" s="88"/>
      <c r="DS23" s="88"/>
      <c r="DT23" s="88"/>
      <c r="DU23" s="88"/>
      <c r="DV23" s="88"/>
      <c r="DW23" s="88"/>
      <c r="DX23" s="88"/>
      <c r="DY23" s="88"/>
      <c r="DZ23" s="88"/>
      <c r="EA23" s="88"/>
      <c r="EB23" s="88"/>
      <c r="EC23" s="88"/>
      <c r="ED23" s="88"/>
      <c r="EE23" s="88"/>
      <c r="EF23" s="88"/>
      <c r="EG23" s="88"/>
      <c r="EH23" s="88"/>
      <c r="EI23" s="88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</row>
    <row r="24" spans="2:252" ht="14.25" customHeight="1">
      <c r="B24" s="112">
        <v>6</v>
      </c>
      <c r="C24" s="18" t="s">
        <v>102</v>
      </c>
      <c r="D24" s="18" t="s">
        <v>17</v>
      </c>
      <c r="E24" s="19">
        <v>46154</v>
      </c>
      <c r="F24" s="18">
        <f>NETWORKDAYS(E24,G24,Праздники!$A$1:$A$14)</f>
        <v>100</v>
      </c>
      <c r="G24" s="19">
        <v>46294</v>
      </c>
      <c r="H24" s="20">
        <v>0.5</v>
      </c>
      <c r="I24" s="18" t="s">
        <v>281</v>
      </c>
      <c r="J24" s="35" t="s">
        <v>172</v>
      </c>
      <c r="K24" s="35"/>
      <c r="L24" s="35"/>
      <c r="M24" s="123"/>
      <c r="N24" s="130" t="s">
        <v>282</v>
      </c>
      <c r="O24" s="35"/>
      <c r="P24" s="87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8"/>
      <c r="DA24" s="88"/>
      <c r="DB24" s="88"/>
      <c r="DC24" s="88"/>
      <c r="DD24" s="88"/>
      <c r="DE24" s="88"/>
      <c r="DF24" s="88"/>
      <c r="DG24" s="88"/>
      <c r="DH24" s="88"/>
      <c r="DI24" s="88"/>
      <c r="DJ24" s="88"/>
      <c r="DK24" s="88"/>
      <c r="DL24" s="88"/>
      <c r="DM24" s="88"/>
      <c r="DN24" s="88"/>
      <c r="DO24" s="88"/>
      <c r="DP24" s="88"/>
      <c r="DQ24" s="88"/>
      <c r="DR24" s="88"/>
      <c r="DS24" s="88"/>
      <c r="DT24" s="88"/>
      <c r="DU24" s="88"/>
      <c r="DV24" s="88"/>
      <c r="DW24" s="88"/>
      <c r="DX24" s="88"/>
      <c r="DY24" s="88"/>
      <c r="DZ24" s="88"/>
      <c r="EA24" s="88"/>
      <c r="EB24" s="88"/>
      <c r="EC24" s="88"/>
      <c r="ED24" s="88"/>
      <c r="EE24" s="88"/>
      <c r="EF24" s="88"/>
      <c r="EG24" s="88"/>
      <c r="EH24" s="88"/>
      <c r="EI24" s="88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</row>
    <row r="25" spans="2:252">
      <c r="B25" s="112">
        <v>7</v>
      </c>
      <c r="C25" s="18" t="s">
        <v>310</v>
      </c>
      <c r="D25" s="18" t="s">
        <v>15</v>
      </c>
      <c r="E25" s="19">
        <v>46146</v>
      </c>
      <c r="F25" s="18">
        <f>NETWORKDAYS(E25,G25,Праздники!$A$1:$A$14)</f>
        <v>9</v>
      </c>
      <c r="G25" s="19">
        <v>46158</v>
      </c>
      <c r="H25" s="20">
        <v>1</v>
      </c>
      <c r="I25" s="18" t="s">
        <v>145</v>
      </c>
      <c r="J25" s="35" t="s">
        <v>309</v>
      </c>
      <c r="K25" s="35"/>
      <c r="L25" s="35" t="s">
        <v>312</v>
      </c>
      <c r="M25" s="123" t="s">
        <v>313</v>
      </c>
      <c r="N25" s="35"/>
      <c r="O25" s="90"/>
      <c r="P25" s="87" t="str">
        <f t="shared" ca="1" si="20"/>
        <v/>
      </c>
      <c r="Q25" s="88" t="str">
        <f t="shared" ca="1" si="20"/>
        <v/>
      </c>
      <c r="R25" s="88" t="str">
        <f t="shared" ca="1" si="20"/>
        <v/>
      </c>
      <c r="S25" s="88" t="str">
        <f t="shared" ca="1" si="20"/>
        <v/>
      </c>
      <c r="T25" s="88" t="str">
        <f t="shared" ca="1" si="20"/>
        <v/>
      </c>
      <c r="U25" s="88" t="str">
        <f t="shared" ca="1" si="20"/>
        <v/>
      </c>
      <c r="V25" s="88" t="str">
        <f t="shared" ca="1" si="20"/>
        <v/>
      </c>
      <c r="W25" s="88" t="str">
        <f t="shared" ca="1" si="20"/>
        <v/>
      </c>
      <c r="X25" s="88" t="str">
        <f t="shared" ca="1" si="20"/>
        <v/>
      </c>
      <c r="Y25" s="88" t="str">
        <f t="shared" ca="1" si="20"/>
        <v/>
      </c>
      <c r="Z25" s="88" t="str">
        <f t="shared" ca="1" si="20"/>
        <v/>
      </c>
      <c r="AA25" s="88" t="str">
        <f t="shared" ca="1" si="20"/>
        <v/>
      </c>
      <c r="AB25" s="88" t="str">
        <f t="shared" ca="1" si="20"/>
        <v/>
      </c>
      <c r="AC25" s="88" t="str">
        <f t="shared" ca="1" si="20"/>
        <v/>
      </c>
      <c r="AD25" s="88" t="str">
        <f t="shared" ca="1" si="20"/>
        <v/>
      </c>
      <c r="AE25" s="88" t="str">
        <f t="shared" ca="1" si="20"/>
        <v/>
      </c>
      <c r="AF25" s="88" t="str">
        <f t="shared" ref="AF25:CM27" ca="1" si="32">IF(AF$8=TODAY(),CHAR(124),"")</f>
        <v/>
      </c>
      <c r="AG25" s="88" t="str">
        <f t="shared" ca="1" si="32"/>
        <v/>
      </c>
      <c r="AH25" s="88" t="str">
        <f t="shared" ca="1" si="32"/>
        <v/>
      </c>
      <c r="AI25" s="88" t="str">
        <f t="shared" ca="1" si="32"/>
        <v/>
      </c>
      <c r="AJ25" s="88" t="str">
        <f t="shared" ca="1" si="32"/>
        <v/>
      </c>
      <c r="AK25" s="88" t="str">
        <f t="shared" ca="1" si="32"/>
        <v/>
      </c>
      <c r="AL25" s="88" t="str">
        <f t="shared" ca="1" si="32"/>
        <v/>
      </c>
      <c r="AM25" s="88" t="str">
        <f t="shared" ca="1" si="32"/>
        <v/>
      </c>
      <c r="AN25" s="88" t="str">
        <f t="shared" ca="1" si="32"/>
        <v/>
      </c>
      <c r="AO25" s="88" t="str">
        <f t="shared" ca="1" si="32"/>
        <v/>
      </c>
      <c r="AP25" s="88" t="str">
        <f t="shared" ca="1" si="32"/>
        <v/>
      </c>
      <c r="AQ25" s="88" t="str">
        <f t="shared" ca="1" si="32"/>
        <v/>
      </c>
      <c r="AR25" s="88" t="str">
        <f t="shared" ca="1" si="32"/>
        <v/>
      </c>
      <c r="AS25" s="88" t="str">
        <f t="shared" ca="1" si="32"/>
        <v/>
      </c>
      <c r="AT25" s="88" t="str">
        <f t="shared" ca="1" si="32"/>
        <v/>
      </c>
      <c r="AU25" s="88" t="str">
        <f t="shared" ca="1" si="32"/>
        <v/>
      </c>
      <c r="AV25" s="88" t="str">
        <f t="shared" ca="1" si="32"/>
        <v/>
      </c>
      <c r="AW25" s="88" t="str">
        <f t="shared" ca="1" si="32"/>
        <v/>
      </c>
      <c r="AX25" s="88" t="str">
        <f t="shared" ca="1" si="32"/>
        <v/>
      </c>
      <c r="AY25" s="88" t="str">
        <f t="shared" ca="1" si="32"/>
        <v/>
      </c>
      <c r="AZ25" s="88" t="str">
        <f t="shared" ca="1" si="32"/>
        <v/>
      </c>
      <c r="BA25" s="88" t="str">
        <f t="shared" ca="1" si="32"/>
        <v/>
      </c>
      <c r="BB25" s="88" t="str">
        <f t="shared" ca="1" si="32"/>
        <v/>
      </c>
      <c r="BC25" s="88" t="str">
        <f t="shared" ca="1" si="32"/>
        <v/>
      </c>
      <c r="BD25" s="88" t="str">
        <f t="shared" ca="1" si="32"/>
        <v/>
      </c>
      <c r="BE25" s="88" t="str">
        <f t="shared" ca="1" si="32"/>
        <v/>
      </c>
      <c r="BF25" s="88" t="str">
        <f t="shared" ca="1" si="32"/>
        <v/>
      </c>
      <c r="BG25" s="88" t="str">
        <f t="shared" ca="1" si="32"/>
        <v/>
      </c>
      <c r="BH25" s="88" t="str">
        <f t="shared" ca="1" si="32"/>
        <v/>
      </c>
      <c r="BI25" s="88" t="str">
        <f t="shared" ca="1" si="32"/>
        <v/>
      </c>
      <c r="BJ25" s="88" t="str">
        <f t="shared" ca="1" si="32"/>
        <v/>
      </c>
      <c r="BK25" s="88" t="str">
        <f t="shared" ca="1" si="32"/>
        <v/>
      </c>
      <c r="BL25" s="88" t="str">
        <f t="shared" ca="1" si="32"/>
        <v/>
      </c>
      <c r="BM25" s="88" t="str">
        <f t="shared" ca="1" si="32"/>
        <v/>
      </c>
      <c r="BN25" s="88" t="str">
        <f t="shared" ca="1" si="32"/>
        <v/>
      </c>
      <c r="BO25" s="88" t="str">
        <f t="shared" ca="1" si="32"/>
        <v/>
      </c>
      <c r="BP25" s="88" t="str">
        <f t="shared" ca="1" si="32"/>
        <v/>
      </c>
      <c r="BQ25" s="88" t="str">
        <f t="shared" ca="1" si="32"/>
        <v/>
      </c>
      <c r="BR25" s="88" t="str">
        <f t="shared" ca="1" si="32"/>
        <v/>
      </c>
      <c r="BS25" s="88" t="str">
        <f t="shared" ca="1" si="32"/>
        <v/>
      </c>
      <c r="BT25" s="88" t="str">
        <f t="shared" ca="1" si="32"/>
        <v/>
      </c>
      <c r="BU25" s="88" t="str">
        <f t="shared" ca="1" si="32"/>
        <v/>
      </c>
      <c r="BV25" s="88" t="str">
        <f t="shared" ca="1" si="32"/>
        <v/>
      </c>
      <c r="BW25" s="88" t="str">
        <f t="shared" ca="1" si="32"/>
        <v/>
      </c>
      <c r="BX25" s="88" t="str">
        <f t="shared" ca="1" si="32"/>
        <v/>
      </c>
      <c r="BY25" s="88" t="str">
        <f t="shared" ca="1" si="32"/>
        <v/>
      </c>
      <c r="BZ25" s="88" t="str">
        <f t="shared" ca="1" si="32"/>
        <v/>
      </c>
      <c r="CA25" s="88" t="str">
        <f t="shared" ca="1" si="32"/>
        <v/>
      </c>
      <c r="CB25" s="88" t="str">
        <f t="shared" ca="1" si="32"/>
        <v/>
      </c>
      <c r="CC25" s="88" t="str">
        <f t="shared" ref="CC25:CQ26" ca="1" si="33">IF(CC$8=TODAY(),CHAR(124),"")</f>
        <v/>
      </c>
      <c r="CD25" s="88" t="str">
        <f t="shared" ca="1" si="33"/>
        <v/>
      </c>
      <c r="CE25" s="88" t="str">
        <f t="shared" ca="1" si="33"/>
        <v/>
      </c>
      <c r="CF25" s="88" t="str">
        <f t="shared" ca="1" si="33"/>
        <v/>
      </c>
      <c r="CG25" s="88" t="str">
        <f t="shared" ca="1" si="33"/>
        <v/>
      </c>
      <c r="CH25" s="88" t="str">
        <f t="shared" ca="1" si="33"/>
        <v/>
      </c>
      <c r="CI25" s="88" t="str">
        <f t="shared" ca="1" si="33"/>
        <v/>
      </c>
      <c r="CJ25" s="88" t="str">
        <f t="shared" ca="1" si="33"/>
        <v/>
      </c>
      <c r="CK25" s="88" t="str">
        <f t="shared" ca="1" si="33"/>
        <v/>
      </c>
      <c r="CL25" s="88" t="str">
        <f t="shared" ca="1" si="33"/>
        <v/>
      </c>
      <c r="CM25" s="88" t="str">
        <f t="shared" ca="1" si="33"/>
        <v/>
      </c>
      <c r="CN25" s="88" t="str">
        <f t="shared" ca="1" si="33"/>
        <v/>
      </c>
      <c r="CO25" s="88" t="str">
        <f t="shared" ca="1" si="33"/>
        <v/>
      </c>
      <c r="CP25" s="88" t="str">
        <f t="shared" ca="1" si="33"/>
        <v/>
      </c>
      <c r="CQ25" s="88" t="str">
        <f t="shared" ca="1" si="33"/>
        <v/>
      </c>
      <c r="CR25" s="88" t="str">
        <f t="shared" ref="CR25:DH40" ca="1" si="34">IF(CR$8=TODAY(),CHAR(124),"")</f>
        <v/>
      </c>
      <c r="CS25" s="88" t="str">
        <f t="shared" ca="1" si="34"/>
        <v/>
      </c>
      <c r="CT25" s="88" t="str">
        <f t="shared" ca="1" si="34"/>
        <v/>
      </c>
      <c r="CU25" s="88" t="str">
        <f t="shared" ca="1" si="34"/>
        <v/>
      </c>
      <c r="CV25" s="88" t="str">
        <f t="shared" ca="1" si="34"/>
        <v/>
      </c>
      <c r="CW25" s="88" t="str">
        <f t="shared" ca="1" si="34"/>
        <v/>
      </c>
      <c r="CX25" s="88" t="str">
        <f t="shared" ca="1" si="34"/>
        <v/>
      </c>
      <c r="CY25" s="88" t="str">
        <f t="shared" ca="1" si="34"/>
        <v/>
      </c>
      <c r="CZ25" s="88" t="str">
        <f t="shared" ca="1" si="34"/>
        <v/>
      </c>
      <c r="DA25" s="88" t="str">
        <f t="shared" ca="1" si="34"/>
        <v/>
      </c>
      <c r="DB25" s="88" t="str">
        <f t="shared" ca="1" si="34"/>
        <v/>
      </c>
      <c r="DC25" s="88" t="str">
        <f t="shared" ca="1" si="34"/>
        <v/>
      </c>
      <c r="DD25" s="88" t="str">
        <f t="shared" ca="1" si="34"/>
        <v/>
      </c>
      <c r="DE25" s="88" t="str">
        <f t="shared" ref="DE25:DH31" ca="1" si="35">IF(DE$8=TODAY(),CHAR(124),"")</f>
        <v/>
      </c>
      <c r="DF25" s="88" t="str">
        <f t="shared" ca="1" si="35"/>
        <v/>
      </c>
      <c r="DG25" s="88" t="str">
        <f t="shared" ca="1" si="35"/>
        <v/>
      </c>
      <c r="DH25" s="88" t="str">
        <f t="shared" ca="1" si="35"/>
        <v/>
      </c>
      <c r="DI25" s="88" t="str">
        <f t="shared" ref="DI25:DX40" ca="1" si="36">IF(DI$8=TODAY(),CHAR(124),"")</f>
        <v/>
      </c>
      <c r="DJ25" s="88" t="str">
        <f t="shared" ca="1" si="36"/>
        <v/>
      </c>
      <c r="DK25" s="88" t="str">
        <f t="shared" ca="1" si="36"/>
        <v/>
      </c>
      <c r="DL25" s="88" t="str">
        <f t="shared" ca="1" si="36"/>
        <v/>
      </c>
      <c r="DM25" s="88" t="str">
        <f t="shared" ca="1" si="36"/>
        <v/>
      </c>
      <c r="DN25" s="88" t="str">
        <f t="shared" ca="1" si="36"/>
        <v/>
      </c>
      <c r="DO25" s="88" t="str">
        <f t="shared" ca="1" si="36"/>
        <v/>
      </c>
      <c r="DP25" s="88" t="str">
        <f t="shared" ca="1" si="36"/>
        <v/>
      </c>
      <c r="DQ25" s="88" t="str">
        <f t="shared" ca="1" si="36"/>
        <v/>
      </c>
      <c r="DR25" s="88" t="str">
        <f t="shared" ca="1" si="36"/>
        <v/>
      </c>
      <c r="DS25" s="88" t="str">
        <f t="shared" ca="1" si="36"/>
        <v/>
      </c>
      <c r="DT25" s="88" t="str">
        <f t="shared" ca="1" si="36"/>
        <v/>
      </c>
      <c r="DU25" s="88" t="str">
        <f t="shared" ca="1" si="36"/>
        <v/>
      </c>
      <c r="DV25" s="88" t="str">
        <f t="shared" ca="1" si="36"/>
        <v/>
      </c>
      <c r="DW25" s="88" t="str">
        <f t="shared" ca="1" si="36"/>
        <v/>
      </c>
      <c r="DX25" s="88" t="str">
        <f t="shared" ca="1" si="36"/>
        <v/>
      </c>
      <c r="DY25" s="88" t="str">
        <f t="shared" ref="DY25:EN41" ca="1" si="37">IF(DY$8=TODAY(),CHAR(124),"")</f>
        <v/>
      </c>
      <c r="DZ25" s="88" t="str">
        <f t="shared" ca="1" si="37"/>
        <v/>
      </c>
      <c r="EA25" s="88" t="str">
        <f t="shared" ca="1" si="37"/>
        <v/>
      </c>
      <c r="EB25" s="88" t="str">
        <f t="shared" ca="1" si="37"/>
        <v/>
      </c>
      <c r="EC25" s="88" t="str">
        <f t="shared" ca="1" si="37"/>
        <v/>
      </c>
      <c r="ED25" s="88" t="str">
        <f t="shared" ca="1" si="37"/>
        <v/>
      </c>
      <c r="EE25" s="88" t="str">
        <f t="shared" ca="1" si="37"/>
        <v/>
      </c>
      <c r="EF25" s="88" t="str">
        <f t="shared" ca="1" si="37"/>
        <v/>
      </c>
      <c r="EG25" s="88" t="str">
        <f t="shared" ca="1" si="37"/>
        <v/>
      </c>
      <c r="EH25" s="88" t="str">
        <f t="shared" ca="1" si="37"/>
        <v/>
      </c>
      <c r="EI25" s="88" t="str">
        <f t="shared" ca="1" si="37"/>
        <v/>
      </c>
      <c r="EJ25" s="9" t="str">
        <f t="shared" ca="1" si="37"/>
        <v/>
      </c>
      <c r="EK25" s="9" t="str">
        <f t="shared" ca="1" si="37"/>
        <v/>
      </c>
      <c r="EL25" s="9" t="str">
        <f t="shared" ca="1" si="24"/>
        <v/>
      </c>
      <c r="EM25" s="9" t="str">
        <f t="shared" ca="1" si="24"/>
        <v/>
      </c>
      <c r="EN25" s="9" t="str">
        <f t="shared" ca="1" si="24"/>
        <v/>
      </c>
      <c r="EO25" s="9" t="str">
        <f t="shared" ca="1" si="24"/>
        <v/>
      </c>
      <c r="EP25" s="9" t="str">
        <f t="shared" ca="1" si="24"/>
        <v/>
      </c>
      <c r="EQ25" s="9" t="str">
        <f t="shared" ca="1" si="24"/>
        <v/>
      </c>
      <c r="ER25" s="9" t="str">
        <f t="shared" ca="1" si="24"/>
        <v/>
      </c>
      <c r="ES25" s="9" t="str">
        <f t="shared" ca="1" si="24"/>
        <v/>
      </c>
      <c r="ET25" s="9" t="str">
        <f t="shared" ca="1" si="24"/>
        <v/>
      </c>
      <c r="EU25" s="9" t="str">
        <f t="shared" ca="1" si="24"/>
        <v/>
      </c>
      <c r="EV25" s="9" t="str">
        <f t="shared" ca="1" si="24"/>
        <v/>
      </c>
      <c r="EW25" s="9" t="str">
        <f t="shared" ca="1" si="24"/>
        <v/>
      </c>
      <c r="EX25" s="9" t="str">
        <f t="shared" ca="1" si="24"/>
        <v/>
      </c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</row>
    <row r="26" spans="2:252">
      <c r="B26" s="112">
        <f>B25+1</f>
        <v>8</v>
      </c>
      <c r="C26" s="18" t="s">
        <v>12</v>
      </c>
      <c r="D26" s="18" t="s">
        <v>18</v>
      </c>
      <c r="E26" s="19">
        <v>46146</v>
      </c>
      <c r="F26" s="18">
        <f>NETWORKDAYS(E26,G26,Праздники!$A$1:$A$14)</f>
        <v>93</v>
      </c>
      <c r="G26" s="19">
        <v>46276</v>
      </c>
      <c r="H26" s="20">
        <v>0.95</v>
      </c>
      <c r="I26" s="18" t="s">
        <v>149</v>
      </c>
      <c r="J26" s="18" t="s">
        <v>149</v>
      </c>
      <c r="K26" s="35" t="s">
        <v>150</v>
      </c>
      <c r="L26" s="35"/>
      <c r="M26" s="35" t="s">
        <v>283</v>
      </c>
      <c r="N26" s="35"/>
      <c r="O26" s="35"/>
      <c r="P26" s="87" t="str">
        <f t="shared" ca="1" si="20"/>
        <v/>
      </c>
      <c r="Q26" s="88" t="str">
        <f t="shared" ca="1" si="20"/>
        <v/>
      </c>
      <c r="R26" s="88" t="str">
        <f t="shared" ca="1" si="20"/>
        <v/>
      </c>
      <c r="S26" s="88" t="str">
        <f t="shared" ca="1" si="20"/>
        <v/>
      </c>
      <c r="T26" s="88" t="str">
        <f t="shared" ca="1" si="20"/>
        <v/>
      </c>
      <c r="U26" s="88" t="str">
        <f t="shared" ca="1" si="20"/>
        <v/>
      </c>
      <c r="V26" s="88" t="str">
        <f t="shared" ca="1" si="20"/>
        <v/>
      </c>
      <c r="W26" s="88" t="str">
        <f t="shared" ca="1" si="20"/>
        <v/>
      </c>
      <c r="X26" s="88" t="str">
        <f t="shared" ca="1" si="20"/>
        <v/>
      </c>
      <c r="Y26" s="88" t="str">
        <f t="shared" ca="1" si="20"/>
        <v/>
      </c>
      <c r="Z26" s="88" t="str">
        <f t="shared" ca="1" si="20"/>
        <v/>
      </c>
      <c r="AA26" s="88" t="str">
        <f t="shared" ca="1" si="20"/>
        <v/>
      </c>
      <c r="AB26" s="88" t="str">
        <f t="shared" ca="1" si="20"/>
        <v/>
      </c>
      <c r="AC26" s="88" t="str">
        <f t="shared" ca="1" si="20"/>
        <v/>
      </c>
      <c r="AD26" s="88" t="str">
        <f t="shared" ca="1" si="20"/>
        <v/>
      </c>
      <c r="AE26" s="88" t="str">
        <f t="shared" ca="1" si="20"/>
        <v/>
      </c>
      <c r="AF26" s="88" t="str">
        <f t="shared" ca="1" si="32"/>
        <v/>
      </c>
      <c r="AG26" s="88" t="str">
        <f t="shared" ca="1" si="32"/>
        <v/>
      </c>
      <c r="AH26" s="88" t="str">
        <f t="shared" ca="1" si="32"/>
        <v/>
      </c>
      <c r="AI26" s="88" t="str">
        <f t="shared" ca="1" si="32"/>
        <v/>
      </c>
      <c r="AJ26" s="88" t="str">
        <f t="shared" ca="1" si="32"/>
        <v/>
      </c>
      <c r="AK26" s="88" t="str">
        <f t="shared" ca="1" si="32"/>
        <v/>
      </c>
      <c r="AL26" s="88" t="str">
        <f t="shared" ca="1" si="32"/>
        <v/>
      </c>
      <c r="AM26" s="88" t="str">
        <f t="shared" ca="1" si="32"/>
        <v/>
      </c>
      <c r="AN26" s="88" t="str">
        <f t="shared" ca="1" si="32"/>
        <v/>
      </c>
      <c r="AO26" s="88" t="str">
        <f t="shared" ca="1" si="32"/>
        <v/>
      </c>
      <c r="AP26" s="88" t="str">
        <f t="shared" ca="1" si="32"/>
        <v/>
      </c>
      <c r="AQ26" s="88" t="str">
        <f t="shared" ca="1" si="32"/>
        <v/>
      </c>
      <c r="AR26" s="88" t="str">
        <f t="shared" ca="1" si="32"/>
        <v/>
      </c>
      <c r="AS26" s="88" t="str">
        <f t="shared" ca="1" si="32"/>
        <v/>
      </c>
      <c r="AT26" s="88" t="str">
        <f t="shared" ca="1" si="32"/>
        <v/>
      </c>
      <c r="AU26" s="88" t="str">
        <f t="shared" ca="1" si="32"/>
        <v/>
      </c>
      <c r="AV26" s="88" t="str">
        <f t="shared" ca="1" si="32"/>
        <v/>
      </c>
      <c r="AW26" s="88" t="str">
        <f t="shared" ca="1" si="32"/>
        <v/>
      </c>
      <c r="AX26" s="88" t="str">
        <f t="shared" ca="1" si="32"/>
        <v/>
      </c>
      <c r="AY26" s="88" t="str">
        <f t="shared" ca="1" si="32"/>
        <v/>
      </c>
      <c r="AZ26" s="88" t="str">
        <f t="shared" ca="1" si="32"/>
        <v/>
      </c>
      <c r="BA26" s="88" t="str">
        <f t="shared" ca="1" si="32"/>
        <v/>
      </c>
      <c r="BB26" s="88" t="str">
        <f t="shared" ca="1" si="32"/>
        <v/>
      </c>
      <c r="BC26" s="88" t="str">
        <f t="shared" ca="1" si="32"/>
        <v/>
      </c>
      <c r="BD26" s="88" t="str">
        <f t="shared" ca="1" si="32"/>
        <v/>
      </c>
      <c r="BE26" s="88" t="str">
        <f t="shared" ca="1" si="32"/>
        <v/>
      </c>
      <c r="BF26" s="88" t="str">
        <f t="shared" ca="1" si="32"/>
        <v/>
      </c>
      <c r="BG26" s="88" t="str">
        <f t="shared" ca="1" si="32"/>
        <v/>
      </c>
      <c r="BH26" s="88" t="str">
        <f t="shared" ca="1" si="32"/>
        <v/>
      </c>
      <c r="BI26" s="88" t="str">
        <f t="shared" ca="1" si="32"/>
        <v/>
      </c>
      <c r="BJ26" s="88" t="str">
        <f t="shared" ca="1" si="32"/>
        <v/>
      </c>
      <c r="BK26" s="88" t="str">
        <f t="shared" ca="1" si="32"/>
        <v/>
      </c>
      <c r="BL26" s="88" t="str">
        <f t="shared" ca="1" si="32"/>
        <v/>
      </c>
      <c r="BM26" s="88" t="str">
        <f t="shared" ca="1" si="32"/>
        <v/>
      </c>
      <c r="BN26" s="88" t="str">
        <f t="shared" ca="1" si="32"/>
        <v/>
      </c>
      <c r="BO26" s="88" t="str">
        <f t="shared" ca="1" si="32"/>
        <v/>
      </c>
      <c r="BP26" s="88" t="str">
        <f t="shared" ca="1" si="32"/>
        <v/>
      </c>
      <c r="BQ26" s="88" t="str">
        <f t="shared" ca="1" si="32"/>
        <v/>
      </c>
      <c r="BR26" s="88" t="str">
        <f t="shared" ca="1" si="32"/>
        <v/>
      </c>
      <c r="BS26" s="88" t="str">
        <f t="shared" ca="1" si="32"/>
        <v/>
      </c>
      <c r="BT26" s="88" t="str">
        <f t="shared" ca="1" si="32"/>
        <v/>
      </c>
      <c r="BU26" s="88" t="str">
        <f t="shared" ca="1" si="32"/>
        <v/>
      </c>
      <c r="BV26" s="88" t="str">
        <f t="shared" ca="1" si="32"/>
        <v/>
      </c>
      <c r="BW26" s="88" t="str">
        <f t="shared" ca="1" si="32"/>
        <v/>
      </c>
      <c r="BX26" s="88" t="str">
        <f t="shared" ca="1" si="32"/>
        <v/>
      </c>
      <c r="BY26" s="88" t="str">
        <f t="shared" ca="1" si="32"/>
        <v/>
      </c>
      <c r="BZ26" s="88" t="str">
        <f t="shared" ca="1" si="32"/>
        <v/>
      </c>
      <c r="CA26" s="88" t="str">
        <f t="shared" ca="1" si="32"/>
        <v/>
      </c>
      <c r="CB26" s="88" t="str">
        <f t="shared" ca="1" si="32"/>
        <v/>
      </c>
      <c r="CC26" s="88" t="str">
        <f t="shared" ca="1" si="33"/>
        <v/>
      </c>
      <c r="CD26" s="88" t="str">
        <f t="shared" ca="1" si="33"/>
        <v/>
      </c>
      <c r="CE26" s="88" t="str">
        <f t="shared" ca="1" si="33"/>
        <v/>
      </c>
      <c r="CF26" s="88" t="str">
        <f t="shared" ca="1" si="33"/>
        <v/>
      </c>
      <c r="CG26" s="88" t="str">
        <f t="shared" ca="1" si="33"/>
        <v/>
      </c>
      <c r="CH26" s="88" t="str">
        <f t="shared" ca="1" si="33"/>
        <v/>
      </c>
      <c r="CI26" s="88" t="str">
        <f t="shared" ca="1" si="33"/>
        <v/>
      </c>
      <c r="CJ26" s="88" t="str">
        <f t="shared" ca="1" si="33"/>
        <v/>
      </c>
      <c r="CK26" s="88" t="str">
        <f t="shared" ca="1" si="33"/>
        <v/>
      </c>
      <c r="CL26" s="88" t="str">
        <f t="shared" ca="1" si="33"/>
        <v/>
      </c>
      <c r="CM26" s="88" t="str">
        <f t="shared" ca="1" si="33"/>
        <v/>
      </c>
      <c r="CN26" s="88" t="str">
        <f t="shared" ca="1" si="33"/>
        <v/>
      </c>
      <c r="CO26" s="88" t="str">
        <f t="shared" ca="1" si="33"/>
        <v/>
      </c>
      <c r="CP26" s="88" t="str">
        <f t="shared" ca="1" si="33"/>
        <v/>
      </c>
      <c r="CQ26" s="88" t="str">
        <f t="shared" ca="1" si="33"/>
        <v/>
      </c>
      <c r="CR26" s="88" t="str">
        <f t="shared" ca="1" si="34"/>
        <v/>
      </c>
      <c r="CS26" s="88" t="str">
        <f t="shared" ca="1" si="34"/>
        <v/>
      </c>
      <c r="CT26" s="88" t="str">
        <f t="shared" ca="1" si="34"/>
        <v/>
      </c>
      <c r="CU26" s="88" t="str">
        <f t="shared" ca="1" si="34"/>
        <v/>
      </c>
      <c r="CV26" s="88" t="str">
        <f t="shared" ca="1" si="34"/>
        <v/>
      </c>
      <c r="CW26" s="88" t="str">
        <f t="shared" ca="1" si="34"/>
        <v/>
      </c>
      <c r="CX26" s="88" t="str">
        <f t="shared" ca="1" si="34"/>
        <v/>
      </c>
      <c r="CY26" s="88" t="str">
        <f t="shared" ca="1" si="34"/>
        <v/>
      </c>
      <c r="CZ26" s="88" t="str">
        <f t="shared" ca="1" si="34"/>
        <v/>
      </c>
      <c r="DA26" s="88" t="str">
        <f t="shared" ca="1" si="34"/>
        <v/>
      </c>
      <c r="DB26" s="88" t="str">
        <f t="shared" ca="1" si="34"/>
        <v/>
      </c>
      <c r="DC26" s="88" t="str">
        <f t="shared" ca="1" si="34"/>
        <v/>
      </c>
      <c r="DD26" s="88" t="str">
        <f t="shared" ca="1" si="34"/>
        <v/>
      </c>
      <c r="DE26" s="88" t="str">
        <f t="shared" ca="1" si="35"/>
        <v/>
      </c>
      <c r="DF26" s="88" t="str">
        <f t="shared" ca="1" si="35"/>
        <v/>
      </c>
      <c r="DG26" s="88" t="str">
        <f t="shared" ca="1" si="35"/>
        <v/>
      </c>
      <c r="DH26" s="88" t="str">
        <f t="shared" ca="1" si="35"/>
        <v/>
      </c>
      <c r="DI26" s="88" t="str">
        <f t="shared" ca="1" si="36"/>
        <v/>
      </c>
      <c r="DJ26" s="88" t="str">
        <f t="shared" ca="1" si="36"/>
        <v/>
      </c>
      <c r="DK26" s="88" t="str">
        <f t="shared" ca="1" si="36"/>
        <v/>
      </c>
      <c r="DL26" s="88" t="str">
        <f t="shared" ca="1" si="36"/>
        <v/>
      </c>
      <c r="DM26" s="88" t="str">
        <f t="shared" ca="1" si="36"/>
        <v/>
      </c>
      <c r="DN26" s="88" t="str">
        <f t="shared" ca="1" si="36"/>
        <v/>
      </c>
      <c r="DO26" s="88" t="str">
        <f t="shared" ca="1" si="36"/>
        <v/>
      </c>
      <c r="DP26" s="88" t="str">
        <f t="shared" ca="1" si="36"/>
        <v/>
      </c>
      <c r="DQ26" s="88" t="str">
        <f t="shared" ca="1" si="36"/>
        <v/>
      </c>
      <c r="DR26" s="88" t="str">
        <f t="shared" ca="1" si="36"/>
        <v/>
      </c>
      <c r="DS26" s="88" t="str">
        <f t="shared" ca="1" si="36"/>
        <v/>
      </c>
      <c r="DT26" s="88" t="str">
        <f t="shared" ca="1" si="36"/>
        <v/>
      </c>
      <c r="DU26" s="88" t="str">
        <f t="shared" ca="1" si="36"/>
        <v/>
      </c>
      <c r="DV26" s="88" t="str">
        <f t="shared" ca="1" si="36"/>
        <v/>
      </c>
      <c r="DW26" s="88" t="str">
        <f t="shared" ca="1" si="36"/>
        <v/>
      </c>
      <c r="DX26" s="88" t="str">
        <f t="shared" ca="1" si="36"/>
        <v/>
      </c>
      <c r="DY26" s="88" t="str">
        <f t="shared" ca="1" si="37"/>
        <v/>
      </c>
      <c r="DZ26" s="88" t="str">
        <f t="shared" ca="1" si="37"/>
        <v/>
      </c>
      <c r="EA26" s="88" t="str">
        <f t="shared" ca="1" si="37"/>
        <v/>
      </c>
      <c r="EB26" s="88" t="str">
        <f t="shared" ca="1" si="37"/>
        <v/>
      </c>
      <c r="EC26" s="88" t="str">
        <f t="shared" ca="1" si="37"/>
        <v/>
      </c>
      <c r="ED26" s="88" t="str">
        <f t="shared" ca="1" si="37"/>
        <v/>
      </c>
      <c r="EE26" s="88" t="str">
        <f t="shared" ca="1" si="37"/>
        <v/>
      </c>
      <c r="EF26" s="88" t="str">
        <f t="shared" ca="1" si="37"/>
        <v/>
      </c>
      <c r="EG26" s="88" t="str">
        <f t="shared" ca="1" si="37"/>
        <v/>
      </c>
      <c r="EH26" s="88" t="str">
        <f t="shared" ca="1" si="37"/>
        <v/>
      </c>
      <c r="EI26" s="88" t="str">
        <f t="shared" ca="1" si="37"/>
        <v/>
      </c>
      <c r="EJ26" s="9" t="str">
        <f t="shared" ca="1" si="37"/>
        <v/>
      </c>
      <c r="EK26" s="9" t="str">
        <f t="shared" ca="1" si="37"/>
        <v/>
      </c>
      <c r="EL26" s="9" t="str">
        <f t="shared" ca="1" si="24"/>
        <v/>
      </c>
      <c r="EM26" s="9" t="str">
        <f t="shared" ca="1" si="24"/>
        <v/>
      </c>
      <c r="EN26" s="9" t="str">
        <f t="shared" ca="1" si="24"/>
        <v/>
      </c>
      <c r="EO26" s="9" t="str">
        <f t="shared" ca="1" si="24"/>
        <v/>
      </c>
      <c r="EP26" s="9" t="str">
        <f t="shared" ca="1" si="24"/>
        <v/>
      </c>
      <c r="EQ26" s="9" t="str">
        <f t="shared" ca="1" si="24"/>
        <v/>
      </c>
      <c r="ER26" s="9" t="str">
        <f t="shared" ca="1" si="24"/>
        <v/>
      </c>
      <c r="ES26" s="9" t="str">
        <f t="shared" ca="1" si="24"/>
        <v/>
      </c>
      <c r="ET26" s="9" t="str">
        <f t="shared" ca="1" si="24"/>
        <v/>
      </c>
      <c r="EU26" s="9" t="str">
        <f t="shared" ca="1" si="24"/>
        <v/>
      </c>
      <c r="EV26" s="9" t="str">
        <f t="shared" ca="1" si="24"/>
        <v/>
      </c>
      <c r="EW26" s="9" t="str">
        <f t="shared" ca="1" si="24"/>
        <v/>
      </c>
      <c r="EX26" s="9" t="str">
        <f t="shared" ca="1" si="24"/>
        <v/>
      </c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</row>
    <row r="27" spans="2:252">
      <c r="B27" s="38" t="s">
        <v>59</v>
      </c>
      <c r="C27" s="39" t="s">
        <v>13</v>
      </c>
      <c r="D27" s="39" t="s">
        <v>19</v>
      </c>
      <c r="E27" s="40">
        <v>46150</v>
      </c>
      <c r="F27" s="39">
        <f>NETWORKDAYS(E27,G27,Праздники!$A$1:$A$14)</f>
        <v>1</v>
      </c>
      <c r="G27" s="40">
        <v>46150</v>
      </c>
      <c r="H27" s="41">
        <v>1</v>
      </c>
      <c r="I27" s="39" t="s">
        <v>150</v>
      </c>
      <c r="J27" s="42"/>
      <c r="K27" s="42"/>
      <c r="L27" s="42"/>
      <c r="M27" s="42"/>
      <c r="N27" s="42"/>
      <c r="O27" s="42"/>
      <c r="P27" s="87" t="str">
        <f t="shared" ca="1" si="20"/>
        <v/>
      </c>
      <c r="Q27" s="88" t="str">
        <f t="shared" ca="1" si="20"/>
        <v/>
      </c>
      <c r="R27" s="88" t="str">
        <f t="shared" ca="1" si="20"/>
        <v/>
      </c>
      <c r="S27" s="88" t="str">
        <f t="shared" ca="1" si="20"/>
        <v/>
      </c>
      <c r="T27" s="88" t="str">
        <f t="shared" ca="1" si="20"/>
        <v/>
      </c>
      <c r="U27" s="88" t="str">
        <f t="shared" ca="1" si="20"/>
        <v/>
      </c>
      <c r="V27" s="88" t="str">
        <f t="shared" ca="1" si="20"/>
        <v/>
      </c>
      <c r="W27" s="88" t="str">
        <f t="shared" ca="1" si="20"/>
        <v/>
      </c>
      <c r="X27" s="88" t="str">
        <f t="shared" ca="1" si="20"/>
        <v/>
      </c>
      <c r="Y27" s="88" t="str">
        <f t="shared" ca="1" si="20"/>
        <v/>
      </c>
      <c r="Z27" s="88" t="str">
        <f t="shared" ca="1" si="20"/>
        <v/>
      </c>
      <c r="AA27" s="88" t="str">
        <f t="shared" ca="1" si="20"/>
        <v/>
      </c>
      <c r="AB27" s="88" t="str">
        <f t="shared" ca="1" si="20"/>
        <v/>
      </c>
      <c r="AC27" s="88" t="str">
        <f t="shared" ca="1" si="20"/>
        <v/>
      </c>
      <c r="AD27" s="88" t="str">
        <f t="shared" ca="1" si="20"/>
        <v/>
      </c>
      <c r="AE27" s="88" t="str">
        <f t="shared" ca="1" si="20"/>
        <v/>
      </c>
      <c r="AF27" s="88" t="str">
        <f t="shared" ca="1" si="32"/>
        <v/>
      </c>
      <c r="AG27" s="88" t="str">
        <f t="shared" ca="1" si="32"/>
        <v/>
      </c>
      <c r="AH27" s="88" t="str">
        <f t="shared" ca="1" si="32"/>
        <v/>
      </c>
      <c r="AI27" s="88" t="str">
        <f t="shared" ca="1" si="32"/>
        <v/>
      </c>
      <c r="AJ27" s="88" t="str">
        <f t="shared" ca="1" si="32"/>
        <v/>
      </c>
      <c r="AK27" s="88" t="str">
        <f t="shared" ca="1" si="32"/>
        <v/>
      </c>
      <c r="AL27" s="88" t="str">
        <f t="shared" ca="1" si="32"/>
        <v/>
      </c>
      <c r="AM27" s="88" t="str">
        <f t="shared" ca="1" si="32"/>
        <v/>
      </c>
      <c r="AN27" s="88" t="str">
        <f t="shared" ca="1" si="32"/>
        <v/>
      </c>
      <c r="AO27" s="88" t="str">
        <f t="shared" ca="1" si="32"/>
        <v/>
      </c>
      <c r="AP27" s="88" t="str">
        <f t="shared" ca="1" si="32"/>
        <v/>
      </c>
      <c r="AQ27" s="88" t="str">
        <f t="shared" ca="1" si="32"/>
        <v/>
      </c>
      <c r="AR27" s="88" t="str">
        <f t="shared" ca="1" si="32"/>
        <v/>
      </c>
      <c r="AS27" s="88" t="str">
        <f t="shared" ca="1" si="32"/>
        <v/>
      </c>
      <c r="AT27" s="88" t="str">
        <f t="shared" ca="1" si="32"/>
        <v/>
      </c>
      <c r="AU27" s="88" t="str">
        <f t="shared" ca="1" si="32"/>
        <v/>
      </c>
      <c r="AV27" s="88" t="str">
        <f t="shared" ca="1" si="32"/>
        <v/>
      </c>
      <c r="AW27" s="88" t="str">
        <f t="shared" ca="1" si="32"/>
        <v/>
      </c>
      <c r="AX27" s="88" t="str">
        <f t="shared" ca="1" si="32"/>
        <v/>
      </c>
      <c r="AY27" s="88" t="str">
        <f t="shared" ca="1" si="32"/>
        <v/>
      </c>
      <c r="AZ27" s="88" t="str">
        <f t="shared" ca="1" si="32"/>
        <v/>
      </c>
      <c r="BA27" s="88" t="str">
        <f t="shared" ca="1" si="32"/>
        <v/>
      </c>
      <c r="BB27" s="88" t="str">
        <f t="shared" ca="1" si="32"/>
        <v/>
      </c>
      <c r="BC27" s="88" t="str">
        <f t="shared" ca="1" si="32"/>
        <v/>
      </c>
      <c r="BD27" s="88" t="str">
        <f t="shared" ca="1" si="32"/>
        <v/>
      </c>
      <c r="BE27" s="88" t="str">
        <f t="shared" ca="1" si="32"/>
        <v/>
      </c>
      <c r="BF27" s="88" t="str">
        <f t="shared" ca="1" si="32"/>
        <v/>
      </c>
      <c r="BG27" s="88" t="str">
        <f t="shared" ca="1" si="32"/>
        <v/>
      </c>
      <c r="BH27" s="88" t="str">
        <f t="shared" ca="1" si="32"/>
        <v/>
      </c>
      <c r="BI27" s="88" t="str">
        <f t="shared" ca="1" si="32"/>
        <v/>
      </c>
      <c r="BJ27" s="88" t="str">
        <f t="shared" ca="1" si="32"/>
        <v/>
      </c>
      <c r="BK27" s="88" t="str">
        <f t="shared" ca="1" si="32"/>
        <v/>
      </c>
      <c r="BL27" s="88" t="str">
        <f t="shared" ca="1" si="32"/>
        <v/>
      </c>
      <c r="BM27" s="88" t="str">
        <f t="shared" ca="1" si="32"/>
        <v/>
      </c>
      <c r="BN27" s="88" t="str">
        <f t="shared" ca="1" si="32"/>
        <v/>
      </c>
      <c r="BO27" s="88" t="str">
        <f t="shared" ca="1" si="32"/>
        <v/>
      </c>
      <c r="BP27" s="88" t="str">
        <f t="shared" ca="1" si="32"/>
        <v/>
      </c>
      <c r="BQ27" s="88" t="str">
        <f t="shared" ca="1" si="32"/>
        <v/>
      </c>
      <c r="BR27" s="88" t="str">
        <f t="shared" ca="1" si="32"/>
        <v/>
      </c>
      <c r="BS27" s="88" t="str">
        <f t="shared" ca="1" si="32"/>
        <v/>
      </c>
      <c r="BT27" s="88" t="str">
        <f t="shared" ca="1" si="32"/>
        <v/>
      </c>
      <c r="BU27" s="88" t="str">
        <f t="shared" ca="1" si="32"/>
        <v/>
      </c>
      <c r="BV27" s="88" t="str">
        <f t="shared" ca="1" si="32"/>
        <v/>
      </c>
      <c r="BW27" s="88" t="str">
        <f t="shared" ca="1" si="32"/>
        <v/>
      </c>
      <c r="BX27" s="88" t="str">
        <f t="shared" ca="1" si="32"/>
        <v/>
      </c>
      <c r="BY27" s="88" t="str">
        <f t="shared" ca="1" si="32"/>
        <v/>
      </c>
      <c r="BZ27" s="88" t="str">
        <f t="shared" ca="1" si="32"/>
        <v/>
      </c>
      <c r="CA27" s="88" t="str">
        <f t="shared" ca="1" si="32"/>
        <v/>
      </c>
      <c r="CB27" s="88" t="str">
        <f t="shared" ca="1" si="32"/>
        <v/>
      </c>
      <c r="CC27" s="88" t="str">
        <f t="shared" ca="1" si="32"/>
        <v/>
      </c>
      <c r="CD27" s="88" t="str">
        <f t="shared" ca="1" si="32"/>
        <v/>
      </c>
      <c r="CE27" s="88" t="str">
        <f t="shared" ca="1" si="32"/>
        <v/>
      </c>
      <c r="CF27" s="88" t="str">
        <f t="shared" ca="1" si="32"/>
        <v/>
      </c>
      <c r="CG27" s="88" t="str">
        <f t="shared" ca="1" si="32"/>
        <v/>
      </c>
      <c r="CH27" s="88" t="str">
        <f t="shared" ca="1" si="32"/>
        <v/>
      </c>
      <c r="CI27" s="88" t="str">
        <f t="shared" ca="1" si="32"/>
        <v/>
      </c>
      <c r="CJ27" s="88" t="str">
        <f t="shared" ca="1" si="32"/>
        <v/>
      </c>
      <c r="CK27" s="88" t="str">
        <f t="shared" ca="1" si="32"/>
        <v/>
      </c>
      <c r="CL27" s="88" t="str">
        <f t="shared" ca="1" si="32"/>
        <v/>
      </c>
      <c r="CM27" s="88" t="str">
        <f t="shared" ca="1" si="32"/>
        <v/>
      </c>
      <c r="CN27" s="88" t="str">
        <f t="shared" ref="CN27:CQ40" ca="1" si="38">IF(CN$8=TODAY(),CHAR(124),"")</f>
        <v/>
      </c>
      <c r="CO27" s="88" t="str">
        <f t="shared" ca="1" si="38"/>
        <v/>
      </c>
      <c r="CP27" s="88" t="str">
        <f t="shared" ca="1" si="38"/>
        <v/>
      </c>
      <c r="CQ27" s="88" t="str">
        <f t="shared" ca="1" si="38"/>
        <v/>
      </c>
      <c r="CR27" s="88" t="str">
        <f t="shared" ca="1" si="34"/>
        <v/>
      </c>
      <c r="CS27" s="88" t="str">
        <f t="shared" ca="1" si="34"/>
        <v/>
      </c>
      <c r="CT27" s="88" t="str">
        <f t="shared" ca="1" si="34"/>
        <v/>
      </c>
      <c r="CU27" s="88" t="str">
        <f t="shared" ca="1" si="34"/>
        <v/>
      </c>
      <c r="CV27" s="88" t="str">
        <f t="shared" ca="1" si="34"/>
        <v/>
      </c>
      <c r="CW27" s="88" t="str">
        <f t="shared" ca="1" si="34"/>
        <v/>
      </c>
      <c r="CX27" s="88" t="str">
        <f t="shared" ca="1" si="34"/>
        <v/>
      </c>
      <c r="CY27" s="88" t="str">
        <f t="shared" ca="1" si="34"/>
        <v/>
      </c>
      <c r="CZ27" s="88" t="str">
        <f t="shared" ca="1" si="34"/>
        <v/>
      </c>
      <c r="DA27" s="88" t="str">
        <f t="shared" ca="1" si="34"/>
        <v/>
      </c>
      <c r="DB27" s="88" t="str">
        <f t="shared" ca="1" si="34"/>
        <v/>
      </c>
      <c r="DC27" s="88" t="str">
        <f t="shared" ca="1" si="34"/>
        <v/>
      </c>
      <c r="DD27" s="88" t="str">
        <f t="shared" ca="1" si="34"/>
        <v/>
      </c>
      <c r="DE27" s="88" t="str">
        <f t="shared" ca="1" si="35"/>
        <v/>
      </c>
      <c r="DF27" s="88" t="str">
        <f t="shared" ca="1" si="35"/>
        <v/>
      </c>
      <c r="DG27" s="88" t="str">
        <f t="shared" ca="1" si="35"/>
        <v/>
      </c>
      <c r="DH27" s="88" t="str">
        <f t="shared" ca="1" si="35"/>
        <v/>
      </c>
      <c r="DI27" s="88" t="str">
        <f t="shared" ca="1" si="36"/>
        <v/>
      </c>
      <c r="DJ27" s="88" t="str">
        <f t="shared" ca="1" si="36"/>
        <v/>
      </c>
      <c r="DK27" s="88" t="str">
        <f t="shared" ca="1" si="36"/>
        <v/>
      </c>
      <c r="DL27" s="88" t="str">
        <f t="shared" ca="1" si="36"/>
        <v/>
      </c>
      <c r="DM27" s="88" t="str">
        <f t="shared" ca="1" si="36"/>
        <v/>
      </c>
      <c r="DN27" s="88" t="str">
        <f t="shared" ca="1" si="36"/>
        <v/>
      </c>
      <c r="DO27" s="88" t="str">
        <f t="shared" ca="1" si="36"/>
        <v/>
      </c>
      <c r="DP27" s="88" t="str">
        <f t="shared" ca="1" si="36"/>
        <v/>
      </c>
      <c r="DQ27" s="88" t="str">
        <f t="shared" ca="1" si="36"/>
        <v/>
      </c>
      <c r="DR27" s="88" t="str">
        <f t="shared" ca="1" si="36"/>
        <v/>
      </c>
      <c r="DS27" s="88" t="str">
        <f t="shared" ca="1" si="36"/>
        <v/>
      </c>
      <c r="DT27" s="88" t="str">
        <f t="shared" ca="1" si="36"/>
        <v/>
      </c>
      <c r="DU27" s="88" t="str">
        <f t="shared" ca="1" si="36"/>
        <v/>
      </c>
      <c r="DV27" s="88" t="str">
        <f t="shared" ca="1" si="36"/>
        <v/>
      </c>
      <c r="DW27" s="88" t="str">
        <f t="shared" ca="1" si="36"/>
        <v/>
      </c>
      <c r="DX27" s="88" t="str">
        <f t="shared" ca="1" si="36"/>
        <v/>
      </c>
      <c r="DY27" s="88" t="str">
        <f t="shared" ca="1" si="37"/>
        <v/>
      </c>
      <c r="DZ27" s="88" t="str">
        <f t="shared" ca="1" si="37"/>
        <v/>
      </c>
      <c r="EA27" s="88" t="str">
        <f t="shared" ca="1" si="37"/>
        <v/>
      </c>
      <c r="EB27" s="88" t="str">
        <f t="shared" ca="1" si="37"/>
        <v/>
      </c>
      <c r="EC27" s="88" t="str">
        <f t="shared" ca="1" si="37"/>
        <v/>
      </c>
      <c r="ED27" s="88" t="str">
        <f t="shared" ca="1" si="37"/>
        <v/>
      </c>
      <c r="EE27" s="88" t="str">
        <f t="shared" ca="1" si="37"/>
        <v/>
      </c>
      <c r="EF27" s="88" t="str">
        <f t="shared" ca="1" si="37"/>
        <v/>
      </c>
      <c r="EG27" s="88" t="str">
        <f t="shared" ca="1" si="37"/>
        <v/>
      </c>
      <c r="EH27" s="88" t="str">
        <f t="shared" ca="1" si="37"/>
        <v/>
      </c>
      <c r="EI27" s="88" t="str">
        <f t="shared" ca="1" si="37"/>
        <v/>
      </c>
      <c r="EJ27" s="9" t="str">
        <f t="shared" ca="1" si="37"/>
        <v/>
      </c>
      <c r="EK27" s="9" t="str">
        <f t="shared" ca="1" si="37"/>
        <v/>
      </c>
      <c r="EL27" s="9" t="str">
        <f t="shared" ca="1" si="24"/>
        <v/>
      </c>
      <c r="EM27" s="9" t="str">
        <f t="shared" ca="1" si="24"/>
        <v/>
      </c>
      <c r="EN27" s="9" t="str">
        <f t="shared" ca="1" si="24"/>
        <v/>
      </c>
      <c r="EO27" s="9" t="str">
        <f t="shared" ca="1" si="24"/>
        <v/>
      </c>
      <c r="EP27" s="9" t="str">
        <f t="shared" ca="1" si="24"/>
        <v/>
      </c>
      <c r="EQ27" s="9" t="str">
        <f t="shared" ca="1" si="24"/>
        <v/>
      </c>
      <c r="ER27" s="9" t="str">
        <f t="shared" ca="1" si="24"/>
        <v/>
      </c>
      <c r="ES27" s="9" t="str">
        <f t="shared" ca="1" si="24"/>
        <v/>
      </c>
      <c r="ET27" s="9" t="str">
        <f t="shared" ca="1" si="24"/>
        <v/>
      </c>
      <c r="EU27" s="9" t="str">
        <f t="shared" ca="1" si="24"/>
        <v/>
      </c>
      <c r="EV27" s="9" t="str">
        <f t="shared" ca="1" si="24"/>
        <v/>
      </c>
      <c r="EW27" s="9" t="str">
        <f t="shared" ca="1" si="24"/>
        <v/>
      </c>
      <c r="EX27" s="9" t="str">
        <f t="shared" ca="1" si="24"/>
        <v/>
      </c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</row>
    <row r="28" spans="2:252" ht="18.75">
      <c r="B28" s="33" t="s">
        <v>100</v>
      </c>
      <c r="C28" s="65"/>
      <c r="D28" s="65"/>
      <c r="E28" s="66">
        <v>46132</v>
      </c>
      <c r="F28" s="65">
        <f>NETWORKDAYS(E28,G28,Праздники!$A$1:$A$14)</f>
        <v>18</v>
      </c>
      <c r="G28" s="66">
        <v>46157</v>
      </c>
      <c r="H28" s="67"/>
      <c r="I28" s="65"/>
      <c r="J28" s="68"/>
      <c r="K28" s="68"/>
      <c r="L28" s="68"/>
      <c r="M28" s="68"/>
      <c r="N28" s="68"/>
      <c r="O28" s="68"/>
      <c r="P28" s="87" t="str">
        <f t="shared" ca="1" si="20"/>
        <v/>
      </c>
      <c r="Q28" s="88" t="str">
        <f t="shared" ca="1" si="20"/>
        <v/>
      </c>
      <c r="R28" s="88" t="str">
        <f t="shared" ca="1" si="20"/>
        <v/>
      </c>
      <c r="S28" s="88" t="str">
        <f t="shared" ca="1" si="20"/>
        <v/>
      </c>
      <c r="T28" s="88" t="str">
        <f t="shared" ca="1" si="20"/>
        <v/>
      </c>
      <c r="U28" s="88" t="str">
        <f t="shared" ca="1" si="20"/>
        <v/>
      </c>
      <c r="V28" s="88" t="str">
        <f t="shared" ca="1" si="20"/>
        <v/>
      </c>
      <c r="W28" s="88" t="str">
        <f t="shared" ca="1" si="20"/>
        <v/>
      </c>
      <c r="X28" s="88" t="str">
        <f t="shared" ca="1" si="20"/>
        <v/>
      </c>
      <c r="Y28" s="88" t="str">
        <f t="shared" ca="1" si="20"/>
        <v/>
      </c>
      <c r="Z28" s="88" t="str">
        <f t="shared" ca="1" si="20"/>
        <v/>
      </c>
      <c r="AA28" s="88" t="str">
        <f t="shared" ca="1" si="20"/>
        <v/>
      </c>
      <c r="AB28" s="88" t="str">
        <f t="shared" ca="1" si="20"/>
        <v/>
      </c>
      <c r="AC28" s="88" t="str">
        <f t="shared" ca="1" si="20"/>
        <v/>
      </c>
      <c r="AD28" s="88" t="str">
        <f t="shared" ca="1" si="20"/>
        <v/>
      </c>
      <c r="AE28" s="88" t="str">
        <f t="shared" ca="1" si="20"/>
        <v/>
      </c>
      <c r="AF28" s="88" t="str">
        <f t="shared" ref="AF28:AU45" ca="1" si="39">IF(AF$8=TODAY(),CHAR(124),"")</f>
        <v/>
      </c>
      <c r="AG28" s="88" t="str">
        <f t="shared" ca="1" si="39"/>
        <v/>
      </c>
      <c r="AH28" s="88" t="str">
        <f t="shared" ca="1" si="39"/>
        <v/>
      </c>
      <c r="AI28" s="88" t="str">
        <f t="shared" ca="1" si="39"/>
        <v/>
      </c>
      <c r="AJ28" s="88" t="str">
        <f t="shared" ca="1" si="39"/>
        <v/>
      </c>
      <c r="AK28" s="88" t="str">
        <f t="shared" ca="1" si="39"/>
        <v/>
      </c>
      <c r="AL28" s="88" t="str">
        <f t="shared" ca="1" si="39"/>
        <v/>
      </c>
      <c r="AM28" s="88" t="str">
        <f t="shared" ca="1" si="39"/>
        <v/>
      </c>
      <c r="AN28" s="88" t="str">
        <f t="shared" ca="1" si="39"/>
        <v/>
      </c>
      <c r="AO28" s="88" t="str">
        <f t="shared" ca="1" si="39"/>
        <v/>
      </c>
      <c r="AP28" s="88" t="str">
        <f t="shared" ca="1" si="39"/>
        <v/>
      </c>
      <c r="AQ28" s="88" t="str">
        <f t="shared" ca="1" si="39"/>
        <v/>
      </c>
      <c r="AR28" s="88" t="str">
        <f t="shared" ca="1" si="39"/>
        <v/>
      </c>
      <c r="AS28" s="88" t="str">
        <f t="shared" ca="1" si="39"/>
        <v/>
      </c>
      <c r="AT28" s="88" t="str">
        <f t="shared" ca="1" si="39"/>
        <v/>
      </c>
      <c r="AU28" s="88" t="str">
        <f t="shared" ca="1" si="39"/>
        <v/>
      </c>
      <c r="AV28" s="88" t="str">
        <f t="shared" ref="AV28:BK45" ca="1" si="40">IF(AV$8=TODAY(),CHAR(124),"")</f>
        <v/>
      </c>
      <c r="AW28" s="88" t="str">
        <f t="shared" ca="1" si="40"/>
        <v/>
      </c>
      <c r="AX28" s="88" t="str">
        <f t="shared" ca="1" si="40"/>
        <v/>
      </c>
      <c r="AY28" s="88" t="str">
        <f t="shared" ca="1" si="40"/>
        <v/>
      </c>
      <c r="AZ28" s="88" t="str">
        <f t="shared" ca="1" si="40"/>
        <v/>
      </c>
      <c r="BA28" s="88" t="str">
        <f t="shared" ca="1" si="40"/>
        <v/>
      </c>
      <c r="BB28" s="88" t="str">
        <f t="shared" ca="1" si="40"/>
        <v/>
      </c>
      <c r="BC28" s="88" t="str">
        <f t="shared" ca="1" si="40"/>
        <v/>
      </c>
      <c r="BD28" s="88" t="str">
        <f t="shared" ca="1" si="40"/>
        <v/>
      </c>
      <c r="BE28" s="88" t="str">
        <f t="shared" ca="1" si="40"/>
        <v/>
      </c>
      <c r="BF28" s="88" t="str">
        <f t="shared" ca="1" si="40"/>
        <v/>
      </c>
      <c r="BG28" s="88" t="str">
        <f t="shared" ca="1" si="40"/>
        <v/>
      </c>
      <c r="BH28" s="88" t="str">
        <f t="shared" ca="1" si="40"/>
        <v/>
      </c>
      <c r="BI28" s="88" t="str">
        <f t="shared" ca="1" si="40"/>
        <v/>
      </c>
      <c r="BJ28" s="88" t="str">
        <f t="shared" ca="1" si="40"/>
        <v/>
      </c>
      <c r="BK28" s="88" t="str">
        <f t="shared" ca="1" si="40"/>
        <v/>
      </c>
      <c r="BL28" s="88" t="str">
        <f t="shared" ref="BL28:CA45" ca="1" si="41">IF(BL$8=TODAY(),CHAR(124),"")</f>
        <v/>
      </c>
      <c r="BM28" s="88" t="str">
        <f t="shared" ca="1" si="41"/>
        <v/>
      </c>
      <c r="BN28" s="88" t="str">
        <f t="shared" ca="1" si="41"/>
        <v/>
      </c>
      <c r="BO28" s="88" t="str">
        <f t="shared" ca="1" si="41"/>
        <v/>
      </c>
      <c r="BP28" s="88" t="str">
        <f t="shared" ca="1" si="41"/>
        <v/>
      </c>
      <c r="BQ28" s="88" t="str">
        <f t="shared" ca="1" si="41"/>
        <v/>
      </c>
      <c r="BR28" s="88" t="str">
        <f t="shared" ca="1" si="41"/>
        <v/>
      </c>
      <c r="BS28" s="88" t="str">
        <f t="shared" ca="1" si="41"/>
        <v/>
      </c>
      <c r="BT28" s="88" t="str">
        <f t="shared" ca="1" si="41"/>
        <v/>
      </c>
      <c r="BU28" s="88" t="str">
        <f t="shared" ca="1" si="41"/>
        <v/>
      </c>
      <c r="BV28" s="88" t="str">
        <f t="shared" ca="1" si="41"/>
        <v/>
      </c>
      <c r="BW28" s="88" t="str">
        <f t="shared" ca="1" si="41"/>
        <v/>
      </c>
      <c r="BX28" s="88" t="str">
        <f t="shared" ca="1" si="41"/>
        <v/>
      </c>
      <c r="BY28" s="88" t="str">
        <f t="shared" ref="BY28:CM31" ca="1" si="42">IF(BY$8=TODAY(),CHAR(124),"")</f>
        <v/>
      </c>
      <c r="BZ28" s="88" t="str">
        <f t="shared" ca="1" si="42"/>
        <v/>
      </c>
      <c r="CA28" s="88" t="str">
        <f t="shared" ca="1" si="42"/>
        <v/>
      </c>
      <c r="CB28" s="88" t="str">
        <f t="shared" ca="1" si="42"/>
        <v/>
      </c>
      <c r="CC28" s="88" t="str">
        <f t="shared" ca="1" si="42"/>
        <v/>
      </c>
      <c r="CD28" s="88" t="str">
        <f t="shared" ca="1" si="42"/>
        <v/>
      </c>
      <c r="CE28" s="88" t="str">
        <f t="shared" ca="1" si="42"/>
        <v/>
      </c>
      <c r="CF28" s="88" t="str">
        <f t="shared" ca="1" si="42"/>
        <v/>
      </c>
      <c r="CG28" s="88" t="str">
        <f t="shared" ca="1" si="42"/>
        <v/>
      </c>
      <c r="CH28" s="88" t="str">
        <f t="shared" ca="1" si="42"/>
        <v/>
      </c>
      <c r="CI28" s="88" t="str">
        <f t="shared" ca="1" si="42"/>
        <v/>
      </c>
      <c r="CJ28" s="88" t="str">
        <f t="shared" ca="1" si="42"/>
        <v/>
      </c>
      <c r="CK28" s="88" t="str">
        <f t="shared" ca="1" si="42"/>
        <v/>
      </c>
      <c r="CL28" s="88" t="str">
        <f t="shared" ca="1" si="42"/>
        <v/>
      </c>
      <c r="CM28" s="88" t="str">
        <f t="shared" ca="1" si="42"/>
        <v/>
      </c>
      <c r="CN28" s="88" t="str">
        <f t="shared" ca="1" si="38"/>
        <v/>
      </c>
      <c r="CO28" s="88" t="str">
        <f t="shared" ca="1" si="38"/>
        <v/>
      </c>
      <c r="CP28" s="88" t="str">
        <f t="shared" ca="1" si="38"/>
        <v/>
      </c>
      <c r="CQ28" s="88" t="str">
        <f t="shared" ca="1" si="38"/>
        <v/>
      </c>
      <c r="CR28" s="88" t="str">
        <f t="shared" ca="1" si="34"/>
        <v/>
      </c>
      <c r="CS28" s="88" t="str">
        <f t="shared" ca="1" si="34"/>
        <v/>
      </c>
      <c r="CT28" s="88" t="str">
        <f t="shared" ca="1" si="34"/>
        <v/>
      </c>
      <c r="CU28" s="88" t="str">
        <f t="shared" ca="1" si="34"/>
        <v/>
      </c>
      <c r="CV28" s="88" t="str">
        <f t="shared" ca="1" si="34"/>
        <v/>
      </c>
      <c r="CW28" s="88" t="str">
        <f t="shared" ca="1" si="34"/>
        <v/>
      </c>
      <c r="CX28" s="88" t="str">
        <f t="shared" ca="1" si="34"/>
        <v/>
      </c>
      <c r="CY28" s="88" t="str">
        <f t="shared" ca="1" si="34"/>
        <v/>
      </c>
      <c r="CZ28" s="88" t="str">
        <f t="shared" ca="1" si="34"/>
        <v/>
      </c>
      <c r="DA28" s="88" t="str">
        <f t="shared" ca="1" si="34"/>
        <v/>
      </c>
      <c r="DB28" s="88" t="str">
        <f t="shared" ca="1" si="34"/>
        <v/>
      </c>
      <c r="DC28" s="88" t="str">
        <f t="shared" ca="1" si="34"/>
        <v/>
      </c>
      <c r="DD28" s="88" t="str">
        <f t="shared" ca="1" si="34"/>
        <v/>
      </c>
      <c r="DE28" s="88" t="str">
        <f t="shared" ca="1" si="35"/>
        <v/>
      </c>
      <c r="DF28" s="88" t="str">
        <f t="shared" ca="1" si="35"/>
        <v/>
      </c>
      <c r="DG28" s="88" t="str">
        <f t="shared" ca="1" si="35"/>
        <v/>
      </c>
      <c r="DH28" s="88" t="str">
        <f t="shared" ca="1" si="35"/>
        <v/>
      </c>
      <c r="DI28" s="88" t="str">
        <f t="shared" ca="1" si="36"/>
        <v/>
      </c>
      <c r="DJ28" s="88" t="str">
        <f t="shared" ca="1" si="36"/>
        <v/>
      </c>
      <c r="DK28" s="88" t="str">
        <f t="shared" ca="1" si="36"/>
        <v/>
      </c>
      <c r="DL28" s="88" t="str">
        <f t="shared" ca="1" si="36"/>
        <v/>
      </c>
      <c r="DM28" s="88" t="str">
        <f t="shared" ca="1" si="36"/>
        <v/>
      </c>
      <c r="DN28" s="88" t="str">
        <f t="shared" ca="1" si="36"/>
        <v/>
      </c>
      <c r="DO28" s="88" t="str">
        <f t="shared" ca="1" si="36"/>
        <v/>
      </c>
      <c r="DP28" s="88" t="str">
        <f t="shared" ca="1" si="36"/>
        <v/>
      </c>
      <c r="DQ28" s="88" t="str">
        <f t="shared" ca="1" si="36"/>
        <v/>
      </c>
      <c r="DR28" s="88" t="str">
        <f t="shared" ca="1" si="36"/>
        <v/>
      </c>
      <c r="DS28" s="88" t="str">
        <f t="shared" ca="1" si="36"/>
        <v/>
      </c>
      <c r="DT28" s="88" t="str">
        <f t="shared" ca="1" si="36"/>
        <v/>
      </c>
      <c r="DU28" s="88" t="str">
        <f t="shared" ca="1" si="36"/>
        <v/>
      </c>
      <c r="DV28" s="88" t="str">
        <f t="shared" ca="1" si="36"/>
        <v/>
      </c>
      <c r="DW28" s="88" t="str">
        <f t="shared" ca="1" si="36"/>
        <v/>
      </c>
      <c r="DX28" s="88" t="str">
        <f t="shared" ca="1" si="36"/>
        <v/>
      </c>
      <c r="DY28" s="88" t="str">
        <f t="shared" ca="1" si="37"/>
        <v/>
      </c>
      <c r="DZ28" s="88" t="str">
        <f t="shared" ca="1" si="37"/>
        <v/>
      </c>
      <c r="EA28" s="88" t="str">
        <f t="shared" ca="1" si="37"/>
        <v/>
      </c>
      <c r="EB28" s="88" t="str">
        <f t="shared" ca="1" si="37"/>
        <v/>
      </c>
      <c r="EC28" s="88" t="str">
        <f t="shared" ca="1" si="37"/>
        <v/>
      </c>
      <c r="ED28" s="88" t="str">
        <f t="shared" ca="1" si="37"/>
        <v/>
      </c>
      <c r="EE28" s="88" t="str">
        <f t="shared" ca="1" si="37"/>
        <v/>
      </c>
      <c r="EF28" s="88" t="str">
        <f t="shared" ca="1" si="37"/>
        <v/>
      </c>
      <c r="EG28" s="88" t="str">
        <f t="shared" ca="1" si="37"/>
        <v/>
      </c>
      <c r="EH28" s="88" t="str">
        <f t="shared" ca="1" si="37"/>
        <v/>
      </c>
      <c r="EI28" s="88" t="str">
        <f t="shared" ca="1" si="37"/>
        <v/>
      </c>
      <c r="EJ28" s="9" t="str">
        <f t="shared" ca="1" si="37"/>
        <v/>
      </c>
      <c r="EK28" s="9" t="str">
        <f t="shared" ca="1" si="37"/>
        <v/>
      </c>
      <c r="EL28" s="9" t="str">
        <f t="shared" ca="1" si="24"/>
        <v/>
      </c>
      <c r="EM28" s="9" t="str">
        <f t="shared" ca="1" si="24"/>
        <v/>
      </c>
      <c r="EN28" s="9" t="str">
        <f t="shared" ca="1" si="24"/>
        <v/>
      </c>
      <c r="EO28" s="9" t="str">
        <f t="shared" ca="1" si="24"/>
        <v/>
      </c>
      <c r="EP28" s="9" t="str">
        <f t="shared" ca="1" si="24"/>
        <v/>
      </c>
      <c r="EQ28" s="9" t="str">
        <f t="shared" ca="1" si="24"/>
        <v/>
      </c>
      <c r="ER28" s="9" t="str">
        <f t="shared" ca="1" si="24"/>
        <v/>
      </c>
      <c r="ES28" s="9" t="str">
        <f t="shared" ca="1" si="24"/>
        <v/>
      </c>
      <c r="ET28" s="9" t="str">
        <f t="shared" ca="1" si="24"/>
        <v/>
      </c>
      <c r="EU28" s="9" t="str">
        <f t="shared" ca="1" si="24"/>
        <v/>
      </c>
      <c r="EV28" s="9" t="str">
        <f t="shared" ca="1" si="24"/>
        <v/>
      </c>
      <c r="EW28" s="9" t="str">
        <f t="shared" ca="1" si="24"/>
        <v/>
      </c>
      <c r="EX28" s="9" t="str">
        <f t="shared" ca="1" si="24"/>
        <v/>
      </c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</row>
    <row r="29" spans="2:252" ht="15.75">
      <c r="B29" s="27" t="s">
        <v>35</v>
      </c>
      <c r="C29" s="28" t="s">
        <v>20</v>
      </c>
      <c r="D29" s="21" t="s">
        <v>19</v>
      </c>
      <c r="E29" s="22">
        <v>46139</v>
      </c>
      <c r="F29" s="21">
        <f>NETWORKDAYS(E29,G29,Праздники!$A$1:$A$14)</f>
        <v>6</v>
      </c>
      <c r="G29" s="22">
        <v>46147</v>
      </c>
      <c r="H29" s="23">
        <v>1</v>
      </c>
      <c r="I29" s="21" t="s">
        <v>150</v>
      </c>
      <c r="J29" s="36"/>
      <c r="K29" s="36"/>
      <c r="L29" s="36"/>
      <c r="M29" s="36"/>
      <c r="N29" s="36"/>
      <c r="O29" s="36"/>
      <c r="P29" s="87" t="str">
        <f t="shared" ca="1" si="20"/>
        <v/>
      </c>
      <c r="Q29" s="88" t="str">
        <f t="shared" ca="1" si="20"/>
        <v/>
      </c>
      <c r="R29" s="88" t="str">
        <f t="shared" ca="1" si="20"/>
        <v/>
      </c>
      <c r="S29" s="88" t="str">
        <f t="shared" ca="1" si="20"/>
        <v/>
      </c>
      <c r="T29" s="88" t="str">
        <f t="shared" ca="1" si="20"/>
        <v/>
      </c>
      <c r="U29" s="88" t="str">
        <f t="shared" ca="1" si="20"/>
        <v/>
      </c>
      <c r="V29" s="88" t="str">
        <f t="shared" ca="1" si="20"/>
        <v/>
      </c>
      <c r="W29" s="88" t="str">
        <f t="shared" ca="1" si="20"/>
        <v/>
      </c>
      <c r="X29" s="88" t="str">
        <f t="shared" ca="1" si="20"/>
        <v/>
      </c>
      <c r="Y29" s="88" t="str">
        <f t="shared" ca="1" si="20"/>
        <v/>
      </c>
      <c r="Z29" s="88" t="str">
        <f t="shared" ca="1" si="20"/>
        <v/>
      </c>
      <c r="AA29" s="88" t="str">
        <f t="shared" ca="1" si="20"/>
        <v/>
      </c>
      <c r="AB29" s="88" t="str">
        <f t="shared" ca="1" si="20"/>
        <v/>
      </c>
      <c r="AC29" s="88" t="str">
        <f t="shared" ca="1" si="20"/>
        <v/>
      </c>
      <c r="AD29" s="88" t="str">
        <f t="shared" ca="1" si="20"/>
        <v/>
      </c>
      <c r="AE29" s="88" t="str">
        <f t="shared" ca="1" si="20"/>
        <v/>
      </c>
      <c r="AF29" s="88" t="str">
        <f t="shared" ca="1" si="39"/>
        <v/>
      </c>
      <c r="AG29" s="88" t="str">
        <f t="shared" ca="1" si="39"/>
        <v/>
      </c>
      <c r="AH29" s="88" t="str">
        <f t="shared" ca="1" si="39"/>
        <v/>
      </c>
      <c r="AI29" s="88" t="str">
        <f t="shared" ca="1" si="39"/>
        <v/>
      </c>
      <c r="AJ29" s="88" t="str">
        <f t="shared" ca="1" si="39"/>
        <v/>
      </c>
      <c r="AK29" s="88" t="str">
        <f t="shared" ca="1" si="39"/>
        <v/>
      </c>
      <c r="AL29" s="88" t="str">
        <f t="shared" ca="1" si="39"/>
        <v/>
      </c>
      <c r="AM29" s="88" t="str">
        <f t="shared" ca="1" si="39"/>
        <v/>
      </c>
      <c r="AN29" s="88" t="str">
        <f t="shared" ca="1" si="39"/>
        <v/>
      </c>
      <c r="AO29" s="88" t="str">
        <f t="shared" ca="1" si="39"/>
        <v/>
      </c>
      <c r="AP29" s="88" t="str">
        <f t="shared" ca="1" si="39"/>
        <v/>
      </c>
      <c r="AQ29" s="88" t="str">
        <f t="shared" ca="1" si="39"/>
        <v/>
      </c>
      <c r="AR29" s="88" t="str">
        <f t="shared" ca="1" si="39"/>
        <v/>
      </c>
      <c r="AS29" s="88" t="str">
        <f t="shared" ca="1" si="39"/>
        <v/>
      </c>
      <c r="AT29" s="88" t="str">
        <f t="shared" ca="1" si="39"/>
        <v/>
      </c>
      <c r="AU29" s="88" t="str">
        <f t="shared" ca="1" si="39"/>
        <v/>
      </c>
      <c r="AV29" s="88" t="str">
        <f t="shared" ca="1" si="40"/>
        <v/>
      </c>
      <c r="AW29" s="88" t="str">
        <f t="shared" ca="1" si="40"/>
        <v/>
      </c>
      <c r="AX29" s="88" t="str">
        <f t="shared" ca="1" si="40"/>
        <v/>
      </c>
      <c r="AY29" s="88" t="str">
        <f t="shared" ca="1" si="40"/>
        <v/>
      </c>
      <c r="AZ29" s="88" t="str">
        <f t="shared" ca="1" si="40"/>
        <v/>
      </c>
      <c r="BA29" s="88" t="str">
        <f t="shared" ca="1" si="40"/>
        <v/>
      </c>
      <c r="BB29" s="88" t="str">
        <f t="shared" ca="1" si="40"/>
        <v/>
      </c>
      <c r="BC29" s="88" t="str">
        <f t="shared" ca="1" si="40"/>
        <v/>
      </c>
      <c r="BD29" s="88" t="str">
        <f t="shared" ca="1" si="40"/>
        <v/>
      </c>
      <c r="BE29" s="88" t="str">
        <f t="shared" ca="1" si="40"/>
        <v/>
      </c>
      <c r="BF29" s="88" t="str">
        <f t="shared" ca="1" si="40"/>
        <v/>
      </c>
      <c r="BG29" s="88" t="str">
        <f t="shared" ca="1" si="40"/>
        <v/>
      </c>
      <c r="BH29" s="88" t="str">
        <f t="shared" ca="1" si="40"/>
        <v/>
      </c>
      <c r="BI29" s="88" t="str">
        <f t="shared" ca="1" si="40"/>
        <v/>
      </c>
      <c r="BJ29" s="88" t="str">
        <f t="shared" ca="1" si="40"/>
        <v/>
      </c>
      <c r="BK29" s="88" t="str">
        <f t="shared" ca="1" si="40"/>
        <v/>
      </c>
      <c r="BL29" s="88" t="str">
        <f t="shared" ca="1" si="41"/>
        <v/>
      </c>
      <c r="BM29" s="88" t="str">
        <f t="shared" ca="1" si="41"/>
        <v/>
      </c>
      <c r="BN29" s="88" t="str">
        <f t="shared" ca="1" si="41"/>
        <v/>
      </c>
      <c r="BO29" s="88" t="str">
        <f t="shared" ca="1" si="41"/>
        <v/>
      </c>
      <c r="BP29" s="88" t="str">
        <f t="shared" ca="1" si="41"/>
        <v/>
      </c>
      <c r="BQ29" s="88" t="str">
        <f t="shared" ca="1" si="41"/>
        <v/>
      </c>
      <c r="BR29" s="88" t="str">
        <f t="shared" ca="1" si="41"/>
        <v/>
      </c>
      <c r="BS29" s="88" t="str">
        <f t="shared" ca="1" si="41"/>
        <v/>
      </c>
      <c r="BT29" s="88" t="str">
        <f t="shared" ca="1" si="41"/>
        <v/>
      </c>
      <c r="BU29" s="88" t="str">
        <f t="shared" ca="1" si="41"/>
        <v/>
      </c>
      <c r="BV29" s="88" t="str">
        <f t="shared" ca="1" si="41"/>
        <v/>
      </c>
      <c r="BW29" s="88" t="str">
        <f t="shared" ca="1" si="41"/>
        <v/>
      </c>
      <c r="BX29" s="88" t="str">
        <f t="shared" ca="1" si="41"/>
        <v/>
      </c>
      <c r="BY29" s="88" t="str">
        <f t="shared" ca="1" si="42"/>
        <v/>
      </c>
      <c r="BZ29" s="88" t="str">
        <f t="shared" ca="1" si="42"/>
        <v/>
      </c>
      <c r="CA29" s="88" t="str">
        <f t="shared" ca="1" si="42"/>
        <v/>
      </c>
      <c r="CB29" s="88" t="str">
        <f t="shared" ca="1" si="42"/>
        <v/>
      </c>
      <c r="CC29" s="88" t="str">
        <f t="shared" ca="1" si="42"/>
        <v/>
      </c>
      <c r="CD29" s="88" t="str">
        <f t="shared" ca="1" si="42"/>
        <v/>
      </c>
      <c r="CE29" s="88" t="str">
        <f t="shared" ca="1" si="42"/>
        <v/>
      </c>
      <c r="CF29" s="88" t="str">
        <f t="shared" ca="1" si="42"/>
        <v/>
      </c>
      <c r="CG29" s="88" t="str">
        <f t="shared" ca="1" si="42"/>
        <v/>
      </c>
      <c r="CH29" s="88" t="str">
        <f t="shared" ca="1" si="42"/>
        <v/>
      </c>
      <c r="CI29" s="88" t="str">
        <f t="shared" ca="1" si="42"/>
        <v/>
      </c>
      <c r="CJ29" s="88" t="str">
        <f t="shared" ca="1" si="42"/>
        <v/>
      </c>
      <c r="CK29" s="88" t="str">
        <f t="shared" ca="1" si="42"/>
        <v/>
      </c>
      <c r="CL29" s="88" t="str">
        <f t="shared" ca="1" si="42"/>
        <v/>
      </c>
      <c r="CM29" s="88" t="str">
        <f t="shared" ca="1" si="42"/>
        <v/>
      </c>
      <c r="CN29" s="88" t="str">
        <f t="shared" ca="1" si="38"/>
        <v/>
      </c>
      <c r="CO29" s="88" t="str">
        <f t="shared" ca="1" si="38"/>
        <v/>
      </c>
      <c r="CP29" s="88" t="str">
        <f t="shared" ca="1" si="38"/>
        <v/>
      </c>
      <c r="CQ29" s="88" t="str">
        <f t="shared" ca="1" si="38"/>
        <v/>
      </c>
      <c r="CR29" s="88" t="str">
        <f t="shared" ca="1" si="34"/>
        <v/>
      </c>
      <c r="CS29" s="88" t="str">
        <f t="shared" ca="1" si="34"/>
        <v/>
      </c>
      <c r="CT29" s="88" t="str">
        <f t="shared" ca="1" si="34"/>
        <v/>
      </c>
      <c r="CU29" s="88" t="str">
        <f t="shared" ca="1" si="34"/>
        <v/>
      </c>
      <c r="CV29" s="88" t="str">
        <f t="shared" ca="1" si="34"/>
        <v/>
      </c>
      <c r="CW29" s="88" t="str">
        <f t="shared" ca="1" si="34"/>
        <v/>
      </c>
      <c r="CX29" s="88" t="str">
        <f t="shared" ca="1" si="34"/>
        <v/>
      </c>
      <c r="CY29" s="88" t="str">
        <f t="shared" ca="1" si="34"/>
        <v/>
      </c>
      <c r="CZ29" s="88" t="str">
        <f t="shared" ca="1" si="34"/>
        <v/>
      </c>
      <c r="DA29" s="88" t="str">
        <f t="shared" ca="1" si="34"/>
        <v/>
      </c>
      <c r="DB29" s="88" t="str">
        <f t="shared" ca="1" si="34"/>
        <v/>
      </c>
      <c r="DC29" s="88" t="str">
        <f t="shared" ca="1" si="34"/>
        <v/>
      </c>
      <c r="DD29" s="88" t="str">
        <f t="shared" ca="1" si="34"/>
        <v/>
      </c>
      <c r="DE29" s="88" t="str">
        <f t="shared" ca="1" si="35"/>
        <v/>
      </c>
      <c r="DF29" s="88" t="str">
        <f t="shared" ca="1" si="35"/>
        <v/>
      </c>
      <c r="DG29" s="88" t="str">
        <f t="shared" ca="1" si="35"/>
        <v/>
      </c>
      <c r="DH29" s="88" t="str">
        <f t="shared" ca="1" si="35"/>
        <v/>
      </c>
      <c r="DI29" s="88" t="str">
        <f t="shared" ca="1" si="36"/>
        <v/>
      </c>
      <c r="DJ29" s="88" t="str">
        <f t="shared" ca="1" si="36"/>
        <v/>
      </c>
      <c r="DK29" s="88" t="str">
        <f t="shared" ca="1" si="36"/>
        <v/>
      </c>
      <c r="DL29" s="88" t="str">
        <f t="shared" ca="1" si="36"/>
        <v/>
      </c>
      <c r="DM29" s="88" t="str">
        <f t="shared" ca="1" si="36"/>
        <v/>
      </c>
      <c r="DN29" s="88" t="str">
        <f t="shared" ca="1" si="36"/>
        <v/>
      </c>
      <c r="DO29" s="88" t="str">
        <f t="shared" ca="1" si="36"/>
        <v/>
      </c>
      <c r="DP29" s="88" t="str">
        <f t="shared" ca="1" si="36"/>
        <v/>
      </c>
      <c r="DQ29" s="88" t="str">
        <f t="shared" ca="1" si="36"/>
        <v/>
      </c>
      <c r="DR29" s="88" t="str">
        <f t="shared" ca="1" si="36"/>
        <v/>
      </c>
      <c r="DS29" s="88" t="str">
        <f t="shared" ca="1" si="36"/>
        <v/>
      </c>
      <c r="DT29" s="88" t="str">
        <f t="shared" ca="1" si="36"/>
        <v/>
      </c>
      <c r="DU29" s="88" t="str">
        <f t="shared" ca="1" si="36"/>
        <v/>
      </c>
      <c r="DV29" s="88" t="str">
        <f t="shared" ca="1" si="36"/>
        <v/>
      </c>
      <c r="DW29" s="88" t="str">
        <f t="shared" ca="1" si="36"/>
        <v/>
      </c>
      <c r="DX29" s="88" t="str">
        <f t="shared" ca="1" si="36"/>
        <v/>
      </c>
      <c r="DY29" s="88" t="str">
        <f t="shared" ca="1" si="37"/>
        <v/>
      </c>
      <c r="DZ29" s="88" t="str">
        <f t="shared" ca="1" si="37"/>
        <v/>
      </c>
      <c r="EA29" s="88" t="str">
        <f t="shared" ca="1" si="37"/>
        <v/>
      </c>
      <c r="EB29" s="88" t="str">
        <f t="shared" ca="1" si="37"/>
        <v/>
      </c>
      <c r="EC29" s="88" t="str">
        <f t="shared" ca="1" si="37"/>
        <v/>
      </c>
      <c r="ED29" s="88" t="str">
        <f t="shared" ca="1" si="37"/>
        <v/>
      </c>
      <c r="EE29" s="88" t="str">
        <f t="shared" ca="1" si="37"/>
        <v/>
      </c>
      <c r="EF29" s="88" t="str">
        <f t="shared" ca="1" si="37"/>
        <v/>
      </c>
      <c r="EG29" s="88" t="str">
        <f t="shared" ca="1" si="37"/>
        <v/>
      </c>
      <c r="EH29" s="88" t="str">
        <f t="shared" ca="1" si="37"/>
        <v/>
      </c>
      <c r="EI29" s="88" t="str">
        <f t="shared" ca="1" si="37"/>
        <v/>
      </c>
      <c r="EJ29" s="9" t="str">
        <f t="shared" ca="1" si="37"/>
        <v/>
      </c>
      <c r="EK29" s="9" t="str">
        <f t="shared" ca="1" si="37"/>
        <v/>
      </c>
      <c r="EL29" s="9" t="str">
        <f t="shared" ca="1" si="24"/>
        <v/>
      </c>
      <c r="EM29" s="9" t="str">
        <f t="shared" ca="1" si="24"/>
        <v/>
      </c>
      <c r="EN29" s="9" t="str">
        <f t="shared" ca="1" si="24"/>
        <v/>
      </c>
      <c r="EO29" s="9" t="str">
        <f t="shared" ca="1" si="24"/>
        <v/>
      </c>
      <c r="EP29" s="9" t="str">
        <f t="shared" ca="1" si="24"/>
        <v/>
      </c>
      <c r="EQ29" s="9" t="str">
        <f t="shared" ca="1" si="24"/>
        <v/>
      </c>
      <c r="ER29" s="9" t="str">
        <f t="shared" ca="1" si="24"/>
        <v/>
      </c>
      <c r="ES29" s="9" t="str">
        <f t="shared" ca="1" si="24"/>
        <v/>
      </c>
      <c r="ET29" s="9" t="str">
        <f t="shared" ca="1" si="24"/>
        <v/>
      </c>
      <c r="EU29" s="9" t="str">
        <f t="shared" ca="1" si="24"/>
        <v/>
      </c>
      <c r="EV29" s="9" t="str">
        <f t="shared" ca="1" si="24"/>
        <v/>
      </c>
      <c r="EW29" s="9" t="str">
        <f t="shared" ca="1" si="24"/>
        <v/>
      </c>
      <c r="EX29" s="9" t="str">
        <f t="shared" ca="1" si="24"/>
        <v/>
      </c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</row>
    <row r="30" spans="2:252" ht="15.75">
      <c r="B30" s="27" t="s">
        <v>36</v>
      </c>
      <c r="C30" s="28" t="s">
        <v>21</v>
      </c>
      <c r="D30" s="21"/>
      <c r="E30" s="22">
        <v>46132</v>
      </c>
      <c r="F30" s="21">
        <f>NETWORKDAYS(E30,G30,Праздники!$A$1:$A$14)</f>
        <v>104</v>
      </c>
      <c r="G30" s="22">
        <f>MAX(G31:G35)</f>
        <v>46280</v>
      </c>
      <c r="H30" s="23">
        <f>AVERAGE(H31:H35)</f>
        <v>0.74</v>
      </c>
      <c r="I30" s="21"/>
      <c r="J30" s="36"/>
      <c r="K30" s="36"/>
      <c r="L30" s="36"/>
      <c r="M30" s="36"/>
      <c r="N30" s="36"/>
      <c r="O30" s="36"/>
      <c r="P30" s="87" t="str">
        <f t="shared" ca="1" si="20"/>
        <v/>
      </c>
      <c r="Q30" s="88" t="str">
        <f t="shared" ca="1" si="20"/>
        <v/>
      </c>
      <c r="R30" s="88" t="str">
        <f t="shared" ca="1" si="20"/>
        <v/>
      </c>
      <c r="S30" s="88" t="str">
        <f t="shared" ca="1" si="20"/>
        <v/>
      </c>
      <c r="T30" s="88" t="str">
        <f t="shared" ca="1" si="20"/>
        <v/>
      </c>
      <c r="U30" s="88" t="str">
        <f t="shared" ca="1" si="20"/>
        <v/>
      </c>
      <c r="V30" s="88" t="str">
        <f t="shared" ca="1" si="20"/>
        <v/>
      </c>
      <c r="W30" s="88" t="str">
        <f t="shared" ca="1" si="20"/>
        <v/>
      </c>
      <c r="X30" s="88" t="str">
        <f t="shared" ca="1" si="20"/>
        <v/>
      </c>
      <c r="Y30" s="88" t="str">
        <f t="shared" ca="1" si="20"/>
        <v/>
      </c>
      <c r="Z30" s="88" t="str">
        <f t="shared" ca="1" si="20"/>
        <v/>
      </c>
      <c r="AA30" s="88" t="str">
        <f t="shared" ca="1" si="20"/>
        <v/>
      </c>
      <c r="AB30" s="88" t="str">
        <f t="shared" ca="1" si="20"/>
        <v/>
      </c>
      <c r="AC30" s="88" t="str">
        <f t="shared" ca="1" si="20"/>
        <v/>
      </c>
      <c r="AD30" s="88" t="str">
        <f t="shared" ca="1" si="20"/>
        <v/>
      </c>
      <c r="AE30" s="88" t="str">
        <f t="shared" ca="1" si="20"/>
        <v/>
      </c>
      <c r="AF30" s="88" t="str">
        <f t="shared" ca="1" si="39"/>
        <v/>
      </c>
      <c r="AG30" s="88" t="str">
        <f t="shared" ca="1" si="39"/>
        <v/>
      </c>
      <c r="AH30" s="88" t="str">
        <f t="shared" ca="1" si="39"/>
        <v/>
      </c>
      <c r="AI30" s="88" t="str">
        <f t="shared" ca="1" si="39"/>
        <v/>
      </c>
      <c r="AJ30" s="88" t="str">
        <f t="shared" ca="1" si="39"/>
        <v/>
      </c>
      <c r="AK30" s="88" t="str">
        <f t="shared" ca="1" si="39"/>
        <v/>
      </c>
      <c r="AL30" s="88" t="str">
        <f t="shared" ca="1" si="39"/>
        <v/>
      </c>
      <c r="AM30" s="88" t="str">
        <f t="shared" ca="1" si="39"/>
        <v/>
      </c>
      <c r="AN30" s="88" t="str">
        <f t="shared" ca="1" si="39"/>
        <v/>
      </c>
      <c r="AO30" s="88" t="str">
        <f t="shared" ca="1" si="39"/>
        <v/>
      </c>
      <c r="AP30" s="88" t="str">
        <f t="shared" ca="1" si="39"/>
        <v/>
      </c>
      <c r="AQ30" s="88" t="str">
        <f t="shared" ca="1" si="39"/>
        <v/>
      </c>
      <c r="AR30" s="88" t="str">
        <f t="shared" ca="1" si="39"/>
        <v/>
      </c>
      <c r="AS30" s="88" t="str">
        <f t="shared" ca="1" si="39"/>
        <v/>
      </c>
      <c r="AT30" s="88" t="str">
        <f t="shared" ca="1" si="39"/>
        <v/>
      </c>
      <c r="AU30" s="88" t="str">
        <f t="shared" ca="1" si="39"/>
        <v/>
      </c>
      <c r="AV30" s="88" t="str">
        <f t="shared" ca="1" si="40"/>
        <v/>
      </c>
      <c r="AW30" s="88" t="str">
        <f t="shared" ca="1" si="40"/>
        <v/>
      </c>
      <c r="AX30" s="88" t="str">
        <f t="shared" ca="1" si="40"/>
        <v/>
      </c>
      <c r="AY30" s="88" t="str">
        <f t="shared" ca="1" si="40"/>
        <v/>
      </c>
      <c r="AZ30" s="88" t="str">
        <f t="shared" ca="1" si="40"/>
        <v/>
      </c>
      <c r="BA30" s="88" t="str">
        <f t="shared" ca="1" si="40"/>
        <v/>
      </c>
      <c r="BB30" s="88" t="str">
        <f t="shared" ca="1" si="40"/>
        <v/>
      </c>
      <c r="BC30" s="88" t="str">
        <f t="shared" ca="1" si="40"/>
        <v/>
      </c>
      <c r="BD30" s="88" t="str">
        <f t="shared" ca="1" si="40"/>
        <v/>
      </c>
      <c r="BE30" s="88" t="str">
        <f t="shared" ca="1" si="40"/>
        <v/>
      </c>
      <c r="BF30" s="88" t="str">
        <f t="shared" ca="1" si="40"/>
        <v/>
      </c>
      <c r="BG30" s="88" t="str">
        <f t="shared" ca="1" si="40"/>
        <v/>
      </c>
      <c r="BH30" s="88" t="str">
        <f t="shared" ca="1" si="40"/>
        <v/>
      </c>
      <c r="BI30" s="88" t="str">
        <f t="shared" ca="1" si="40"/>
        <v/>
      </c>
      <c r="BJ30" s="88" t="str">
        <f t="shared" ca="1" si="40"/>
        <v/>
      </c>
      <c r="BK30" s="88" t="str">
        <f t="shared" ca="1" si="40"/>
        <v/>
      </c>
      <c r="BL30" s="88" t="str">
        <f t="shared" ca="1" si="41"/>
        <v/>
      </c>
      <c r="BM30" s="88" t="str">
        <f t="shared" ca="1" si="41"/>
        <v/>
      </c>
      <c r="BN30" s="88" t="str">
        <f t="shared" ca="1" si="41"/>
        <v/>
      </c>
      <c r="BO30" s="88" t="str">
        <f t="shared" ca="1" si="41"/>
        <v/>
      </c>
      <c r="BP30" s="88" t="str">
        <f t="shared" ca="1" si="41"/>
        <v/>
      </c>
      <c r="BQ30" s="88" t="str">
        <f t="shared" ca="1" si="41"/>
        <v/>
      </c>
      <c r="BR30" s="88" t="str">
        <f t="shared" ca="1" si="41"/>
        <v/>
      </c>
      <c r="BS30" s="88" t="str">
        <f t="shared" ca="1" si="41"/>
        <v/>
      </c>
      <c r="BT30" s="88" t="str">
        <f t="shared" ca="1" si="41"/>
        <v/>
      </c>
      <c r="BU30" s="88" t="str">
        <f t="shared" ca="1" si="41"/>
        <v/>
      </c>
      <c r="BV30" s="88" t="str">
        <f t="shared" ca="1" si="41"/>
        <v/>
      </c>
      <c r="BW30" s="88" t="str">
        <f t="shared" ca="1" si="41"/>
        <v/>
      </c>
      <c r="BX30" s="88" t="str">
        <f t="shared" ca="1" si="41"/>
        <v/>
      </c>
      <c r="BY30" s="88" t="str">
        <f t="shared" ca="1" si="42"/>
        <v/>
      </c>
      <c r="BZ30" s="88" t="str">
        <f t="shared" ca="1" si="42"/>
        <v/>
      </c>
      <c r="CA30" s="88" t="str">
        <f t="shared" ca="1" si="42"/>
        <v/>
      </c>
      <c r="CB30" s="88" t="str">
        <f t="shared" ca="1" si="42"/>
        <v/>
      </c>
      <c r="CC30" s="88" t="str">
        <f t="shared" ca="1" si="42"/>
        <v/>
      </c>
      <c r="CD30" s="88" t="str">
        <f t="shared" ca="1" si="42"/>
        <v/>
      </c>
      <c r="CE30" s="88" t="str">
        <f t="shared" ca="1" si="42"/>
        <v/>
      </c>
      <c r="CF30" s="88" t="str">
        <f t="shared" ca="1" si="42"/>
        <v/>
      </c>
      <c r="CG30" s="88" t="str">
        <f t="shared" ca="1" si="42"/>
        <v/>
      </c>
      <c r="CH30" s="88" t="str">
        <f t="shared" ca="1" si="42"/>
        <v/>
      </c>
      <c r="CI30" s="88" t="str">
        <f t="shared" ca="1" si="42"/>
        <v/>
      </c>
      <c r="CJ30" s="88" t="str">
        <f t="shared" ca="1" si="42"/>
        <v/>
      </c>
      <c r="CK30" s="88" t="str">
        <f t="shared" ca="1" si="42"/>
        <v/>
      </c>
      <c r="CL30" s="88" t="str">
        <f t="shared" ca="1" si="42"/>
        <v/>
      </c>
      <c r="CM30" s="88" t="str">
        <f t="shared" ca="1" si="42"/>
        <v/>
      </c>
      <c r="CN30" s="88" t="str">
        <f t="shared" ca="1" si="38"/>
        <v/>
      </c>
      <c r="CO30" s="88" t="str">
        <f t="shared" ca="1" si="38"/>
        <v/>
      </c>
      <c r="CP30" s="88" t="str">
        <f t="shared" ca="1" si="38"/>
        <v/>
      </c>
      <c r="CQ30" s="88" t="str">
        <f t="shared" ca="1" si="38"/>
        <v/>
      </c>
      <c r="CR30" s="88" t="str">
        <f t="shared" ca="1" si="34"/>
        <v/>
      </c>
      <c r="CS30" s="88" t="str">
        <f t="shared" ca="1" si="34"/>
        <v/>
      </c>
      <c r="CT30" s="88" t="str">
        <f t="shared" ca="1" si="34"/>
        <v/>
      </c>
      <c r="CU30" s="88" t="str">
        <f t="shared" ca="1" si="34"/>
        <v/>
      </c>
      <c r="CV30" s="88" t="str">
        <f t="shared" ca="1" si="34"/>
        <v/>
      </c>
      <c r="CW30" s="88" t="str">
        <f t="shared" ca="1" si="34"/>
        <v/>
      </c>
      <c r="CX30" s="88" t="str">
        <f t="shared" ca="1" si="34"/>
        <v/>
      </c>
      <c r="CY30" s="88" t="str">
        <f t="shared" ca="1" si="34"/>
        <v/>
      </c>
      <c r="CZ30" s="88" t="str">
        <f t="shared" ca="1" si="34"/>
        <v/>
      </c>
      <c r="DA30" s="88" t="str">
        <f t="shared" ca="1" si="34"/>
        <v/>
      </c>
      <c r="DB30" s="88" t="str">
        <f t="shared" ca="1" si="34"/>
        <v/>
      </c>
      <c r="DC30" s="88" t="str">
        <f t="shared" ca="1" si="34"/>
        <v/>
      </c>
      <c r="DD30" s="88" t="str">
        <f t="shared" ca="1" si="34"/>
        <v/>
      </c>
      <c r="DE30" s="88" t="str">
        <f t="shared" ca="1" si="35"/>
        <v/>
      </c>
      <c r="DF30" s="88" t="str">
        <f t="shared" ca="1" si="35"/>
        <v/>
      </c>
      <c r="DG30" s="88" t="str">
        <f t="shared" ca="1" si="35"/>
        <v/>
      </c>
      <c r="DH30" s="88" t="str">
        <f t="shared" ca="1" si="35"/>
        <v/>
      </c>
      <c r="DI30" s="88" t="str">
        <f t="shared" ca="1" si="36"/>
        <v/>
      </c>
      <c r="DJ30" s="88" t="str">
        <f t="shared" ca="1" si="36"/>
        <v/>
      </c>
      <c r="DK30" s="88" t="str">
        <f t="shared" ca="1" si="36"/>
        <v/>
      </c>
      <c r="DL30" s="88" t="str">
        <f t="shared" ca="1" si="36"/>
        <v/>
      </c>
      <c r="DM30" s="88" t="str">
        <f t="shared" ca="1" si="36"/>
        <v/>
      </c>
      <c r="DN30" s="88" t="str">
        <f t="shared" ca="1" si="36"/>
        <v/>
      </c>
      <c r="DO30" s="88" t="str">
        <f t="shared" ca="1" si="36"/>
        <v/>
      </c>
      <c r="DP30" s="88" t="str">
        <f t="shared" ca="1" si="36"/>
        <v/>
      </c>
      <c r="DQ30" s="88" t="str">
        <f t="shared" ca="1" si="36"/>
        <v/>
      </c>
      <c r="DR30" s="88" t="str">
        <f t="shared" ca="1" si="36"/>
        <v/>
      </c>
      <c r="DS30" s="88" t="str">
        <f t="shared" ca="1" si="36"/>
        <v/>
      </c>
      <c r="DT30" s="88" t="str">
        <f t="shared" ca="1" si="36"/>
        <v/>
      </c>
      <c r="DU30" s="88" t="str">
        <f t="shared" ca="1" si="36"/>
        <v/>
      </c>
      <c r="DV30" s="88" t="str">
        <f t="shared" ca="1" si="36"/>
        <v/>
      </c>
      <c r="DW30" s="88" t="str">
        <f t="shared" ca="1" si="36"/>
        <v/>
      </c>
      <c r="DX30" s="88" t="str">
        <f t="shared" ca="1" si="36"/>
        <v/>
      </c>
      <c r="DY30" s="88" t="str">
        <f t="shared" ca="1" si="37"/>
        <v/>
      </c>
      <c r="DZ30" s="88" t="str">
        <f t="shared" ca="1" si="37"/>
        <v/>
      </c>
      <c r="EA30" s="88" t="str">
        <f t="shared" ca="1" si="37"/>
        <v/>
      </c>
      <c r="EB30" s="88" t="str">
        <f t="shared" ca="1" si="37"/>
        <v/>
      </c>
      <c r="EC30" s="88" t="str">
        <f t="shared" ca="1" si="37"/>
        <v/>
      </c>
      <c r="ED30" s="88" t="str">
        <f t="shared" ca="1" si="37"/>
        <v/>
      </c>
      <c r="EE30" s="88" t="str">
        <f t="shared" ca="1" si="37"/>
        <v/>
      </c>
      <c r="EF30" s="88" t="str">
        <f t="shared" ca="1" si="37"/>
        <v/>
      </c>
      <c r="EG30" s="88" t="str">
        <f t="shared" ca="1" si="37"/>
        <v/>
      </c>
      <c r="EH30" s="88" t="str">
        <f t="shared" ca="1" si="37"/>
        <v/>
      </c>
      <c r="EI30" s="88" t="str">
        <f t="shared" ca="1" si="37"/>
        <v/>
      </c>
      <c r="EJ30" s="9" t="str">
        <f t="shared" ca="1" si="37"/>
        <v/>
      </c>
      <c r="EK30" s="9" t="str">
        <f t="shared" ca="1" si="37"/>
        <v/>
      </c>
      <c r="EL30" s="9" t="str">
        <f t="shared" ca="1" si="24"/>
        <v/>
      </c>
      <c r="EM30" s="9" t="str">
        <f t="shared" ca="1" si="24"/>
        <v/>
      </c>
      <c r="EN30" s="9" t="str">
        <f t="shared" ca="1" si="24"/>
        <v/>
      </c>
      <c r="EO30" s="9" t="str">
        <f t="shared" ca="1" si="24"/>
        <v/>
      </c>
      <c r="EP30" s="9" t="str">
        <f t="shared" ca="1" si="24"/>
        <v/>
      </c>
      <c r="EQ30" s="9" t="str">
        <f t="shared" ca="1" si="24"/>
        <v/>
      </c>
      <c r="ER30" s="9" t="str">
        <f t="shared" ca="1" si="24"/>
        <v/>
      </c>
      <c r="ES30" s="9" t="str">
        <f t="shared" ca="1" si="24"/>
        <v/>
      </c>
      <c r="ET30" s="9" t="str">
        <f t="shared" ca="1" si="24"/>
        <v/>
      </c>
      <c r="EU30" s="9" t="str">
        <f t="shared" ca="1" si="24"/>
        <v/>
      </c>
      <c r="EV30" s="9" t="str">
        <f t="shared" ca="1" si="24"/>
        <v/>
      </c>
      <c r="EW30" s="9" t="str">
        <f t="shared" ca="1" si="24"/>
        <v/>
      </c>
      <c r="EX30" s="9" t="str">
        <f t="shared" ca="1" si="24"/>
        <v/>
      </c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</row>
    <row r="31" spans="2:252" ht="15.75" outlineLevel="1">
      <c r="B31" s="30" t="s">
        <v>37</v>
      </c>
      <c r="C31" s="31" t="s">
        <v>22</v>
      </c>
      <c r="D31" s="24" t="s">
        <v>51</v>
      </c>
      <c r="E31" s="25">
        <v>46132</v>
      </c>
      <c r="F31" s="24">
        <f>NETWORKDAYS(E31,G31,Праздники!$A$1:$A$14)</f>
        <v>14</v>
      </c>
      <c r="G31" s="25">
        <v>46150</v>
      </c>
      <c r="H31" s="26">
        <v>1</v>
      </c>
      <c r="I31" s="24" t="s">
        <v>151</v>
      </c>
      <c r="J31" s="37" t="s">
        <v>150</v>
      </c>
      <c r="K31" s="37"/>
      <c r="L31" s="37"/>
      <c r="M31" s="124" t="s">
        <v>213</v>
      </c>
      <c r="N31" s="37"/>
      <c r="O31" s="37"/>
      <c r="P31" s="87" t="str">
        <f t="shared" ca="1" si="20"/>
        <v/>
      </c>
      <c r="Q31" s="88" t="str">
        <f t="shared" ca="1" si="20"/>
        <v/>
      </c>
      <c r="R31" s="88" t="str">
        <f t="shared" ca="1" si="20"/>
        <v/>
      </c>
      <c r="S31" s="88" t="str">
        <f t="shared" ca="1" si="20"/>
        <v/>
      </c>
      <c r="T31" s="88" t="str">
        <f t="shared" ca="1" si="20"/>
        <v/>
      </c>
      <c r="U31" s="88" t="str">
        <f t="shared" ca="1" si="20"/>
        <v/>
      </c>
      <c r="V31" s="88" t="str">
        <f t="shared" ca="1" si="20"/>
        <v/>
      </c>
      <c r="W31" s="88" t="str">
        <f t="shared" ca="1" si="20"/>
        <v/>
      </c>
      <c r="X31" s="88" t="str">
        <f t="shared" ca="1" si="20"/>
        <v/>
      </c>
      <c r="Y31" s="88" t="str">
        <f t="shared" ca="1" si="20"/>
        <v/>
      </c>
      <c r="Z31" s="88" t="str">
        <f t="shared" ca="1" si="20"/>
        <v/>
      </c>
      <c r="AA31" s="88" t="str">
        <f t="shared" ca="1" si="20"/>
        <v/>
      </c>
      <c r="AB31" s="88" t="str">
        <f t="shared" ca="1" si="20"/>
        <v/>
      </c>
      <c r="AC31" s="88" t="str">
        <f t="shared" ca="1" si="20"/>
        <v/>
      </c>
      <c r="AD31" s="88" t="str">
        <f t="shared" ca="1" si="20"/>
        <v/>
      </c>
      <c r="AE31" s="88" t="str">
        <f t="shared" ca="1" si="20"/>
        <v/>
      </c>
      <c r="AF31" s="88" t="str">
        <f t="shared" ca="1" si="39"/>
        <v/>
      </c>
      <c r="AG31" s="88" t="str">
        <f t="shared" ca="1" si="39"/>
        <v/>
      </c>
      <c r="AH31" s="88" t="str">
        <f t="shared" ca="1" si="39"/>
        <v/>
      </c>
      <c r="AI31" s="88" t="str">
        <f t="shared" ca="1" si="39"/>
        <v/>
      </c>
      <c r="AJ31" s="88" t="str">
        <f t="shared" ca="1" si="39"/>
        <v/>
      </c>
      <c r="AK31" s="88" t="str">
        <f t="shared" ca="1" si="39"/>
        <v/>
      </c>
      <c r="AL31" s="88" t="str">
        <f t="shared" ca="1" si="39"/>
        <v/>
      </c>
      <c r="AM31" s="88" t="str">
        <f t="shared" ca="1" si="39"/>
        <v/>
      </c>
      <c r="AN31" s="88" t="str">
        <f t="shared" ca="1" si="39"/>
        <v/>
      </c>
      <c r="AO31" s="88" t="str">
        <f t="shared" ca="1" si="39"/>
        <v/>
      </c>
      <c r="AP31" s="88" t="str">
        <f t="shared" ca="1" si="39"/>
        <v/>
      </c>
      <c r="AQ31" s="88" t="str">
        <f t="shared" ca="1" si="39"/>
        <v/>
      </c>
      <c r="AR31" s="88" t="str">
        <f t="shared" ca="1" si="39"/>
        <v/>
      </c>
      <c r="AS31" s="88" t="str">
        <f t="shared" ca="1" si="39"/>
        <v/>
      </c>
      <c r="AT31" s="88" t="str">
        <f t="shared" ca="1" si="39"/>
        <v/>
      </c>
      <c r="AU31" s="88" t="str">
        <f t="shared" ca="1" si="39"/>
        <v/>
      </c>
      <c r="AV31" s="88" t="str">
        <f t="shared" ca="1" si="40"/>
        <v/>
      </c>
      <c r="AW31" s="88" t="str">
        <f t="shared" ca="1" si="40"/>
        <v/>
      </c>
      <c r="AX31" s="88" t="str">
        <f t="shared" ca="1" si="40"/>
        <v/>
      </c>
      <c r="AY31" s="88" t="str">
        <f t="shared" ca="1" si="40"/>
        <v/>
      </c>
      <c r="AZ31" s="88" t="str">
        <f t="shared" ca="1" si="40"/>
        <v/>
      </c>
      <c r="BA31" s="88" t="str">
        <f t="shared" ca="1" si="40"/>
        <v/>
      </c>
      <c r="BB31" s="88" t="str">
        <f t="shared" ca="1" si="40"/>
        <v/>
      </c>
      <c r="BC31" s="88" t="str">
        <f t="shared" ca="1" si="40"/>
        <v/>
      </c>
      <c r="BD31" s="88" t="str">
        <f t="shared" ca="1" si="40"/>
        <v/>
      </c>
      <c r="BE31" s="88" t="str">
        <f t="shared" ca="1" si="40"/>
        <v/>
      </c>
      <c r="BF31" s="88" t="str">
        <f t="shared" ca="1" si="40"/>
        <v/>
      </c>
      <c r="BG31" s="88" t="str">
        <f t="shared" ca="1" si="40"/>
        <v/>
      </c>
      <c r="BH31" s="88" t="str">
        <f t="shared" ca="1" si="40"/>
        <v/>
      </c>
      <c r="BI31" s="88" t="str">
        <f t="shared" ca="1" si="40"/>
        <v/>
      </c>
      <c r="BJ31" s="88" t="str">
        <f t="shared" ca="1" si="40"/>
        <v/>
      </c>
      <c r="BK31" s="88" t="str">
        <f t="shared" ca="1" si="40"/>
        <v/>
      </c>
      <c r="BL31" s="88" t="str">
        <f t="shared" ca="1" si="41"/>
        <v/>
      </c>
      <c r="BM31" s="88" t="str">
        <f t="shared" ca="1" si="41"/>
        <v/>
      </c>
      <c r="BN31" s="88" t="str">
        <f t="shared" ca="1" si="41"/>
        <v/>
      </c>
      <c r="BO31" s="88" t="str">
        <f t="shared" ca="1" si="41"/>
        <v/>
      </c>
      <c r="BP31" s="88" t="str">
        <f t="shared" ca="1" si="41"/>
        <v/>
      </c>
      <c r="BQ31" s="88" t="str">
        <f t="shared" ca="1" si="41"/>
        <v/>
      </c>
      <c r="BR31" s="88" t="str">
        <f t="shared" ca="1" si="41"/>
        <v/>
      </c>
      <c r="BS31" s="88" t="str">
        <f t="shared" ca="1" si="41"/>
        <v/>
      </c>
      <c r="BT31" s="88" t="str">
        <f t="shared" ca="1" si="41"/>
        <v/>
      </c>
      <c r="BU31" s="88" t="str">
        <f t="shared" ca="1" si="41"/>
        <v/>
      </c>
      <c r="BV31" s="88" t="str">
        <f t="shared" ca="1" si="41"/>
        <v/>
      </c>
      <c r="BW31" s="88" t="str">
        <f t="shared" ca="1" si="41"/>
        <v/>
      </c>
      <c r="BX31" s="88" t="str">
        <f t="shared" ca="1" si="41"/>
        <v/>
      </c>
      <c r="BY31" s="88" t="str">
        <f t="shared" ca="1" si="42"/>
        <v/>
      </c>
      <c r="BZ31" s="88" t="str">
        <f t="shared" ca="1" si="42"/>
        <v/>
      </c>
      <c r="CA31" s="88" t="str">
        <f t="shared" ca="1" si="42"/>
        <v/>
      </c>
      <c r="CB31" s="88" t="str">
        <f t="shared" ca="1" si="42"/>
        <v/>
      </c>
      <c r="CC31" s="88" t="str">
        <f t="shared" ca="1" si="42"/>
        <v/>
      </c>
      <c r="CD31" s="88" t="str">
        <f t="shared" ca="1" si="42"/>
        <v/>
      </c>
      <c r="CE31" s="88" t="str">
        <f t="shared" ca="1" si="42"/>
        <v/>
      </c>
      <c r="CF31" s="88" t="str">
        <f t="shared" ca="1" si="42"/>
        <v/>
      </c>
      <c r="CG31" s="88" t="str">
        <f t="shared" ca="1" si="42"/>
        <v/>
      </c>
      <c r="CH31" s="88" t="str">
        <f t="shared" ca="1" si="42"/>
        <v/>
      </c>
      <c r="CI31" s="88" t="str">
        <f t="shared" ca="1" si="42"/>
        <v/>
      </c>
      <c r="CJ31" s="88" t="str">
        <f t="shared" ca="1" si="42"/>
        <v/>
      </c>
      <c r="CK31" s="88" t="str">
        <f t="shared" ca="1" si="42"/>
        <v/>
      </c>
      <c r="CL31" s="88" t="str">
        <f t="shared" ca="1" si="42"/>
        <v/>
      </c>
      <c r="CM31" s="88" t="str">
        <f t="shared" ca="1" si="42"/>
        <v/>
      </c>
      <c r="CN31" s="88" t="str">
        <f t="shared" ca="1" si="38"/>
        <v/>
      </c>
      <c r="CO31" s="88" t="str">
        <f t="shared" ca="1" si="38"/>
        <v/>
      </c>
      <c r="CP31" s="88" t="str">
        <f t="shared" ca="1" si="38"/>
        <v/>
      </c>
      <c r="CQ31" s="88" t="str">
        <f t="shared" ca="1" si="38"/>
        <v/>
      </c>
      <c r="CR31" s="88" t="str">
        <f t="shared" ca="1" si="34"/>
        <v/>
      </c>
      <c r="CS31" s="88" t="str">
        <f t="shared" ca="1" si="34"/>
        <v/>
      </c>
      <c r="CT31" s="88" t="str">
        <f t="shared" ca="1" si="34"/>
        <v/>
      </c>
      <c r="CU31" s="88" t="str">
        <f t="shared" ca="1" si="34"/>
        <v/>
      </c>
      <c r="CV31" s="88" t="str">
        <f t="shared" ca="1" si="34"/>
        <v/>
      </c>
      <c r="CW31" s="88" t="str">
        <f t="shared" ca="1" si="34"/>
        <v/>
      </c>
      <c r="CX31" s="88" t="str">
        <f t="shared" ca="1" si="34"/>
        <v/>
      </c>
      <c r="CY31" s="88" t="str">
        <f t="shared" ca="1" si="34"/>
        <v/>
      </c>
      <c r="CZ31" s="88" t="str">
        <f t="shared" ca="1" si="34"/>
        <v/>
      </c>
      <c r="DA31" s="88" t="str">
        <f t="shared" ca="1" si="34"/>
        <v/>
      </c>
      <c r="DB31" s="88" t="str">
        <f t="shared" ca="1" si="34"/>
        <v/>
      </c>
      <c r="DC31" s="88" t="str">
        <f t="shared" ca="1" si="34"/>
        <v/>
      </c>
      <c r="DD31" s="88" t="str">
        <f t="shared" ca="1" si="34"/>
        <v/>
      </c>
      <c r="DE31" s="88" t="str">
        <f t="shared" ca="1" si="35"/>
        <v/>
      </c>
      <c r="DF31" s="88" t="str">
        <f t="shared" ca="1" si="35"/>
        <v/>
      </c>
      <c r="DG31" s="88" t="str">
        <f t="shared" ca="1" si="35"/>
        <v/>
      </c>
      <c r="DH31" s="88" t="str">
        <f t="shared" ca="1" si="35"/>
        <v/>
      </c>
      <c r="DI31" s="88" t="str">
        <f t="shared" ca="1" si="36"/>
        <v/>
      </c>
      <c r="DJ31" s="88" t="str">
        <f t="shared" ca="1" si="36"/>
        <v/>
      </c>
      <c r="DK31" s="88" t="str">
        <f t="shared" ca="1" si="36"/>
        <v/>
      </c>
      <c r="DL31" s="88" t="str">
        <f t="shared" ca="1" si="36"/>
        <v/>
      </c>
      <c r="DM31" s="88" t="str">
        <f t="shared" ca="1" si="36"/>
        <v/>
      </c>
      <c r="DN31" s="88" t="str">
        <f t="shared" ca="1" si="36"/>
        <v/>
      </c>
      <c r="DO31" s="88" t="str">
        <f t="shared" ca="1" si="36"/>
        <v/>
      </c>
      <c r="DP31" s="88" t="str">
        <f t="shared" ca="1" si="36"/>
        <v/>
      </c>
      <c r="DQ31" s="88" t="str">
        <f t="shared" ca="1" si="36"/>
        <v/>
      </c>
      <c r="DR31" s="88" t="str">
        <f t="shared" ca="1" si="36"/>
        <v/>
      </c>
      <c r="DS31" s="88" t="str">
        <f t="shared" ca="1" si="36"/>
        <v/>
      </c>
      <c r="DT31" s="88" t="str">
        <f t="shared" ca="1" si="36"/>
        <v/>
      </c>
      <c r="DU31" s="88" t="str">
        <f t="shared" ca="1" si="36"/>
        <v/>
      </c>
      <c r="DV31" s="88" t="str">
        <f t="shared" ca="1" si="36"/>
        <v/>
      </c>
      <c r="DW31" s="88" t="str">
        <f t="shared" ca="1" si="36"/>
        <v/>
      </c>
      <c r="DX31" s="88" t="str">
        <f t="shared" ca="1" si="36"/>
        <v/>
      </c>
      <c r="DY31" s="88" t="str">
        <f t="shared" ca="1" si="37"/>
        <v/>
      </c>
      <c r="DZ31" s="88" t="str">
        <f t="shared" ca="1" si="37"/>
        <v/>
      </c>
      <c r="EA31" s="88" t="str">
        <f t="shared" ca="1" si="37"/>
        <v/>
      </c>
      <c r="EB31" s="88" t="str">
        <f t="shared" ca="1" si="37"/>
        <v/>
      </c>
      <c r="EC31" s="88" t="str">
        <f t="shared" ca="1" si="37"/>
        <v/>
      </c>
      <c r="ED31" s="88" t="str">
        <f t="shared" ca="1" si="37"/>
        <v/>
      </c>
      <c r="EE31" s="88" t="str">
        <f t="shared" ca="1" si="37"/>
        <v/>
      </c>
      <c r="EF31" s="88" t="str">
        <f t="shared" ca="1" si="37"/>
        <v/>
      </c>
      <c r="EG31" s="88" t="str">
        <f t="shared" ca="1" si="37"/>
        <v/>
      </c>
      <c r="EH31" s="88" t="str">
        <f t="shared" ca="1" si="37"/>
        <v/>
      </c>
      <c r="EI31" s="88" t="str">
        <f t="shared" ca="1" si="37"/>
        <v/>
      </c>
      <c r="EJ31" s="9" t="str">
        <f t="shared" ca="1" si="37"/>
        <v/>
      </c>
      <c r="EK31" s="9" t="str">
        <f t="shared" ca="1" si="37"/>
        <v/>
      </c>
      <c r="EL31" s="9" t="str">
        <f t="shared" ca="1" si="24"/>
        <v/>
      </c>
      <c r="EM31" s="9" t="str">
        <f t="shared" ca="1" si="24"/>
        <v/>
      </c>
      <c r="EN31" s="9" t="str">
        <f t="shared" ca="1" si="24"/>
        <v/>
      </c>
      <c r="EO31" s="9" t="str">
        <f t="shared" ca="1" si="24"/>
        <v/>
      </c>
      <c r="EP31" s="9" t="str">
        <f t="shared" ca="1" si="24"/>
        <v/>
      </c>
      <c r="EQ31" s="9" t="str">
        <f t="shared" ca="1" si="24"/>
        <v/>
      </c>
      <c r="ER31" s="9" t="str">
        <f t="shared" ca="1" si="24"/>
        <v/>
      </c>
      <c r="ES31" s="9" t="str">
        <f t="shared" ca="1" si="24"/>
        <v/>
      </c>
      <c r="ET31" s="9" t="str">
        <f t="shared" ca="1" si="24"/>
        <v/>
      </c>
      <c r="EU31" s="9" t="str">
        <f t="shared" ca="1" si="24"/>
        <v/>
      </c>
      <c r="EV31" s="9" t="str">
        <f t="shared" ca="1" si="24"/>
        <v/>
      </c>
      <c r="EW31" s="9" t="str">
        <f t="shared" ca="1" si="24"/>
        <v/>
      </c>
      <c r="EX31" s="9" t="str">
        <f t="shared" ca="1" si="24"/>
        <v/>
      </c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</row>
    <row r="32" spans="2:252" ht="15.75" outlineLevel="1">
      <c r="B32" s="30" t="s">
        <v>37</v>
      </c>
      <c r="C32" s="31" t="s">
        <v>214</v>
      </c>
      <c r="D32" s="24"/>
      <c r="E32" s="25">
        <v>46258</v>
      </c>
      <c r="F32" s="24">
        <f>NETWORKDAYS(E32,G32,Праздники!$A$1:$A$14)</f>
        <v>10</v>
      </c>
      <c r="G32" s="25">
        <v>46269</v>
      </c>
      <c r="H32" s="26">
        <v>0.3</v>
      </c>
      <c r="I32" s="24" t="s">
        <v>151</v>
      </c>
      <c r="J32" s="37" t="s">
        <v>150</v>
      </c>
      <c r="K32" s="37"/>
      <c r="L32" s="37"/>
      <c r="M32" s="124"/>
      <c r="N32" s="37" t="s">
        <v>211</v>
      </c>
      <c r="O32" s="37"/>
      <c r="P32" s="87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8"/>
      <c r="DA32" s="88"/>
      <c r="DB32" s="88"/>
      <c r="DC32" s="88"/>
      <c r="DD32" s="88"/>
      <c r="DE32" s="88"/>
      <c r="DF32" s="88"/>
      <c r="DG32" s="88"/>
      <c r="DH32" s="88"/>
      <c r="DI32" s="88"/>
      <c r="DJ32" s="88"/>
      <c r="DK32" s="88"/>
      <c r="DL32" s="88"/>
      <c r="DM32" s="88"/>
      <c r="DN32" s="88"/>
      <c r="DO32" s="88"/>
      <c r="DP32" s="88"/>
      <c r="DQ32" s="88"/>
      <c r="DR32" s="88"/>
      <c r="DS32" s="88"/>
      <c r="DT32" s="88"/>
      <c r="DU32" s="88"/>
      <c r="DV32" s="88"/>
      <c r="DW32" s="88"/>
      <c r="DX32" s="88"/>
      <c r="DY32" s="88"/>
      <c r="DZ32" s="88"/>
      <c r="EA32" s="88"/>
      <c r="EB32" s="88"/>
      <c r="EC32" s="88"/>
      <c r="ED32" s="88"/>
      <c r="EE32" s="88"/>
      <c r="EF32" s="88"/>
      <c r="EG32" s="88"/>
      <c r="EH32" s="88"/>
      <c r="EI32" s="88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</row>
    <row r="33" spans="2:252" ht="15.75" outlineLevel="1">
      <c r="B33" s="30" t="s">
        <v>38</v>
      </c>
      <c r="C33" s="31" t="s">
        <v>23</v>
      </c>
      <c r="D33" s="24" t="s">
        <v>52</v>
      </c>
      <c r="E33" s="25">
        <v>46149</v>
      </c>
      <c r="F33" s="24">
        <f>NETWORKDAYS(E33,G33,Праздники!$A$1:$A$14)</f>
        <v>2</v>
      </c>
      <c r="G33" s="25">
        <v>46150</v>
      </c>
      <c r="H33" s="26">
        <v>1</v>
      </c>
      <c r="I33" s="24" t="s">
        <v>152</v>
      </c>
      <c r="J33" s="37"/>
      <c r="K33" s="37"/>
      <c r="L33" s="37"/>
      <c r="M33" s="37"/>
      <c r="N33" s="37"/>
      <c r="O33" s="37"/>
      <c r="P33" s="87" t="str">
        <f t="shared" ca="1" si="20"/>
        <v/>
      </c>
      <c r="Q33" s="88" t="str">
        <f t="shared" ca="1" si="20"/>
        <v/>
      </c>
      <c r="R33" s="88" t="str">
        <f t="shared" ca="1" si="20"/>
        <v/>
      </c>
      <c r="S33" s="88" t="str">
        <f t="shared" ca="1" si="20"/>
        <v/>
      </c>
      <c r="T33" s="88" t="str">
        <f t="shared" ca="1" si="20"/>
        <v/>
      </c>
      <c r="U33" s="88" t="str">
        <f t="shared" ca="1" si="20"/>
        <v/>
      </c>
      <c r="V33" s="88" t="str">
        <f t="shared" ca="1" si="20"/>
        <v/>
      </c>
      <c r="W33" s="88" t="str">
        <f t="shared" ca="1" si="20"/>
        <v/>
      </c>
      <c r="X33" s="88" t="str">
        <f t="shared" ca="1" si="20"/>
        <v/>
      </c>
      <c r="Y33" s="88" t="str">
        <f t="shared" ca="1" si="20"/>
        <v/>
      </c>
      <c r="Z33" s="88" t="str">
        <f t="shared" ca="1" si="20"/>
        <v/>
      </c>
      <c r="AA33" s="88" t="str">
        <f t="shared" ca="1" si="20"/>
        <v/>
      </c>
      <c r="AB33" s="88" t="str">
        <f t="shared" ca="1" si="20"/>
        <v/>
      </c>
      <c r="AC33" s="88" t="str">
        <f t="shared" ca="1" si="20"/>
        <v/>
      </c>
      <c r="AD33" s="88" t="str">
        <f t="shared" ca="1" si="20"/>
        <v/>
      </c>
      <c r="AE33" s="88" t="str">
        <f t="shared" ca="1" si="20"/>
        <v/>
      </c>
      <c r="AF33" s="88" t="str">
        <f t="shared" ca="1" si="39"/>
        <v/>
      </c>
      <c r="AG33" s="88" t="str">
        <f t="shared" ca="1" si="39"/>
        <v/>
      </c>
      <c r="AH33" s="88" t="str">
        <f t="shared" ca="1" si="39"/>
        <v/>
      </c>
      <c r="AI33" s="88" t="str">
        <f t="shared" ca="1" si="39"/>
        <v/>
      </c>
      <c r="AJ33" s="88" t="str">
        <f t="shared" ca="1" si="39"/>
        <v/>
      </c>
      <c r="AK33" s="88" t="str">
        <f t="shared" ca="1" si="39"/>
        <v/>
      </c>
      <c r="AL33" s="88" t="str">
        <f t="shared" ca="1" si="39"/>
        <v/>
      </c>
      <c r="AM33" s="88" t="str">
        <f t="shared" ca="1" si="39"/>
        <v/>
      </c>
      <c r="AN33" s="88" t="str">
        <f t="shared" ca="1" si="39"/>
        <v/>
      </c>
      <c r="AO33" s="88" t="str">
        <f t="shared" ca="1" si="39"/>
        <v/>
      </c>
      <c r="AP33" s="88" t="str">
        <f t="shared" ca="1" si="39"/>
        <v/>
      </c>
      <c r="AQ33" s="88" t="str">
        <f t="shared" ca="1" si="39"/>
        <v/>
      </c>
      <c r="AR33" s="88" t="str">
        <f t="shared" ca="1" si="39"/>
        <v/>
      </c>
      <c r="AS33" s="88" t="str">
        <f t="shared" ca="1" si="39"/>
        <v/>
      </c>
      <c r="AT33" s="88" t="str">
        <f t="shared" ca="1" si="39"/>
        <v/>
      </c>
      <c r="AU33" s="88" t="str">
        <f t="shared" ca="1" si="39"/>
        <v/>
      </c>
      <c r="AV33" s="88" t="str">
        <f t="shared" ca="1" si="40"/>
        <v/>
      </c>
      <c r="AW33" s="88" t="str">
        <f t="shared" ca="1" si="40"/>
        <v/>
      </c>
      <c r="AX33" s="88" t="str">
        <f t="shared" ca="1" si="40"/>
        <v/>
      </c>
      <c r="AY33" s="88" t="str">
        <f t="shared" ca="1" si="40"/>
        <v/>
      </c>
      <c r="AZ33" s="88" t="str">
        <f t="shared" ca="1" si="40"/>
        <v/>
      </c>
      <c r="BA33" s="88" t="str">
        <f t="shared" ca="1" si="40"/>
        <v/>
      </c>
      <c r="BB33" s="88" t="str">
        <f t="shared" ca="1" si="40"/>
        <v/>
      </c>
      <c r="BC33" s="88" t="str">
        <f t="shared" ca="1" si="40"/>
        <v/>
      </c>
      <c r="BD33" s="88" t="str">
        <f t="shared" ca="1" si="40"/>
        <v/>
      </c>
      <c r="BE33" s="88" t="str">
        <f t="shared" ca="1" si="40"/>
        <v/>
      </c>
      <c r="BF33" s="88" t="str">
        <f t="shared" ca="1" si="40"/>
        <v/>
      </c>
      <c r="BG33" s="88" t="str">
        <f t="shared" ca="1" si="40"/>
        <v/>
      </c>
      <c r="BH33" s="88" t="str">
        <f t="shared" ca="1" si="40"/>
        <v/>
      </c>
      <c r="BI33" s="88" t="str">
        <f t="shared" ca="1" si="40"/>
        <v/>
      </c>
      <c r="BJ33" s="88" t="str">
        <f t="shared" ca="1" si="40"/>
        <v/>
      </c>
      <c r="BK33" s="88" t="str">
        <f t="shared" ca="1" si="40"/>
        <v/>
      </c>
      <c r="BL33" s="88" t="str">
        <f t="shared" ca="1" si="41"/>
        <v/>
      </c>
      <c r="BM33" s="88" t="str">
        <f t="shared" ca="1" si="41"/>
        <v/>
      </c>
      <c r="BN33" s="88" t="str">
        <f t="shared" ca="1" si="41"/>
        <v/>
      </c>
      <c r="BO33" s="88" t="str">
        <f t="shared" ca="1" si="41"/>
        <v/>
      </c>
      <c r="BP33" s="88" t="str">
        <f t="shared" ca="1" si="41"/>
        <v/>
      </c>
      <c r="BQ33" s="88" t="str">
        <f t="shared" ca="1" si="41"/>
        <v/>
      </c>
      <c r="BR33" s="88" t="str">
        <f t="shared" ca="1" si="41"/>
        <v/>
      </c>
      <c r="BS33" s="88" t="str">
        <f t="shared" ca="1" si="41"/>
        <v/>
      </c>
      <c r="BT33" s="88" t="str">
        <f t="shared" ca="1" si="41"/>
        <v/>
      </c>
      <c r="BU33" s="88" t="str">
        <f t="shared" ca="1" si="41"/>
        <v/>
      </c>
      <c r="BV33" s="88" t="str">
        <f t="shared" ca="1" si="41"/>
        <v/>
      </c>
      <c r="BW33" s="88" t="str">
        <f t="shared" ca="1" si="41"/>
        <v/>
      </c>
      <c r="BX33" s="88" t="str">
        <f t="shared" ca="1" si="41"/>
        <v/>
      </c>
      <c r="BY33" s="88" t="str">
        <f t="shared" ca="1" si="41"/>
        <v/>
      </c>
      <c r="BZ33" s="88" t="str">
        <f t="shared" ca="1" si="41"/>
        <v/>
      </c>
      <c r="CA33" s="88" t="str">
        <f t="shared" ca="1" si="41"/>
        <v/>
      </c>
      <c r="CB33" s="88" t="str">
        <f t="shared" ref="CB33:CM40" ca="1" si="43">IF(CB$8=TODAY(),CHAR(124),"")</f>
        <v/>
      </c>
      <c r="CC33" s="88" t="str">
        <f t="shared" ca="1" si="43"/>
        <v/>
      </c>
      <c r="CD33" s="88" t="str">
        <f t="shared" ca="1" si="43"/>
        <v/>
      </c>
      <c r="CE33" s="88" t="str">
        <f t="shared" ca="1" si="43"/>
        <v/>
      </c>
      <c r="CF33" s="88" t="str">
        <f t="shared" ca="1" si="43"/>
        <v/>
      </c>
      <c r="CG33" s="88" t="str">
        <f t="shared" ca="1" si="43"/>
        <v/>
      </c>
      <c r="CH33" s="88" t="str">
        <f t="shared" ca="1" si="43"/>
        <v/>
      </c>
      <c r="CI33" s="88" t="str">
        <f t="shared" ca="1" si="43"/>
        <v/>
      </c>
      <c r="CJ33" s="88" t="str">
        <f t="shared" ca="1" si="43"/>
        <v/>
      </c>
      <c r="CK33" s="88" t="str">
        <f t="shared" ca="1" si="43"/>
        <v/>
      </c>
      <c r="CL33" s="88" t="str">
        <f t="shared" ca="1" si="43"/>
        <v/>
      </c>
      <c r="CM33" s="88" t="str">
        <f t="shared" ca="1" si="43"/>
        <v/>
      </c>
      <c r="CN33" s="88" t="str">
        <f t="shared" ca="1" si="38"/>
        <v/>
      </c>
      <c r="CO33" s="88" t="str">
        <f t="shared" ca="1" si="38"/>
        <v/>
      </c>
      <c r="CP33" s="88" t="str">
        <f t="shared" ca="1" si="38"/>
        <v/>
      </c>
      <c r="CQ33" s="88" t="str">
        <f t="shared" ca="1" si="38"/>
        <v/>
      </c>
      <c r="CR33" s="88" t="str">
        <f t="shared" ca="1" si="34"/>
        <v/>
      </c>
      <c r="CS33" s="88" t="str">
        <f t="shared" ca="1" si="34"/>
        <v/>
      </c>
      <c r="CT33" s="88" t="str">
        <f t="shared" ca="1" si="34"/>
        <v/>
      </c>
      <c r="CU33" s="88" t="str">
        <f t="shared" ca="1" si="34"/>
        <v/>
      </c>
      <c r="CV33" s="88" t="str">
        <f t="shared" ca="1" si="34"/>
        <v/>
      </c>
      <c r="CW33" s="88" t="str">
        <f t="shared" ca="1" si="34"/>
        <v/>
      </c>
      <c r="CX33" s="88" t="str">
        <f t="shared" ca="1" si="34"/>
        <v/>
      </c>
      <c r="CY33" s="88" t="str">
        <f t="shared" ca="1" si="34"/>
        <v/>
      </c>
      <c r="CZ33" s="88" t="str">
        <f t="shared" ca="1" si="34"/>
        <v/>
      </c>
      <c r="DA33" s="88" t="str">
        <f t="shared" ca="1" si="34"/>
        <v/>
      </c>
      <c r="DB33" s="88" t="str">
        <f t="shared" ca="1" si="34"/>
        <v/>
      </c>
      <c r="DC33" s="88" t="str">
        <f t="shared" ca="1" si="34"/>
        <v/>
      </c>
      <c r="DD33" s="88" t="str">
        <f t="shared" ca="1" si="34"/>
        <v/>
      </c>
      <c r="DE33" s="88" t="str">
        <f t="shared" ca="1" si="34"/>
        <v/>
      </c>
      <c r="DF33" s="88" t="str">
        <f t="shared" ca="1" si="34"/>
        <v/>
      </c>
      <c r="DG33" s="88" t="str">
        <f t="shared" ca="1" si="34"/>
        <v/>
      </c>
      <c r="DH33" s="88" t="str">
        <f t="shared" ca="1" si="34"/>
        <v/>
      </c>
      <c r="DI33" s="88" t="str">
        <f t="shared" ca="1" si="36"/>
        <v/>
      </c>
      <c r="DJ33" s="88" t="str">
        <f t="shared" ca="1" si="36"/>
        <v/>
      </c>
      <c r="DK33" s="88" t="str">
        <f t="shared" ca="1" si="36"/>
        <v/>
      </c>
      <c r="DL33" s="88" t="str">
        <f t="shared" ca="1" si="36"/>
        <v/>
      </c>
      <c r="DM33" s="88" t="str">
        <f t="shared" ca="1" si="36"/>
        <v/>
      </c>
      <c r="DN33" s="88" t="str">
        <f t="shared" ca="1" si="36"/>
        <v/>
      </c>
      <c r="DO33" s="88" t="str">
        <f t="shared" ca="1" si="36"/>
        <v/>
      </c>
      <c r="DP33" s="88" t="str">
        <f t="shared" ca="1" si="36"/>
        <v/>
      </c>
      <c r="DQ33" s="88" t="str">
        <f t="shared" ca="1" si="36"/>
        <v/>
      </c>
      <c r="DR33" s="88" t="str">
        <f t="shared" ca="1" si="36"/>
        <v/>
      </c>
      <c r="DS33" s="88" t="str">
        <f t="shared" ca="1" si="36"/>
        <v/>
      </c>
      <c r="DT33" s="88" t="str">
        <f t="shared" ca="1" si="36"/>
        <v/>
      </c>
      <c r="DU33" s="88" t="str">
        <f t="shared" ca="1" si="36"/>
        <v/>
      </c>
      <c r="DV33" s="88" t="str">
        <f t="shared" ca="1" si="36"/>
        <v/>
      </c>
      <c r="DW33" s="88" t="str">
        <f t="shared" ca="1" si="36"/>
        <v/>
      </c>
      <c r="DX33" s="88" t="str">
        <f t="shared" ca="1" si="36"/>
        <v/>
      </c>
      <c r="DY33" s="88" t="str">
        <f t="shared" ca="1" si="37"/>
        <v/>
      </c>
      <c r="DZ33" s="88" t="str">
        <f t="shared" ca="1" si="37"/>
        <v/>
      </c>
      <c r="EA33" s="88" t="str">
        <f t="shared" ca="1" si="37"/>
        <v/>
      </c>
      <c r="EB33" s="88" t="str">
        <f t="shared" ca="1" si="37"/>
        <v/>
      </c>
      <c r="EC33" s="88" t="str">
        <f t="shared" ca="1" si="37"/>
        <v/>
      </c>
      <c r="ED33" s="88" t="str">
        <f t="shared" ca="1" si="37"/>
        <v/>
      </c>
      <c r="EE33" s="88" t="str">
        <f t="shared" ca="1" si="37"/>
        <v/>
      </c>
      <c r="EF33" s="88" t="str">
        <f t="shared" ca="1" si="37"/>
        <v/>
      </c>
      <c r="EG33" s="88" t="str">
        <f t="shared" ca="1" si="37"/>
        <v/>
      </c>
      <c r="EH33" s="88" t="str">
        <f t="shared" ca="1" si="37"/>
        <v/>
      </c>
      <c r="EI33" s="88" t="str">
        <f t="shared" ca="1" si="37"/>
        <v/>
      </c>
      <c r="EJ33" s="9" t="str">
        <f t="shared" ca="1" si="37"/>
        <v/>
      </c>
      <c r="EK33" s="9" t="str">
        <f t="shared" ca="1" si="37"/>
        <v/>
      </c>
      <c r="EL33" s="9" t="str">
        <f t="shared" ca="1" si="24"/>
        <v/>
      </c>
      <c r="EM33" s="9" t="str">
        <f t="shared" ca="1" si="24"/>
        <v/>
      </c>
      <c r="EN33" s="9" t="str">
        <f t="shared" ca="1" si="24"/>
        <v/>
      </c>
      <c r="EO33" s="9" t="str">
        <f t="shared" ca="1" si="24"/>
        <v/>
      </c>
      <c r="EP33" s="9" t="str">
        <f t="shared" ca="1" si="24"/>
        <v/>
      </c>
      <c r="EQ33" s="9" t="str">
        <f t="shared" ca="1" si="24"/>
        <v/>
      </c>
      <c r="ER33" s="9" t="str">
        <f t="shared" ca="1" si="24"/>
        <v/>
      </c>
      <c r="ES33" s="9" t="str">
        <f t="shared" ca="1" si="24"/>
        <v/>
      </c>
      <c r="ET33" s="9" t="str">
        <f t="shared" ca="1" si="24"/>
        <v/>
      </c>
      <c r="EU33" s="9" t="str">
        <f t="shared" ca="1" si="24"/>
        <v/>
      </c>
      <c r="EV33" s="9" t="str">
        <f t="shared" ca="1" si="24"/>
        <v/>
      </c>
      <c r="EW33" s="9" t="str">
        <f t="shared" ca="1" si="24"/>
        <v/>
      </c>
      <c r="EX33" s="9" t="str">
        <f t="shared" ca="1" si="24"/>
        <v/>
      </c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</row>
    <row r="34" spans="2:252" ht="15.75" outlineLevel="1">
      <c r="B34" s="30" t="s">
        <v>39</v>
      </c>
      <c r="C34" s="31" t="s">
        <v>24</v>
      </c>
      <c r="D34" s="24" t="s">
        <v>51</v>
      </c>
      <c r="E34" s="25">
        <v>46149</v>
      </c>
      <c r="F34" s="24">
        <f>NETWORKDAYS(E34,G34,Праздники!$A$1:$A$14)</f>
        <v>2</v>
      </c>
      <c r="G34" s="25">
        <v>46150</v>
      </c>
      <c r="H34" s="26">
        <v>1</v>
      </c>
      <c r="I34" s="24" t="s">
        <v>151</v>
      </c>
      <c r="J34" s="37" t="s">
        <v>150</v>
      </c>
      <c r="K34" s="37"/>
      <c r="L34" s="37"/>
      <c r="M34" s="124" t="s">
        <v>212</v>
      </c>
      <c r="N34" s="37"/>
      <c r="O34" s="37"/>
      <c r="P34" s="87" t="str">
        <f t="shared" ca="1" si="20"/>
        <v/>
      </c>
      <c r="Q34" s="88" t="str">
        <f t="shared" ca="1" si="20"/>
        <v/>
      </c>
      <c r="R34" s="88" t="str">
        <f t="shared" ca="1" si="20"/>
        <v/>
      </c>
      <c r="S34" s="88" t="str">
        <f t="shared" ca="1" si="20"/>
        <v/>
      </c>
      <c r="T34" s="88" t="str">
        <f t="shared" ca="1" si="20"/>
        <v/>
      </c>
      <c r="U34" s="88" t="str">
        <f t="shared" ca="1" si="20"/>
        <v/>
      </c>
      <c r="V34" s="88" t="str">
        <f t="shared" ca="1" si="20"/>
        <v/>
      </c>
      <c r="W34" s="88" t="str">
        <f t="shared" ca="1" si="20"/>
        <v/>
      </c>
      <c r="X34" s="88" t="str">
        <f t="shared" ca="1" si="20"/>
        <v/>
      </c>
      <c r="Y34" s="88" t="str">
        <f t="shared" ca="1" si="20"/>
        <v/>
      </c>
      <c r="Z34" s="88" t="str">
        <f t="shared" ca="1" si="20"/>
        <v/>
      </c>
      <c r="AA34" s="88" t="str">
        <f t="shared" ca="1" si="20"/>
        <v/>
      </c>
      <c r="AB34" s="88" t="str">
        <f t="shared" ca="1" si="20"/>
        <v/>
      </c>
      <c r="AC34" s="88" t="str">
        <f t="shared" ca="1" si="20"/>
        <v/>
      </c>
      <c r="AD34" s="88" t="str">
        <f t="shared" ca="1" si="20"/>
        <v/>
      </c>
      <c r="AE34" s="88" t="str">
        <f ca="1">IF(AE$8=TODAY(),CHAR(124),"")</f>
        <v/>
      </c>
      <c r="AF34" s="88" t="str">
        <f t="shared" ca="1" si="39"/>
        <v/>
      </c>
      <c r="AG34" s="88" t="str">
        <f t="shared" ca="1" si="39"/>
        <v/>
      </c>
      <c r="AH34" s="88" t="str">
        <f t="shared" ca="1" si="39"/>
        <v/>
      </c>
      <c r="AI34" s="88" t="str">
        <f t="shared" ca="1" si="39"/>
        <v/>
      </c>
      <c r="AJ34" s="88" t="str">
        <f t="shared" ca="1" si="39"/>
        <v/>
      </c>
      <c r="AK34" s="88" t="str">
        <f t="shared" ca="1" si="39"/>
        <v/>
      </c>
      <c r="AL34" s="88" t="str">
        <f t="shared" ca="1" si="39"/>
        <v/>
      </c>
      <c r="AM34" s="88" t="str">
        <f t="shared" ca="1" si="39"/>
        <v/>
      </c>
      <c r="AN34" s="88" t="str">
        <f t="shared" ca="1" si="39"/>
        <v/>
      </c>
      <c r="AO34" s="88" t="str">
        <f t="shared" ca="1" si="39"/>
        <v/>
      </c>
      <c r="AP34" s="88" t="str">
        <f t="shared" ca="1" si="39"/>
        <v/>
      </c>
      <c r="AQ34" s="88" t="str">
        <f t="shared" ca="1" si="39"/>
        <v/>
      </c>
      <c r="AR34" s="88" t="str">
        <f t="shared" ca="1" si="39"/>
        <v/>
      </c>
      <c r="AS34" s="88" t="str">
        <f t="shared" ca="1" si="39"/>
        <v/>
      </c>
      <c r="AT34" s="88" t="str">
        <f t="shared" ca="1" si="39"/>
        <v/>
      </c>
      <c r="AU34" s="88" t="str">
        <f t="shared" ca="1" si="39"/>
        <v/>
      </c>
      <c r="AV34" s="88" t="str">
        <f t="shared" ca="1" si="40"/>
        <v/>
      </c>
      <c r="AW34" s="88" t="str">
        <f t="shared" ca="1" si="40"/>
        <v/>
      </c>
      <c r="AX34" s="88" t="str">
        <f t="shared" ca="1" si="40"/>
        <v/>
      </c>
      <c r="AY34" s="88" t="str">
        <f t="shared" ca="1" si="40"/>
        <v/>
      </c>
      <c r="AZ34" s="88" t="str">
        <f t="shared" ca="1" si="40"/>
        <v/>
      </c>
      <c r="BA34" s="88" t="str">
        <f t="shared" ca="1" si="40"/>
        <v/>
      </c>
      <c r="BB34" s="88" t="str">
        <f t="shared" ca="1" si="40"/>
        <v/>
      </c>
      <c r="BC34" s="88" t="str">
        <f t="shared" ca="1" si="40"/>
        <v/>
      </c>
      <c r="BD34" s="88" t="str">
        <f t="shared" ca="1" si="40"/>
        <v/>
      </c>
      <c r="BE34" s="88" t="str">
        <f t="shared" ca="1" si="40"/>
        <v/>
      </c>
      <c r="BF34" s="88" t="str">
        <f t="shared" ca="1" si="40"/>
        <v/>
      </c>
      <c r="BG34" s="88" t="str">
        <f t="shared" ca="1" si="40"/>
        <v/>
      </c>
      <c r="BH34" s="88" t="str">
        <f t="shared" ca="1" si="40"/>
        <v/>
      </c>
      <c r="BI34" s="88" t="str">
        <f t="shared" ca="1" si="40"/>
        <v/>
      </c>
      <c r="BJ34" s="88" t="str">
        <f t="shared" ca="1" si="40"/>
        <v/>
      </c>
      <c r="BK34" s="88" t="str">
        <f t="shared" ca="1" si="40"/>
        <v/>
      </c>
      <c r="BL34" s="88" t="str">
        <f t="shared" ca="1" si="41"/>
        <v/>
      </c>
      <c r="BM34" s="88" t="str">
        <f t="shared" ca="1" si="41"/>
        <v/>
      </c>
      <c r="BN34" s="88" t="str">
        <f t="shared" ca="1" si="41"/>
        <v/>
      </c>
      <c r="BO34" s="88" t="str">
        <f t="shared" ca="1" si="41"/>
        <v/>
      </c>
      <c r="BP34" s="88" t="str">
        <f t="shared" ca="1" si="41"/>
        <v/>
      </c>
      <c r="BQ34" s="88" t="str">
        <f t="shared" ca="1" si="41"/>
        <v/>
      </c>
      <c r="BR34" s="88" t="str">
        <f t="shared" ca="1" si="41"/>
        <v/>
      </c>
      <c r="BS34" s="88" t="str">
        <f t="shared" ca="1" si="41"/>
        <v/>
      </c>
      <c r="BT34" s="88" t="str">
        <f t="shared" ca="1" si="41"/>
        <v/>
      </c>
      <c r="BU34" s="88" t="str">
        <f t="shared" ca="1" si="41"/>
        <v/>
      </c>
      <c r="BV34" s="88" t="str">
        <f t="shared" ca="1" si="41"/>
        <v/>
      </c>
      <c r="BW34" s="88" t="str">
        <f t="shared" ca="1" si="41"/>
        <v/>
      </c>
      <c r="BX34" s="88" t="str">
        <f t="shared" ca="1" si="41"/>
        <v/>
      </c>
      <c r="BY34" s="88" t="str">
        <f t="shared" ca="1" si="41"/>
        <v/>
      </c>
      <c r="BZ34" s="88" t="str">
        <f t="shared" ca="1" si="41"/>
        <v/>
      </c>
      <c r="CA34" s="88" t="str">
        <f t="shared" ca="1" si="41"/>
        <v/>
      </c>
      <c r="CB34" s="88" t="str">
        <f t="shared" ca="1" si="43"/>
        <v/>
      </c>
      <c r="CC34" s="88" t="str">
        <f t="shared" ca="1" si="43"/>
        <v/>
      </c>
      <c r="CD34" s="88" t="str">
        <f t="shared" ca="1" si="43"/>
        <v/>
      </c>
      <c r="CE34" s="88" t="str">
        <f t="shared" ca="1" si="43"/>
        <v/>
      </c>
      <c r="CF34" s="88" t="str">
        <f t="shared" ca="1" si="43"/>
        <v/>
      </c>
      <c r="CG34" s="88" t="str">
        <f t="shared" ca="1" si="43"/>
        <v/>
      </c>
      <c r="CH34" s="88" t="str">
        <f t="shared" ca="1" si="43"/>
        <v/>
      </c>
      <c r="CI34" s="88" t="str">
        <f t="shared" ca="1" si="43"/>
        <v/>
      </c>
      <c r="CJ34" s="88" t="str">
        <f t="shared" ca="1" si="43"/>
        <v/>
      </c>
      <c r="CK34" s="88" t="str">
        <f t="shared" ca="1" si="43"/>
        <v/>
      </c>
      <c r="CL34" s="88" t="str">
        <f t="shared" ca="1" si="43"/>
        <v/>
      </c>
      <c r="CM34" s="88" t="str">
        <f t="shared" ca="1" si="43"/>
        <v/>
      </c>
      <c r="CN34" s="88" t="str">
        <f t="shared" ca="1" si="38"/>
        <v/>
      </c>
      <c r="CO34" s="88" t="str">
        <f t="shared" ca="1" si="38"/>
        <v/>
      </c>
      <c r="CP34" s="88" t="str">
        <f t="shared" ca="1" si="38"/>
        <v/>
      </c>
      <c r="CQ34" s="88" t="str">
        <f t="shared" ca="1" si="38"/>
        <v/>
      </c>
      <c r="CR34" s="88" t="str">
        <f t="shared" ca="1" si="34"/>
        <v/>
      </c>
      <c r="CS34" s="88" t="str">
        <f t="shared" ca="1" si="34"/>
        <v/>
      </c>
      <c r="CT34" s="88" t="str">
        <f t="shared" ca="1" si="34"/>
        <v/>
      </c>
      <c r="CU34" s="88" t="str">
        <f t="shared" ca="1" si="34"/>
        <v/>
      </c>
      <c r="CV34" s="88" t="str">
        <f t="shared" ca="1" si="34"/>
        <v/>
      </c>
      <c r="CW34" s="88" t="str">
        <f t="shared" ca="1" si="34"/>
        <v/>
      </c>
      <c r="CX34" s="88" t="str">
        <f t="shared" ca="1" si="34"/>
        <v/>
      </c>
      <c r="CY34" s="88" t="str">
        <f t="shared" ca="1" si="34"/>
        <v/>
      </c>
      <c r="CZ34" s="88" t="str">
        <f t="shared" ca="1" si="34"/>
        <v/>
      </c>
      <c r="DA34" s="88" t="str">
        <f t="shared" ca="1" si="34"/>
        <v/>
      </c>
      <c r="DB34" s="88" t="str">
        <f t="shared" ca="1" si="34"/>
        <v/>
      </c>
      <c r="DC34" s="88" t="str">
        <f t="shared" ca="1" si="34"/>
        <v/>
      </c>
      <c r="DD34" s="88" t="str">
        <f t="shared" ca="1" si="34"/>
        <v/>
      </c>
      <c r="DE34" s="88" t="str">
        <f t="shared" ca="1" si="34"/>
        <v/>
      </c>
      <c r="DF34" s="88" t="str">
        <f t="shared" ca="1" si="34"/>
        <v/>
      </c>
      <c r="DG34" s="88" t="str">
        <f t="shared" ca="1" si="34"/>
        <v/>
      </c>
      <c r="DH34" s="88" t="str">
        <f t="shared" ca="1" si="34"/>
        <v/>
      </c>
      <c r="DI34" s="88" t="str">
        <f t="shared" ca="1" si="36"/>
        <v/>
      </c>
      <c r="DJ34" s="88" t="str">
        <f t="shared" ca="1" si="36"/>
        <v/>
      </c>
      <c r="DK34" s="88" t="str">
        <f t="shared" ca="1" si="36"/>
        <v/>
      </c>
      <c r="DL34" s="88" t="str">
        <f t="shared" ca="1" si="36"/>
        <v/>
      </c>
      <c r="DM34" s="88" t="str">
        <f t="shared" ca="1" si="36"/>
        <v/>
      </c>
      <c r="DN34" s="88" t="str">
        <f t="shared" ca="1" si="36"/>
        <v/>
      </c>
      <c r="DO34" s="88" t="str">
        <f t="shared" ca="1" si="36"/>
        <v/>
      </c>
      <c r="DP34" s="88" t="str">
        <f t="shared" ca="1" si="36"/>
        <v/>
      </c>
      <c r="DQ34" s="88" t="str">
        <f t="shared" ca="1" si="36"/>
        <v/>
      </c>
      <c r="DR34" s="88" t="str">
        <f t="shared" ca="1" si="36"/>
        <v/>
      </c>
      <c r="DS34" s="88" t="str">
        <f t="shared" ca="1" si="36"/>
        <v/>
      </c>
      <c r="DT34" s="88" t="str">
        <f t="shared" ca="1" si="36"/>
        <v/>
      </c>
      <c r="DU34" s="88" t="str">
        <f t="shared" ca="1" si="36"/>
        <v/>
      </c>
      <c r="DV34" s="88" t="str">
        <f t="shared" ca="1" si="36"/>
        <v/>
      </c>
      <c r="DW34" s="88" t="str">
        <f t="shared" ca="1" si="36"/>
        <v/>
      </c>
      <c r="DX34" s="88" t="str">
        <f t="shared" ca="1" si="36"/>
        <v/>
      </c>
      <c r="DY34" s="88" t="str">
        <f t="shared" ca="1" si="37"/>
        <v/>
      </c>
      <c r="DZ34" s="88" t="str">
        <f t="shared" ca="1" si="37"/>
        <v/>
      </c>
      <c r="EA34" s="88" t="str">
        <f t="shared" ca="1" si="37"/>
        <v/>
      </c>
      <c r="EB34" s="88" t="str">
        <f t="shared" ca="1" si="37"/>
        <v/>
      </c>
      <c r="EC34" s="88" t="str">
        <f t="shared" ca="1" si="37"/>
        <v/>
      </c>
      <c r="ED34" s="88" t="str">
        <f t="shared" ca="1" si="37"/>
        <v/>
      </c>
      <c r="EE34" s="88" t="str">
        <f t="shared" ca="1" si="37"/>
        <v/>
      </c>
      <c r="EF34" s="88" t="str">
        <f t="shared" ca="1" si="37"/>
        <v/>
      </c>
      <c r="EG34" s="88" t="str">
        <f t="shared" ca="1" si="37"/>
        <v/>
      </c>
      <c r="EH34" s="88" t="str">
        <f t="shared" ca="1" si="37"/>
        <v/>
      </c>
      <c r="EI34" s="88" t="str">
        <f t="shared" ca="1" si="37"/>
        <v/>
      </c>
      <c r="EJ34" s="9" t="str">
        <f t="shared" ca="1" si="37"/>
        <v/>
      </c>
      <c r="EK34" s="9" t="str">
        <f t="shared" ca="1" si="37"/>
        <v/>
      </c>
      <c r="EL34" s="9" t="str">
        <f t="shared" ca="1" si="37"/>
        <v/>
      </c>
      <c r="EM34" s="9" t="str">
        <f t="shared" ca="1" si="37"/>
        <v/>
      </c>
      <c r="EN34" s="9" t="str">
        <f t="shared" ca="1" si="37"/>
        <v/>
      </c>
      <c r="EO34" s="9" t="str">
        <f t="shared" ref="EO34:EX41" ca="1" si="44">IF(EO$8=TODAY(),CHAR(124),"")</f>
        <v/>
      </c>
      <c r="EP34" s="9" t="str">
        <f t="shared" ca="1" si="44"/>
        <v/>
      </c>
      <c r="EQ34" s="9" t="str">
        <f t="shared" ca="1" si="44"/>
        <v/>
      </c>
      <c r="ER34" s="9" t="str">
        <f t="shared" ca="1" si="44"/>
        <v/>
      </c>
      <c r="ES34" s="9" t="str">
        <f t="shared" ca="1" si="44"/>
        <v/>
      </c>
      <c r="ET34" s="9" t="str">
        <f t="shared" ca="1" si="44"/>
        <v/>
      </c>
      <c r="EU34" s="9" t="str">
        <f t="shared" ca="1" si="44"/>
        <v/>
      </c>
      <c r="EV34" s="9" t="str">
        <f t="shared" ca="1" si="44"/>
        <v/>
      </c>
      <c r="EW34" s="9" t="str">
        <f t="shared" ca="1" si="44"/>
        <v/>
      </c>
      <c r="EX34" s="9" t="str">
        <f t="shared" ca="1" si="44"/>
        <v/>
      </c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</row>
    <row r="35" spans="2:252" ht="15.75" outlineLevel="1">
      <c r="B35" s="30" t="s">
        <v>216</v>
      </c>
      <c r="C35" s="31" t="s">
        <v>215</v>
      </c>
      <c r="D35" s="24"/>
      <c r="E35" s="25">
        <v>46204</v>
      </c>
      <c r="F35" s="24">
        <f>NETWORKDAYS(E35,G35,Праздники!$A$1:$A$14)</f>
        <v>55</v>
      </c>
      <c r="G35" s="25">
        <v>46280</v>
      </c>
      <c r="H35" s="26">
        <v>0.4</v>
      </c>
      <c r="I35" s="24" t="s">
        <v>151</v>
      </c>
      <c r="J35" s="37" t="s">
        <v>150</v>
      </c>
      <c r="K35" s="37"/>
      <c r="L35" s="37"/>
      <c r="M35" s="124"/>
      <c r="N35" s="37" t="s">
        <v>211</v>
      </c>
      <c r="O35" s="37"/>
      <c r="P35" s="87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8"/>
      <c r="DS35" s="88"/>
      <c r="DT35" s="88"/>
      <c r="DU35" s="88"/>
      <c r="DV35" s="88"/>
      <c r="DW35" s="88"/>
      <c r="DX35" s="88"/>
      <c r="DY35" s="88"/>
      <c r="DZ35" s="88"/>
      <c r="EA35" s="88"/>
      <c r="EB35" s="88"/>
      <c r="EC35" s="88"/>
      <c r="ED35" s="88"/>
      <c r="EE35" s="88"/>
      <c r="EF35" s="88"/>
      <c r="EG35" s="88"/>
      <c r="EH35" s="88"/>
      <c r="EI35" s="88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</row>
    <row r="36" spans="2:252" ht="15.75">
      <c r="B36" s="27" t="s">
        <v>40</v>
      </c>
      <c r="C36" s="28" t="s">
        <v>25</v>
      </c>
      <c r="D36" s="21" t="s">
        <v>15</v>
      </c>
      <c r="E36" s="22">
        <v>46147</v>
      </c>
      <c r="F36" s="21">
        <f>NETWORKDAYS(E36,G36,Праздники!$A$1:$A$14)</f>
        <v>4</v>
      </c>
      <c r="G36" s="22">
        <v>46150</v>
      </c>
      <c r="H36" s="23">
        <v>1</v>
      </c>
      <c r="I36" s="21" t="s">
        <v>153</v>
      </c>
      <c r="J36" s="36" t="s">
        <v>150</v>
      </c>
      <c r="K36" s="36"/>
      <c r="L36" s="36"/>
      <c r="M36" s="134" t="s">
        <v>314</v>
      </c>
      <c r="N36" s="36"/>
      <c r="O36" s="91"/>
      <c r="P36" s="87" t="str">
        <f t="shared" ref="P36:AE51" ca="1" si="45">IF(P$8=TODAY(),CHAR(124),"")</f>
        <v/>
      </c>
      <c r="Q36" s="88" t="str">
        <f t="shared" ca="1" si="45"/>
        <v/>
      </c>
      <c r="R36" s="88" t="str">
        <f t="shared" ca="1" si="45"/>
        <v/>
      </c>
      <c r="S36" s="88" t="str">
        <f t="shared" ca="1" si="45"/>
        <v/>
      </c>
      <c r="T36" s="88" t="str">
        <f t="shared" ca="1" si="45"/>
        <v/>
      </c>
      <c r="U36" s="88" t="str">
        <f t="shared" ca="1" si="45"/>
        <v/>
      </c>
      <c r="V36" s="88" t="str">
        <f t="shared" ca="1" si="45"/>
        <v/>
      </c>
      <c r="W36" s="88" t="str">
        <f t="shared" ca="1" si="45"/>
        <v/>
      </c>
      <c r="X36" s="88" t="str">
        <f t="shared" ca="1" si="45"/>
        <v/>
      </c>
      <c r="Y36" s="88" t="str">
        <f t="shared" ca="1" si="45"/>
        <v/>
      </c>
      <c r="Z36" s="88" t="str">
        <f t="shared" ca="1" si="45"/>
        <v/>
      </c>
      <c r="AA36" s="88" t="str">
        <f t="shared" ca="1" si="45"/>
        <v/>
      </c>
      <c r="AB36" s="88" t="str">
        <f t="shared" ca="1" si="45"/>
        <v/>
      </c>
      <c r="AC36" s="88" t="str">
        <f t="shared" ca="1" si="45"/>
        <v/>
      </c>
      <c r="AD36" s="88" t="str">
        <f t="shared" ca="1" si="45"/>
        <v/>
      </c>
      <c r="AE36" s="88" t="str">
        <f t="shared" ca="1" si="45"/>
        <v/>
      </c>
      <c r="AF36" s="88" t="str">
        <f t="shared" ca="1" si="39"/>
        <v/>
      </c>
      <c r="AG36" s="88" t="str">
        <f t="shared" ca="1" si="39"/>
        <v/>
      </c>
      <c r="AH36" s="88" t="str">
        <f t="shared" ca="1" si="39"/>
        <v/>
      </c>
      <c r="AI36" s="88" t="str">
        <f t="shared" ca="1" si="39"/>
        <v/>
      </c>
      <c r="AJ36" s="88" t="str">
        <f t="shared" ca="1" si="39"/>
        <v/>
      </c>
      <c r="AK36" s="88" t="str">
        <f t="shared" ca="1" si="39"/>
        <v/>
      </c>
      <c r="AL36" s="88" t="str">
        <f t="shared" ca="1" si="39"/>
        <v/>
      </c>
      <c r="AM36" s="88" t="str">
        <f t="shared" ca="1" si="39"/>
        <v/>
      </c>
      <c r="AN36" s="88" t="str">
        <f t="shared" ca="1" si="39"/>
        <v/>
      </c>
      <c r="AO36" s="88" t="str">
        <f t="shared" ca="1" si="39"/>
        <v/>
      </c>
      <c r="AP36" s="88" t="str">
        <f t="shared" ca="1" si="39"/>
        <v/>
      </c>
      <c r="AQ36" s="88" t="str">
        <f t="shared" ca="1" si="39"/>
        <v/>
      </c>
      <c r="AR36" s="88" t="str">
        <f t="shared" ca="1" si="39"/>
        <v/>
      </c>
      <c r="AS36" s="88" t="str">
        <f t="shared" ca="1" si="39"/>
        <v/>
      </c>
      <c r="AT36" s="88" t="str">
        <f t="shared" ca="1" si="39"/>
        <v/>
      </c>
      <c r="AU36" s="88" t="str">
        <f t="shared" ca="1" si="39"/>
        <v/>
      </c>
      <c r="AV36" s="88" t="str">
        <f t="shared" ca="1" si="40"/>
        <v/>
      </c>
      <c r="AW36" s="88" t="str">
        <f t="shared" ca="1" si="40"/>
        <v/>
      </c>
      <c r="AX36" s="88" t="str">
        <f t="shared" ca="1" si="40"/>
        <v/>
      </c>
      <c r="AY36" s="88" t="str">
        <f t="shared" ca="1" si="40"/>
        <v/>
      </c>
      <c r="AZ36" s="88" t="str">
        <f t="shared" ca="1" si="40"/>
        <v/>
      </c>
      <c r="BA36" s="88" t="str">
        <f t="shared" ca="1" si="40"/>
        <v/>
      </c>
      <c r="BB36" s="88" t="str">
        <f t="shared" ca="1" si="40"/>
        <v/>
      </c>
      <c r="BC36" s="88" t="str">
        <f t="shared" ca="1" si="40"/>
        <v/>
      </c>
      <c r="BD36" s="88" t="str">
        <f t="shared" ca="1" si="40"/>
        <v/>
      </c>
      <c r="BE36" s="88" t="str">
        <f t="shared" ca="1" si="40"/>
        <v/>
      </c>
      <c r="BF36" s="88" t="str">
        <f t="shared" ca="1" si="40"/>
        <v/>
      </c>
      <c r="BG36" s="88" t="str">
        <f t="shared" ca="1" si="40"/>
        <v/>
      </c>
      <c r="BH36" s="88" t="str">
        <f t="shared" ca="1" si="40"/>
        <v/>
      </c>
      <c r="BI36" s="88" t="str">
        <f t="shared" ca="1" si="40"/>
        <v/>
      </c>
      <c r="BJ36" s="88" t="str">
        <f t="shared" ca="1" si="40"/>
        <v/>
      </c>
      <c r="BK36" s="88" t="str">
        <f t="shared" ca="1" si="40"/>
        <v/>
      </c>
      <c r="BL36" s="88" t="str">
        <f t="shared" ca="1" si="41"/>
        <v/>
      </c>
      <c r="BM36" s="88" t="str">
        <f t="shared" ca="1" si="41"/>
        <v/>
      </c>
      <c r="BN36" s="88" t="str">
        <f t="shared" ca="1" si="41"/>
        <v/>
      </c>
      <c r="BO36" s="88" t="str">
        <f t="shared" ca="1" si="41"/>
        <v/>
      </c>
      <c r="BP36" s="88" t="str">
        <f t="shared" ca="1" si="41"/>
        <v/>
      </c>
      <c r="BQ36" s="88" t="str">
        <f t="shared" ca="1" si="41"/>
        <v/>
      </c>
      <c r="BR36" s="88" t="str">
        <f t="shared" ca="1" si="41"/>
        <v/>
      </c>
      <c r="BS36" s="88" t="str">
        <f t="shared" ca="1" si="41"/>
        <v/>
      </c>
      <c r="BT36" s="88" t="str">
        <f t="shared" ca="1" si="41"/>
        <v/>
      </c>
      <c r="BU36" s="88" t="str">
        <f t="shared" ca="1" si="41"/>
        <v/>
      </c>
      <c r="BV36" s="88" t="str">
        <f t="shared" ca="1" si="41"/>
        <v/>
      </c>
      <c r="BW36" s="88" t="str">
        <f t="shared" ca="1" si="41"/>
        <v/>
      </c>
      <c r="BX36" s="88" t="str">
        <f t="shared" ca="1" si="41"/>
        <v/>
      </c>
      <c r="BY36" s="88" t="str">
        <f t="shared" ca="1" si="41"/>
        <v/>
      </c>
      <c r="BZ36" s="88" t="str">
        <f t="shared" ca="1" si="41"/>
        <v/>
      </c>
      <c r="CA36" s="88" t="str">
        <f t="shared" ca="1" si="41"/>
        <v/>
      </c>
      <c r="CB36" s="88" t="str">
        <f t="shared" ca="1" si="43"/>
        <v/>
      </c>
      <c r="CC36" s="88" t="str">
        <f t="shared" ca="1" si="43"/>
        <v/>
      </c>
      <c r="CD36" s="88" t="str">
        <f t="shared" ca="1" si="43"/>
        <v/>
      </c>
      <c r="CE36" s="88" t="str">
        <f t="shared" ca="1" si="43"/>
        <v/>
      </c>
      <c r="CF36" s="88" t="str">
        <f t="shared" ca="1" si="43"/>
        <v/>
      </c>
      <c r="CG36" s="88" t="str">
        <f t="shared" ca="1" si="43"/>
        <v/>
      </c>
      <c r="CH36" s="88" t="str">
        <f t="shared" ca="1" si="43"/>
        <v/>
      </c>
      <c r="CI36" s="88" t="str">
        <f t="shared" ca="1" si="43"/>
        <v/>
      </c>
      <c r="CJ36" s="88" t="str">
        <f t="shared" ca="1" si="43"/>
        <v/>
      </c>
      <c r="CK36" s="88" t="str">
        <f t="shared" ca="1" si="43"/>
        <v/>
      </c>
      <c r="CL36" s="88" t="str">
        <f t="shared" ca="1" si="43"/>
        <v/>
      </c>
      <c r="CM36" s="88" t="str">
        <f t="shared" ca="1" si="43"/>
        <v/>
      </c>
      <c r="CN36" s="88" t="str">
        <f t="shared" ca="1" si="38"/>
        <v/>
      </c>
      <c r="CO36" s="88" t="str">
        <f t="shared" ca="1" si="38"/>
        <v/>
      </c>
      <c r="CP36" s="88" t="str">
        <f t="shared" ca="1" si="38"/>
        <v/>
      </c>
      <c r="CQ36" s="88" t="str">
        <f t="shared" ca="1" si="38"/>
        <v/>
      </c>
      <c r="CR36" s="88" t="str">
        <f t="shared" ref="CR36:DD40" ca="1" si="46">IF(CR$8=TODAY(),CHAR(124),"")</f>
        <v/>
      </c>
      <c r="CS36" s="88" t="str">
        <f t="shared" ca="1" si="46"/>
        <v/>
      </c>
      <c r="CT36" s="88" t="str">
        <f t="shared" ca="1" si="46"/>
        <v/>
      </c>
      <c r="CU36" s="88" t="str">
        <f t="shared" ca="1" si="46"/>
        <v/>
      </c>
      <c r="CV36" s="88" t="str">
        <f t="shared" ca="1" si="46"/>
        <v/>
      </c>
      <c r="CW36" s="88" t="str">
        <f t="shared" ca="1" si="46"/>
        <v/>
      </c>
      <c r="CX36" s="88" t="str">
        <f t="shared" ca="1" si="46"/>
        <v/>
      </c>
      <c r="CY36" s="88" t="str">
        <f t="shared" ca="1" si="46"/>
        <v/>
      </c>
      <c r="CZ36" s="88" t="str">
        <f t="shared" ca="1" si="46"/>
        <v/>
      </c>
      <c r="DA36" s="88" t="str">
        <f t="shared" ca="1" si="46"/>
        <v/>
      </c>
      <c r="DB36" s="88" t="str">
        <f t="shared" ca="1" si="46"/>
        <v/>
      </c>
      <c r="DC36" s="88" t="str">
        <f t="shared" ca="1" si="46"/>
        <v/>
      </c>
      <c r="DD36" s="88" t="str">
        <f t="shared" ca="1" si="46"/>
        <v/>
      </c>
      <c r="DE36" s="88" t="str">
        <f t="shared" ca="1" si="34"/>
        <v/>
      </c>
      <c r="DF36" s="88" t="str">
        <f t="shared" ca="1" si="34"/>
        <v/>
      </c>
      <c r="DG36" s="88" t="str">
        <f t="shared" ca="1" si="34"/>
        <v/>
      </c>
      <c r="DH36" s="88" t="str">
        <f t="shared" ca="1" si="34"/>
        <v/>
      </c>
      <c r="DI36" s="88" t="str">
        <f t="shared" ca="1" si="36"/>
        <v/>
      </c>
      <c r="DJ36" s="88" t="str">
        <f t="shared" ca="1" si="36"/>
        <v/>
      </c>
      <c r="DK36" s="88" t="str">
        <f t="shared" ca="1" si="36"/>
        <v/>
      </c>
      <c r="DL36" s="88" t="str">
        <f t="shared" ca="1" si="36"/>
        <v/>
      </c>
      <c r="DM36" s="88" t="str">
        <f t="shared" ca="1" si="36"/>
        <v/>
      </c>
      <c r="DN36" s="88" t="str">
        <f t="shared" ca="1" si="36"/>
        <v/>
      </c>
      <c r="DO36" s="88" t="str">
        <f t="shared" ca="1" si="36"/>
        <v/>
      </c>
      <c r="DP36" s="88" t="str">
        <f t="shared" ca="1" si="36"/>
        <v/>
      </c>
      <c r="DQ36" s="88" t="str">
        <f t="shared" ca="1" si="36"/>
        <v/>
      </c>
      <c r="DR36" s="88" t="str">
        <f t="shared" ca="1" si="36"/>
        <v/>
      </c>
      <c r="DS36" s="88" t="str">
        <f t="shared" ca="1" si="36"/>
        <v/>
      </c>
      <c r="DT36" s="88" t="str">
        <f t="shared" ca="1" si="36"/>
        <v/>
      </c>
      <c r="DU36" s="88" t="str">
        <f t="shared" ca="1" si="36"/>
        <v/>
      </c>
      <c r="DV36" s="88" t="str">
        <f t="shared" ca="1" si="36"/>
        <v/>
      </c>
      <c r="DW36" s="88" t="str">
        <f t="shared" ca="1" si="36"/>
        <v/>
      </c>
      <c r="DX36" s="88" t="str">
        <f t="shared" ca="1" si="36"/>
        <v/>
      </c>
      <c r="DY36" s="88" t="str">
        <f t="shared" ca="1" si="37"/>
        <v/>
      </c>
      <c r="DZ36" s="88" t="str">
        <f t="shared" ca="1" si="37"/>
        <v/>
      </c>
      <c r="EA36" s="88" t="str">
        <f t="shared" ca="1" si="37"/>
        <v/>
      </c>
      <c r="EB36" s="88" t="str">
        <f t="shared" ca="1" si="37"/>
        <v/>
      </c>
      <c r="EC36" s="88" t="str">
        <f t="shared" ca="1" si="37"/>
        <v/>
      </c>
      <c r="ED36" s="88" t="str">
        <f t="shared" ca="1" si="37"/>
        <v/>
      </c>
      <c r="EE36" s="88" t="str">
        <f t="shared" ca="1" si="37"/>
        <v/>
      </c>
      <c r="EF36" s="88" t="str">
        <f t="shared" ca="1" si="37"/>
        <v/>
      </c>
      <c r="EG36" s="88" t="str">
        <f t="shared" ca="1" si="37"/>
        <v/>
      </c>
      <c r="EH36" s="88" t="str">
        <f t="shared" ca="1" si="37"/>
        <v/>
      </c>
      <c r="EI36" s="88" t="str">
        <f t="shared" ca="1" si="37"/>
        <v/>
      </c>
      <c r="EJ36" s="9" t="str">
        <f t="shared" ca="1" si="37"/>
        <v/>
      </c>
      <c r="EK36" s="9" t="str">
        <f t="shared" ca="1" si="37"/>
        <v/>
      </c>
      <c r="EL36" s="9" t="str">
        <f t="shared" ca="1" si="37"/>
        <v/>
      </c>
      <c r="EM36" s="9" t="str">
        <f t="shared" ca="1" si="37"/>
        <v/>
      </c>
      <c r="EN36" s="9" t="str">
        <f t="shared" ca="1" si="37"/>
        <v/>
      </c>
      <c r="EO36" s="9" t="str">
        <f t="shared" ca="1" si="44"/>
        <v/>
      </c>
      <c r="EP36" s="9" t="str">
        <f t="shared" ca="1" si="44"/>
        <v/>
      </c>
      <c r="EQ36" s="9" t="str">
        <f t="shared" ca="1" si="44"/>
        <v/>
      </c>
      <c r="ER36" s="9" t="str">
        <f t="shared" ca="1" si="44"/>
        <v/>
      </c>
      <c r="ES36" s="9" t="str">
        <f t="shared" ca="1" si="44"/>
        <v/>
      </c>
      <c r="ET36" s="9" t="str">
        <f t="shared" ca="1" si="44"/>
        <v/>
      </c>
      <c r="EU36" s="9" t="str">
        <f t="shared" ca="1" si="44"/>
        <v/>
      </c>
      <c r="EV36" s="9" t="str">
        <f t="shared" ca="1" si="44"/>
        <v/>
      </c>
      <c r="EW36" s="9" t="str">
        <f t="shared" ca="1" si="44"/>
        <v/>
      </c>
      <c r="EX36" s="9" t="str">
        <f t="shared" ca="1" si="44"/>
        <v/>
      </c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</row>
    <row r="37" spans="2:252">
      <c r="B37" s="27" t="s">
        <v>41</v>
      </c>
      <c r="C37" s="29" t="s">
        <v>26</v>
      </c>
      <c r="D37" s="21" t="s">
        <v>53</v>
      </c>
      <c r="E37" s="22">
        <v>46149</v>
      </c>
      <c r="F37" s="21">
        <f>NETWORKDAYS(E37,G37,Праздники!$A$1:$A$14)</f>
        <v>12</v>
      </c>
      <c r="G37" s="22">
        <v>46167</v>
      </c>
      <c r="H37" s="23">
        <v>1</v>
      </c>
      <c r="I37" s="21" t="s">
        <v>151</v>
      </c>
      <c r="J37" s="36" t="s">
        <v>150</v>
      </c>
      <c r="K37" s="36"/>
      <c r="L37" s="36"/>
      <c r="M37" s="36"/>
      <c r="N37" s="36"/>
      <c r="O37" s="36" t="s">
        <v>217</v>
      </c>
      <c r="P37" s="87" t="str">
        <f t="shared" ca="1" si="45"/>
        <v/>
      </c>
      <c r="Q37" s="88" t="str">
        <f t="shared" ca="1" si="45"/>
        <v/>
      </c>
      <c r="R37" s="88" t="str">
        <f t="shared" ca="1" si="45"/>
        <v/>
      </c>
      <c r="S37" s="88" t="str">
        <f t="shared" ca="1" si="45"/>
        <v/>
      </c>
      <c r="T37" s="88" t="str">
        <f t="shared" ca="1" si="45"/>
        <v/>
      </c>
      <c r="U37" s="88" t="str">
        <f t="shared" ca="1" si="45"/>
        <v/>
      </c>
      <c r="V37" s="88" t="str">
        <f t="shared" ca="1" si="45"/>
        <v/>
      </c>
      <c r="W37" s="88" t="str">
        <f t="shared" ca="1" si="45"/>
        <v/>
      </c>
      <c r="X37" s="88" t="str">
        <f t="shared" ca="1" si="45"/>
        <v/>
      </c>
      <c r="Y37" s="88" t="str">
        <f t="shared" ca="1" si="45"/>
        <v/>
      </c>
      <c r="Z37" s="88" t="str">
        <f t="shared" ca="1" si="45"/>
        <v/>
      </c>
      <c r="AA37" s="88" t="str">
        <f t="shared" ca="1" si="45"/>
        <v/>
      </c>
      <c r="AB37" s="88" t="str">
        <f t="shared" ca="1" si="45"/>
        <v/>
      </c>
      <c r="AC37" s="88" t="str">
        <f t="shared" ca="1" si="45"/>
        <v/>
      </c>
      <c r="AD37" s="88" t="str">
        <f t="shared" ca="1" si="45"/>
        <v/>
      </c>
      <c r="AE37" s="88" t="str">
        <f t="shared" ca="1" si="45"/>
        <v/>
      </c>
      <c r="AF37" s="88" t="str">
        <f t="shared" ca="1" si="39"/>
        <v/>
      </c>
      <c r="AG37" s="88" t="str">
        <f t="shared" ca="1" si="39"/>
        <v/>
      </c>
      <c r="AH37" s="88" t="str">
        <f t="shared" ca="1" si="39"/>
        <v/>
      </c>
      <c r="AI37" s="88" t="str">
        <f t="shared" ca="1" si="39"/>
        <v/>
      </c>
      <c r="AJ37" s="88" t="str">
        <f t="shared" ca="1" si="39"/>
        <v/>
      </c>
      <c r="AK37" s="88" t="str">
        <f t="shared" ca="1" si="39"/>
        <v/>
      </c>
      <c r="AL37" s="88" t="str">
        <f t="shared" ca="1" si="39"/>
        <v/>
      </c>
      <c r="AM37" s="88" t="str">
        <f t="shared" ca="1" si="39"/>
        <v/>
      </c>
      <c r="AN37" s="88" t="str">
        <f t="shared" ca="1" si="39"/>
        <v/>
      </c>
      <c r="AO37" s="88" t="str">
        <f t="shared" ca="1" si="39"/>
        <v/>
      </c>
      <c r="AP37" s="88" t="str">
        <f t="shared" ca="1" si="39"/>
        <v/>
      </c>
      <c r="AQ37" s="88" t="str">
        <f t="shared" ca="1" si="39"/>
        <v/>
      </c>
      <c r="AR37" s="88" t="str">
        <f t="shared" ca="1" si="39"/>
        <v/>
      </c>
      <c r="AS37" s="88" t="str">
        <f t="shared" ca="1" si="39"/>
        <v/>
      </c>
      <c r="AT37" s="88" t="str">
        <f t="shared" ca="1" si="39"/>
        <v/>
      </c>
      <c r="AU37" s="88" t="str">
        <f t="shared" ca="1" si="39"/>
        <v/>
      </c>
      <c r="AV37" s="88" t="str">
        <f t="shared" ca="1" si="40"/>
        <v/>
      </c>
      <c r="AW37" s="88" t="str">
        <f t="shared" ca="1" si="40"/>
        <v/>
      </c>
      <c r="AX37" s="88" t="str">
        <f t="shared" ca="1" si="40"/>
        <v/>
      </c>
      <c r="AY37" s="88" t="str">
        <f t="shared" ca="1" si="40"/>
        <v/>
      </c>
      <c r="AZ37" s="88" t="str">
        <f t="shared" ca="1" si="40"/>
        <v/>
      </c>
      <c r="BA37" s="88" t="str">
        <f t="shared" ca="1" si="40"/>
        <v/>
      </c>
      <c r="BB37" s="88" t="str">
        <f t="shared" ca="1" si="40"/>
        <v/>
      </c>
      <c r="BC37" s="88" t="str">
        <f t="shared" ca="1" si="40"/>
        <v/>
      </c>
      <c r="BD37" s="88" t="str">
        <f t="shared" ca="1" si="40"/>
        <v/>
      </c>
      <c r="BE37" s="88" t="str">
        <f t="shared" ca="1" si="40"/>
        <v/>
      </c>
      <c r="BF37" s="88" t="str">
        <f t="shared" ca="1" si="40"/>
        <v/>
      </c>
      <c r="BG37" s="88" t="str">
        <f t="shared" ca="1" si="40"/>
        <v/>
      </c>
      <c r="BH37" s="88" t="str">
        <f t="shared" ca="1" si="40"/>
        <v/>
      </c>
      <c r="BI37" s="88" t="str">
        <f t="shared" ca="1" si="40"/>
        <v/>
      </c>
      <c r="BJ37" s="88" t="str">
        <f t="shared" ca="1" si="40"/>
        <v/>
      </c>
      <c r="BK37" s="88" t="str">
        <f t="shared" ca="1" si="40"/>
        <v/>
      </c>
      <c r="BL37" s="88" t="str">
        <f t="shared" ca="1" si="41"/>
        <v/>
      </c>
      <c r="BM37" s="88" t="str">
        <f t="shared" ca="1" si="41"/>
        <v/>
      </c>
      <c r="BN37" s="88" t="str">
        <f t="shared" ca="1" si="41"/>
        <v/>
      </c>
      <c r="BO37" s="88" t="str">
        <f t="shared" ca="1" si="41"/>
        <v/>
      </c>
      <c r="BP37" s="88" t="str">
        <f t="shared" ca="1" si="41"/>
        <v/>
      </c>
      <c r="BQ37" s="88" t="str">
        <f t="shared" ca="1" si="41"/>
        <v/>
      </c>
      <c r="BR37" s="88" t="str">
        <f t="shared" ca="1" si="41"/>
        <v/>
      </c>
      <c r="BS37" s="88" t="str">
        <f t="shared" ca="1" si="41"/>
        <v/>
      </c>
      <c r="BT37" s="88" t="str">
        <f t="shared" ca="1" si="41"/>
        <v/>
      </c>
      <c r="BU37" s="88" t="str">
        <f t="shared" ca="1" si="41"/>
        <v/>
      </c>
      <c r="BV37" s="88" t="str">
        <f t="shared" ca="1" si="41"/>
        <v/>
      </c>
      <c r="BW37" s="88" t="str">
        <f t="shared" ca="1" si="41"/>
        <v/>
      </c>
      <c r="BX37" s="88" t="str">
        <f t="shared" ca="1" si="41"/>
        <v/>
      </c>
      <c r="BY37" s="88" t="str">
        <f t="shared" ca="1" si="41"/>
        <v/>
      </c>
      <c r="BZ37" s="88" t="str">
        <f t="shared" ca="1" si="41"/>
        <v/>
      </c>
      <c r="CA37" s="88" t="str">
        <f t="shared" ca="1" si="41"/>
        <v/>
      </c>
      <c r="CB37" s="88" t="str">
        <f t="shared" ca="1" si="43"/>
        <v/>
      </c>
      <c r="CC37" s="88" t="str">
        <f t="shared" ca="1" si="43"/>
        <v/>
      </c>
      <c r="CD37" s="88" t="str">
        <f t="shared" ca="1" si="43"/>
        <v/>
      </c>
      <c r="CE37" s="88" t="str">
        <f t="shared" ca="1" si="43"/>
        <v/>
      </c>
      <c r="CF37" s="88" t="str">
        <f t="shared" ca="1" si="43"/>
        <v/>
      </c>
      <c r="CG37" s="88" t="str">
        <f t="shared" ca="1" si="43"/>
        <v/>
      </c>
      <c r="CH37" s="88" t="str">
        <f t="shared" ca="1" si="43"/>
        <v/>
      </c>
      <c r="CI37" s="88" t="str">
        <f t="shared" ca="1" si="43"/>
        <v/>
      </c>
      <c r="CJ37" s="88" t="str">
        <f t="shared" ca="1" si="43"/>
        <v/>
      </c>
      <c r="CK37" s="88" t="str">
        <f t="shared" ca="1" si="43"/>
        <v/>
      </c>
      <c r="CL37" s="88" t="str">
        <f t="shared" ca="1" si="43"/>
        <v/>
      </c>
      <c r="CM37" s="88" t="str">
        <f t="shared" ca="1" si="43"/>
        <v/>
      </c>
      <c r="CN37" s="88" t="str">
        <f t="shared" ca="1" si="38"/>
        <v/>
      </c>
      <c r="CO37" s="88" t="str">
        <f t="shared" ca="1" si="38"/>
        <v/>
      </c>
      <c r="CP37" s="88" t="str">
        <f t="shared" ca="1" si="38"/>
        <v/>
      </c>
      <c r="CQ37" s="88" t="str">
        <f t="shared" ca="1" si="38"/>
        <v/>
      </c>
      <c r="CR37" s="88" t="str">
        <f t="shared" ca="1" si="46"/>
        <v/>
      </c>
      <c r="CS37" s="88" t="str">
        <f t="shared" ca="1" si="46"/>
        <v/>
      </c>
      <c r="CT37" s="88" t="str">
        <f t="shared" ca="1" si="46"/>
        <v/>
      </c>
      <c r="CU37" s="88" t="str">
        <f t="shared" ca="1" si="46"/>
        <v/>
      </c>
      <c r="CV37" s="88" t="str">
        <f t="shared" ca="1" si="46"/>
        <v/>
      </c>
      <c r="CW37" s="88" t="str">
        <f t="shared" ca="1" si="46"/>
        <v/>
      </c>
      <c r="CX37" s="88" t="str">
        <f t="shared" ca="1" si="46"/>
        <v/>
      </c>
      <c r="CY37" s="88" t="str">
        <f t="shared" ca="1" si="46"/>
        <v/>
      </c>
      <c r="CZ37" s="88" t="str">
        <f t="shared" ca="1" si="46"/>
        <v/>
      </c>
      <c r="DA37" s="88" t="str">
        <f t="shared" ca="1" si="46"/>
        <v/>
      </c>
      <c r="DB37" s="88" t="str">
        <f t="shared" ca="1" si="46"/>
        <v/>
      </c>
      <c r="DC37" s="88" t="str">
        <f t="shared" ca="1" si="46"/>
        <v/>
      </c>
      <c r="DD37" s="88" t="str">
        <f t="shared" ca="1" si="46"/>
        <v/>
      </c>
      <c r="DE37" s="88" t="str">
        <f t="shared" ca="1" si="34"/>
        <v/>
      </c>
      <c r="DF37" s="88" t="str">
        <f t="shared" ca="1" si="34"/>
        <v/>
      </c>
      <c r="DG37" s="88" t="str">
        <f t="shared" ca="1" si="34"/>
        <v/>
      </c>
      <c r="DH37" s="88" t="str">
        <f t="shared" ca="1" si="34"/>
        <v/>
      </c>
      <c r="DI37" s="88" t="str">
        <f t="shared" ca="1" si="36"/>
        <v/>
      </c>
      <c r="DJ37" s="88" t="str">
        <f t="shared" ca="1" si="36"/>
        <v/>
      </c>
      <c r="DK37" s="88" t="str">
        <f t="shared" ca="1" si="36"/>
        <v/>
      </c>
      <c r="DL37" s="88" t="str">
        <f t="shared" ca="1" si="36"/>
        <v/>
      </c>
      <c r="DM37" s="88" t="str">
        <f t="shared" ca="1" si="36"/>
        <v/>
      </c>
      <c r="DN37" s="88" t="str">
        <f t="shared" ca="1" si="36"/>
        <v/>
      </c>
      <c r="DO37" s="88" t="str">
        <f t="shared" ca="1" si="36"/>
        <v/>
      </c>
      <c r="DP37" s="88" t="str">
        <f t="shared" ca="1" si="36"/>
        <v/>
      </c>
      <c r="DQ37" s="88" t="str">
        <f t="shared" ca="1" si="36"/>
        <v/>
      </c>
      <c r="DR37" s="88" t="str">
        <f t="shared" ca="1" si="36"/>
        <v/>
      </c>
      <c r="DS37" s="88" t="str">
        <f t="shared" ca="1" si="36"/>
        <v/>
      </c>
      <c r="DT37" s="88" t="str">
        <f t="shared" ca="1" si="36"/>
        <v/>
      </c>
      <c r="DU37" s="88" t="str">
        <f t="shared" ca="1" si="36"/>
        <v/>
      </c>
      <c r="DV37" s="88" t="str">
        <f t="shared" ca="1" si="36"/>
        <v/>
      </c>
      <c r="DW37" s="88" t="str">
        <f t="shared" ca="1" si="36"/>
        <v/>
      </c>
      <c r="DX37" s="88" t="str">
        <f t="shared" ca="1" si="36"/>
        <v/>
      </c>
      <c r="DY37" s="88" t="str">
        <f t="shared" ca="1" si="37"/>
        <v/>
      </c>
      <c r="DZ37" s="88" t="str">
        <f t="shared" ca="1" si="37"/>
        <v/>
      </c>
      <c r="EA37" s="88" t="str">
        <f t="shared" ca="1" si="37"/>
        <v/>
      </c>
      <c r="EB37" s="88" t="str">
        <f t="shared" ca="1" si="37"/>
        <v/>
      </c>
      <c r="EC37" s="88" t="str">
        <f t="shared" ca="1" si="37"/>
        <v/>
      </c>
      <c r="ED37" s="88" t="str">
        <f t="shared" ca="1" si="37"/>
        <v/>
      </c>
      <c r="EE37" s="88" t="str">
        <f t="shared" ca="1" si="37"/>
        <v/>
      </c>
      <c r="EF37" s="88" t="str">
        <f t="shared" ca="1" si="37"/>
        <v/>
      </c>
      <c r="EG37" s="88" t="str">
        <f t="shared" ca="1" si="37"/>
        <v/>
      </c>
      <c r="EH37" s="88" t="str">
        <f t="shared" ca="1" si="37"/>
        <v/>
      </c>
      <c r="EI37" s="88" t="str">
        <f t="shared" ca="1" si="37"/>
        <v/>
      </c>
      <c r="EJ37" s="9" t="str">
        <f t="shared" ca="1" si="37"/>
        <v/>
      </c>
      <c r="EK37" s="9" t="str">
        <f t="shared" ca="1" si="37"/>
        <v/>
      </c>
      <c r="EL37" s="9" t="str">
        <f t="shared" ca="1" si="37"/>
        <v/>
      </c>
      <c r="EM37" s="9" t="str">
        <f t="shared" ca="1" si="37"/>
        <v/>
      </c>
      <c r="EN37" s="9" t="str">
        <f t="shared" ca="1" si="37"/>
        <v/>
      </c>
      <c r="EO37" s="9" t="str">
        <f t="shared" ca="1" si="44"/>
        <v/>
      </c>
      <c r="EP37" s="9" t="str">
        <f t="shared" ca="1" si="44"/>
        <v/>
      </c>
      <c r="EQ37" s="9" t="str">
        <f t="shared" ca="1" si="44"/>
        <v/>
      </c>
      <c r="ER37" s="9" t="str">
        <f t="shared" ca="1" si="44"/>
        <v/>
      </c>
      <c r="ES37" s="9" t="str">
        <f t="shared" ca="1" si="44"/>
        <v/>
      </c>
      <c r="ET37" s="9" t="str">
        <f t="shared" ca="1" si="44"/>
        <v/>
      </c>
      <c r="EU37" s="9" t="str">
        <f t="shared" ca="1" si="44"/>
        <v/>
      </c>
      <c r="EV37" s="9" t="str">
        <f t="shared" ca="1" si="44"/>
        <v/>
      </c>
      <c r="EW37" s="9" t="str">
        <f t="shared" ca="1" si="44"/>
        <v/>
      </c>
      <c r="EX37" s="9" t="str">
        <f t="shared" ca="1" si="44"/>
        <v/>
      </c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</row>
    <row r="38" spans="2:252">
      <c r="B38" s="27" t="s">
        <v>42</v>
      </c>
      <c r="C38" s="29" t="s">
        <v>27</v>
      </c>
      <c r="D38" s="21" t="s">
        <v>53</v>
      </c>
      <c r="E38" s="22">
        <v>46154</v>
      </c>
      <c r="F38" s="21">
        <f>NETWORKDAYS(E38,G38,Праздники!$A$1:$A$14)</f>
        <v>4</v>
      </c>
      <c r="G38" s="22">
        <v>46157</v>
      </c>
      <c r="H38" s="23">
        <v>1</v>
      </c>
      <c r="I38" s="21" t="s">
        <v>154</v>
      </c>
      <c r="J38" s="36"/>
      <c r="K38" s="36"/>
      <c r="L38" s="36"/>
      <c r="M38" s="36"/>
      <c r="N38" s="36"/>
      <c r="O38" s="36"/>
      <c r="P38" s="87" t="str">
        <f t="shared" ca="1" si="45"/>
        <v/>
      </c>
      <c r="Q38" s="88" t="str">
        <f t="shared" ca="1" si="45"/>
        <v/>
      </c>
      <c r="R38" s="88" t="str">
        <f t="shared" ca="1" si="45"/>
        <v/>
      </c>
      <c r="S38" s="88" t="str">
        <f t="shared" ca="1" si="45"/>
        <v/>
      </c>
      <c r="T38" s="88" t="str">
        <f t="shared" ca="1" si="45"/>
        <v/>
      </c>
      <c r="U38" s="88" t="str">
        <f t="shared" ca="1" si="45"/>
        <v/>
      </c>
      <c r="V38" s="88" t="str">
        <f t="shared" ca="1" si="45"/>
        <v/>
      </c>
      <c r="W38" s="88" t="str">
        <f t="shared" ca="1" si="45"/>
        <v/>
      </c>
      <c r="X38" s="88" t="str">
        <f t="shared" ca="1" si="45"/>
        <v/>
      </c>
      <c r="Y38" s="88" t="str">
        <f t="shared" ca="1" si="45"/>
        <v/>
      </c>
      <c r="Z38" s="88" t="str">
        <f t="shared" ca="1" si="45"/>
        <v/>
      </c>
      <c r="AA38" s="88" t="str">
        <f t="shared" ca="1" si="45"/>
        <v/>
      </c>
      <c r="AB38" s="88" t="str">
        <f t="shared" ca="1" si="45"/>
        <v/>
      </c>
      <c r="AC38" s="88" t="str">
        <f t="shared" ca="1" si="45"/>
        <v/>
      </c>
      <c r="AD38" s="88" t="str">
        <f t="shared" ca="1" si="45"/>
        <v/>
      </c>
      <c r="AE38" s="88" t="str">
        <f t="shared" ca="1" si="45"/>
        <v/>
      </c>
      <c r="AF38" s="88" t="str">
        <f t="shared" ca="1" si="39"/>
        <v/>
      </c>
      <c r="AG38" s="88" t="str">
        <f t="shared" ca="1" si="39"/>
        <v/>
      </c>
      <c r="AH38" s="88" t="str">
        <f t="shared" ca="1" si="39"/>
        <v/>
      </c>
      <c r="AI38" s="88" t="str">
        <f t="shared" ca="1" si="39"/>
        <v/>
      </c>
      <c r="AJ38" s="88" t="str">
        <f t="shared" ca="1" si="39"/>
        <v/>
      </c>
      <c r="AK38" s="88" t="str">
        <f t="shared" ca="1" si="39"/>
        <v/>
      </c>
      <c r="AL38" s="88" t="str">
        <f t="shared" ca="1" si="39"/>
        <v/>
      </c>
      <c r="AM38" s="88" t="str">
        <f t="shared" ca="1" si="39"/>
        <v/>
      </c>
      <c r="AN38" s="88" t="str">
        <f t="shared" ca="1" si="39"/>
        <v/>
      </c>
      <c r="AO38" s="88" t="str">
        <f t="shared" ca="1" si="39"/>
        <v/>
      </c>
      <c r="AP38" s="88" t="str">
        <f t="shared" ca="1" si="39"/>
        <v/>
      </c>
      <c r="AQ38" s="88" t="str">
        <f t="shared" ca="1" si="39"/>
        <v/>
      </c>
      <c r="AR38" s="88" t="str">
        <f t="shared" ca="1" si="39"/>
        <v/>
      </c>
      <c r="AS38" s="88" t="str">
        <f t="shared" ca="1" si="39"/>
        <v/>
      </c>
      <c r="AT38" s="88" t="str">
        <f t="shared" ca="1" si="39"/>
        <v/>
      </c>
      <c r="AU38" s="88" t="str">
        <f t="shared" ca="1" si="39"/>
        <v/>
      </c>
      <c r="AV38" s="88" t="str">
        <f t="shared" ca="1" si="40"/>
        <v/>
      </c>
      <c r="AW38" s="88" t="str">
        <f t="shared" ca="1" si="40"/>
        <v/>
      </c>
      <c r="AX38" s="88" t="str">
        <f t="shared" ca="1" si="40"/>
        <v/>
      </c>
      <c r="AY38" s="88" t="str">
        <f t="shared" ca="1" si="40"/>
        <v/>
      </c>
      <c r="AZ38" s="88" t="str">
        <f t="shared" ca="1" si="40"/>
        <v/>
      </c>
      <c r="BA38" s="88" t="str">
        <f t="shared" ca="1" si="40"/>
        <v/>
      </c>
      <c r="BB38" s="88" t="str">
        <f t="shared" ca="1" si="40"/>
        <v/>
      </c>
      <c r="BC38" s="88" t="str">
        <f t="shared" ca="1" si="40"/>
        <v/>
      </c>
      <c r="BD38" s="88" t="str">
        <f t="shared" ca="1" si="40"/>
        <v/>
      </c>
      <c r="BE38" s="88" t="str">
        <f t="shared" ca="1" si="40"/>
        <v/>
      </c>
      <c r="BF38" s="88" t="str">
        <f t="shared" ca="1" si="40"/>
        <v/>
      </c>
      <c r="BG38" s="88" t="str">
        <f t="shared" ca="1" si="40"/>
        <v/>
      </c>
      <c r="BH38" s="88" t="str">
        <f t="shared" ca="1" si="40"/>
        <v/>
      </c>
      <c r="BI38" s="88" t="str">
        <f t="shared" ca="1" si="40"/>
        <v/>
      </c>
      <c r="BJ38" s="88" t="str">
        <f t="shared" ca="1" si="40"/>
        <v/>
      </c>
      <c r="BK38" s="88" t="str">
        <f t="shared" ca="1" si="40"/>
        <v/>
      </c>
      <c r="BL38" s="88" t="str">
        <f t="shared" ca="1" si="41"/>
        <v/>
      </c>
      <c r="BM38" s="88" t="str">
        <f t="shared" ca="1" si="41"/>
        <v/>
      </c>
      <c r="BN38" s="88" t="str">
        <f t="shared" ca="1" si="41"/>
        <v/>
      </c>
      <c r="BO38" s="88" t="str">
        <f t="shared" ca="1" si="41"/>
        <v/>
      </c>
      <c r="BP38" s="88" t="str">
        <f t="shared" ca="1" si="41"/>
        <v/>
      </c>
      <c r="BQ38" s="88" t="str">
        <f t="shared" ca="1" si="41"/>
        <v/>
      </c>
      <c r="BR38" s="88" t="str">
        <f t="shared" ca="1" si="41"/>
        <v/>
      </c>
      <c r="BS38" s="88" t="str">
        <f t="shared" ca="1" si="41"/>
        <v/>
      </c>
      <c r="BT38" s="88" t="str">
        <f t="shared" ca="1" si="41"/>
        <v/>
      </c>
      <c r="BU38" s="88" t="str">
        <f t="shared" ca="1" si="41"/>
        <v/>
      </c>
      <c r="BV38" s="88" t="str">
        <f t="shared" ca="1" si="41"/>
        <v/>
      </c>
      <c r="BW38" s="88" t="str">
        <f t="shared" ca="1" si="41"/>
        <v/>
      </c>
      <c r="BX38" s="88" t="str">
        <f t="shared" ca="1" si="41"/>
        <v/>
      </c>
      <c r="BY38" s="88" t="str">
        <f t="shared" ca="1" si="41"/>
        <v/>
      </c>
      <c r="BZ38" s="88" t="str">
        <f t="shared" ca="1" si="41"/>
        <v/>
      </c>
      <c r="CA38" s="88" t="str">
        <f t="shared" ca="1" si="41"/>
        <v/>
      </c>
      <c r="CB38" s="88" t="str">
        <f t="shared" ca="1" si="43"/>
        <v/>
      </c>
      <c r="CC38" s="88" t="str">
        <f t="shared" ca="1" si="43"/>
        <v/>
      </c>
      <c r="CD38" s="88" t="str">
        <f t="shared" ca="1" si="43"/>
        <v/>
      </c>
      <c r="CE38" s="88" t="str">
        <f t="shared" ca="1" si="43"/>
        <v/>
      </c>
      <c r="CF38" s="88" t="str">
        <f t="shared" ca="1" si="43"/>
        <v/>
      </c>
      <c r="CG38" s="88" t="str">
        <f t="shared" ca="1" si="43"/>
        <v/>
      </c>
      <c r="CH38" s="88" t="str">
        <f t="shared" ca="1" si="43"/>
        <v/>
      </c>
      <c r="CI38" s="88" t="str">
        <f t="shared" ca="1" si="43"/>
        <v/>
      </c>
      <c r="CJ38" s="88" t="str">
        <f t="shared" ca="1" si="43"/>
        <v/>
      </c>
      <c r="CK38" s="88" t="str">
        <f t="shared" ca="1" si="43"/>
        <v/>
      </c>
      <c r="CL38" s="88" t="str">
        <f t="shared" ca="1" si="43"/>
        <v/>
      </c>
      <c r="CM38" s="88" t="str">
        <f t="shared" ca="1" si="43"/>
        <v/>
      </c>
      <c r="CN38" s="88" t="str">
        <f t="shared" ca="1" si="38"/>
        <v/>
      </c>
      <c r="CO38" s="88" t="str">
        <f t="shared" ca="1" si="38"/>
        <v/>
      </c>
      <c r="CP38" s="88" t="str">
        <f t="shared" ca="1" si="38"/>
        <v/>
      </c>
      <c r="CQ38" s="88" t="str">
        <f t="shared" ca="1" si="38"/>
        <v/>
      </c>
      <c r="CR38" s="88" t="str">
        <f t="shared" ca="1" si="46"/>
        <v/>
      </c>
      <c r="CS38" s="88" t="str">
        <f t="shared" ca="1" si="46"/>
        <v/>
      </c>
      <c r="CT38" s="88" t="str">
        <f t="shared" ca="1" si="46"/>
        <v/>
      </c>
      <c r="CU38" s="88" t="str">
        <f t="shared" ca="1" si="46"/>
        <v/>
      </c>
      <c r="CV38" s="88" t="str">
        <f t="shared" ca="1" si="46"/>
        <v/>
      </c>
      <c r="CW38" s="88" t="str">
        <f t="shared" ca="1" si="46"/>
        <v/>
      </c>
      <c r="CX38" s="88" t="str">
        <f t="shared" ca="1" si="46"/>
        <v/>
      </c>
      <c r="CY38" s="88" t="str">
        <f t="shared" ca="1" si="46"/>
        <v/>
      </c>
      <c r="CZ38" s="88" t="str">
        <f t="shared" ca="1" si="46"/>
        <v/>
      </c>
      <c r="DA38" s="88" t="str">
        <f t="shared" ca="1" si="46"/>
        <v/>
      </c>
      <c r="DB38" s="88" t="str">
        <f t="shared" ca="1" si="46"/>
        <v/>
      </c>
      <c r="DC38" s="88" t="str">
        <f t="shared" ca="1" si="46"/>
        <v/>
      </c>
      <c r="DD38" s="88" t="str">
        <f t="shared" ca="1" si="46"/>
        <v/>
      </c>
      <c r="DE38" s="88" t="str">
        <f t="shared" ca="1" si="34"/>
        <v/>
      </c>
      <c r="DF38" s="88" t="str">
        <f t="shared" ca="1" si="34"/>
        <v/>
      </c>
      <c r="DG38" s="88" t="str">
        <f t="shared" ca="1" si="34"/>
        <v/>
      </c>
      <c r="DH38" s="88" t="str">
        <f t="shared" ca="1" si="34"/>
        <v/>
      </c>
      <c r="DI38" s="88" t="str">
        <f t="shared" ca="1" si="36"/>
        <v/>
      </c>
      <c r="DJ38" s="88" t="str">
        <f t="shared" ca="1" si="36"/>
        <v/>
      </c>
      <c r="DK38" s="88" t="str">
        <f t="shared" ca="1" si="36"/>
        <v/>
      </c>
      <c r="DL38" s="88" t="str">
        <f t="shared" ca="1" si="36"/>
        <v/>
      </c>
      <c r="DM38" s="88" t="str">
        <f t="shared" ca="1" si="36"/>
        <v/>
      </c>
      <c r="DN38" s="88" t="str">
        <f t="shared" ca="1" si="36"/>
        <v/>
      </c>
      <c r="DO38" s="88" t="str">
        <f t="shared" ca="1" si="36"/>
        <v/>
      </c>
      <c r="DP38" s="88" t="str">
        <f t="shared" ca="1" si="36"/>
        <v/>
      </c>
      <c r="DQ38" s="88" t="str">
        <f t="shared" ca="1" si="36"/>
        <v/>
      </c>
      <c r="DR38" s="88" t="str">
        <f t="shared" ca="1" si="36"/>
        <v/>
      </c>
      <c r="DS38" s="88" t="str">
        <f t="shared" ca="1" si="36"/>
        <v/>
      </c>
      <c r="DT38" s="88" t="str">
        <f t="shared" ca="1" si="36"/>
        <v/>
      </c>
      <c r="DU38" s="88" t="str">
        <f t="shared" ca="1" si="36"/>
        <v/>
      </c>
      <c r="DV38" s="88" t="str">
        <f t="shared" ca="1" si="36"/>
        <v/>
      </c>
      <c r="DW38" s="88" t="str">
        <f t="shared" ca="1" si="36"/>
        <v/>
      </c>
      <c r="DX38" s="88" t="str">
        <f t="shared" ca="1" si="36"/>
        <v/>
      </c>
      <c r="DY38" s="88" t="str">
        <f t="shared" ca="1" si="37"/>
        <v/>
      </c>
      <c r="DZ38" s="88" t="str">
        <f t="shared" ca="1" si="37"/>
        <v/>
      </c>
      <c r="EA38" s="88" t="str">
        <f t="shared" ca="1" si="37"/>
        <v/>
      </c>
      <c r="EB38" s="88" t="str">
        <f t="shared" ca="1" si="37"/>
        <v/>
      </c>
      <c r="EC38" s="88" t="str">
        <f t="shared" ca="1" si="37"/>
        <v/>
      </c>
      <c r="ED38" s="88" t="str">
        <f t="shared" ca="1" si="37"/>
        <v/>
      </c>
      <c r="EE38" s="88" t="str">
        <f t="shared" ca="1" si="37"/>
        <v/>
      </c>
      <c r="EF38" s="88" t="str">
        <f t="shared" ca="1" si="37"/>
        <v/>
      </c>
      <c r="EG38" s="88" t="str">
        <f t="shared" ca="1" si="37"/>
        <v/>
      </c>
      <c r="EH38" s="88" t="str">
        <f t="shared" ca="1" si="37"/>
        <v/>
      </c>
      <c r="EI38" s="88" t="str">
        <f t="shared" ca="1" si="37"/>
        <v/>
      </c>
      <c r="EJ38" s="9" t="str">
        <f t="shared" ca="1" si="37"/>
        <v/>
      </c>
      <c r="EK38" s="9" t="str">
        <f t="shared" ca="1" si="37"/>
        <v/>
      </c>
      <c r="EL38" s="9" t="str">
        <f t="shared" ca="1" si="37"/>
        <v/>
      </c>
      <c r="EM38" s="9" t="str">
        <f t="shared" ca="1" si="37"/>
        <v/>
      </c>
      <c r="EN38" s="9" t="str">
        <f t="shared" ca="1" si="37"/>
        <v/>
      </c>
      <c r="EO38" s="9" t="str">
        <f t="shared" ca="1" si="44"/>
        <v/>
      </c>
      <c r="EP38" s="9" t="str">
        <f t="shared" ca="1" si="44"/>
        <v/>
      </c>
      <c r="EQ38" s="9" t="str">
        <f t="shared" ca="1" si="44"/>
        <v/>
      </c>
      <c r="ER38" s="9" t="str">
        <f t="shared" ca="1" si="44"/>
        <v/>
      </c>
      <c r="ES38" s="9" t="str">
        <f t="shared" ca="1" si="44"/>
        <v/>
      </c>
      <c r="ET38" s="9" t="str">
        <f t="shared" ca="1" si="44"/>
        <v/>
      </c>
      <c r="EU38" s="9" t="str">
        <f t="shared" ca="1" si="44"/>
        <v/>
      </c>
      <c r="EV38" s="9" t="str">
        <f t="shared" ca="1" si="44"/>
        <v/>
      </c>
      <c r="EW38" s="9" t="str">
        <f t="shared" ca="1" si="44"/>
        <v/>
      </c>
      <c r="EX38" s="9" t="str">
        <f t="shared" ca="1" si="44"/>
        <v/>
      </c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</row>
    <row r="39" spans="2:252" outlineLevel="1">
      <c r="B39" s="30" t="s">
        <v>43</v>
      </c>
      <c r="C39" s="32" t="s">
        <v>28</v>
      </c>
      <c r="D39" s="24" t="s">
        <v>53</v>
      </c>
      <c r="E39" s="25">
        <v>46154</v>
      </c>
      <c r="F39" s="24">
        <f>NETWORKDAYS(E39,G39,Праздники!$A$1:$A$14)</f>
        <v>10</v>
      </c>
      <c r="G39" s="25">
        <v>46167</v>
      </c>
      <c r="H39" s="26">
        <v>1</v>
      </c>
      <c r="I39" s="24" t="s">
        <v>151</v>
      </c>
      <c r="J39" s="37" t="s">
        <v>150</v>
      </c>
      <c r="K39" s="37"/>
      <c r="L39" s="37"/>
      <c r="M39" s="124" t="s">
        <v>218</v>
      </c>
      <c r="N39" s="37"/>
      <c r="O39" s="37"/>
      <c r="P39" s="87" t="str">
        <f t="shared" ca="1" si="45"/>
        <v/>
      </c>
      <c r="Q39" s="88" t="str">
        <f t="shared" ca="1" si="45"/>
        <v/>
      </c>
      <c r="R39" s="88" t="str">
        <f t="shared" ca="1" si="45"/>
        <v/>
      </c>
      <c r="S39" s="88" t="str">
        <f t="shared" ca="1" si="45"/>
        <v/>
      </c>
      <c r="T39" s="88" t="str">
        <f t="shared" ca="1" si="45"/>
        <v/>
      </c>
      <c r="U39" s="88" t="str">
        <f t="shared" ca="1" si="45"/>
        <v/>
      </c>
      <c r="V39" s="88" t="str">
        <f t="shared" ca="1" si="45"/>
        <v/>
      </c>
      <c r="W39" s="88" t="str">
        <f t="shared" ca="1" si="45"/>
        <v/>
      </c>
      <c r="X39" s="88" t="str">
        <f t="shared" ca="1" si="45"/>
        <v/>
      </c>
      <c r="Y39" s="88" t="str">
        <f t="shared" ca="1" si="45"/>
        <v/>
      </c>
      <c r="Z39" s="88" t="str">
        <f t="shared" ca="1" si="45"/>
        <v/>
      </c>
      <c r="AA39" s="88" t="str">
        <f t="shared" ca="1" si="45"/>
        <v/>
      </c>
      <c r="AB39" s="88" t="str">
        <f t="shared" ca="1" si="45"/>
        <v/>
      </c>
      <c r="AC39" s="88" t="str">
        <f t="shared" ca="1" si="45"/>
        <v/>
      </c>
      <c r="AD39" s="88" t="str">
        <f t="shared" ca="1" si="45"/>
        <v/>
      </c>
      <c r="AE39" s="88" t="str">
        <f t="shared" ca="1" si="45"/>
        <v/>
      </c>
      <c r="AF39" s="88" t="str">
        <f t="shared" ca="1" si="39"/>
        <v/>
      </c>
      <c r="AG39" s="88" t="str">
        <f t="shared" ca="1" si="39"/>
        <v/>
      </c>
      <c r="AH39" s="88" t="str">
        <f t="shared" ca="1" si="39"/>
        <v/>
      </c>
      <c r="AI39" s="88" t="str">
        <f t="shared" ca="1" si="39"/>
        <v/>
      </c>
      <c r="AJ39" s="88" t="str">
        <f t="shared" ca="1" si="39"/>
        <v/>
      </c>
      <c r="AK39" s="88" t="str">
        <f t="shared" ca="1" si="39"/>
        <v/>
      </c>
      <c r="AL39" s="88" t="str">
        <f t="shared" ca="1" si="39"/>
        <v/>
      </c>
      <c r="AM39" s="88" t="str">
        <f t="shared" ca="1" si="39"/>
        <v/>
      </c>
      <c r="AN39" s="88" t="str">
        <f t="shared" ca="1" si="39"/>
        <v/>
      </c>
      <c r="AO39" s="88" t="str">
        <f t="shared" ca="1" si="39"/>
        <v/>
      </c>
      <c r="AP39" s="88" t="str">
        <f t="shared" ca="1" si="39"/>
        <v/>
      </c>
      <c r="AQ39" s="88" t="str">
        <f t="shared" ca="1" si="39"/>
        <v/>
      </c>
      <c r="AR39" s="88" t="str">
        <f t="shared" ca="1" si="39"/>
        <v/>
      </c>
      <c r="AS39" s="88" t="str">
        <f t="shared" ca="1" si="39"/>
        <v/>
      </c>
      <c r="AT39" s="88" t="str">
        <f t="shared" ca="1" si="39"/>
        <v/>
      </c>
      <c r="AU39" s="88" t="str">
        <f t="shared" ca="1" si="39"/>
        <v/>
      </c>
      <c r="AV39" s="88" t="str">
        <f t="shared" ca="1" si="40"/>
        <v/>
      </c>
      <c r="AW39" s="88" t="str">
        <f t="shared" ca="1" si="40"/>
        <v/>
      </c>
      <c r="AX39" s="88" t="str">
        <f t="shared" ca="1" si="40"/>
        <v/>
      </c>
      <c r="AY39" s="88" t="str">
        <f t="shared" ca="1" si="40"/>
        <v/>
      </c>
      <c r="AZ39" s="88" t="str">
        <f t="shared" ca="1" si="40"/>
        <v/>
      </c>
      <c r="BA39" s="88" t="str">
        <f t="shared" ca="1" si="40"/>
        <v/>
      </c>
      <c r="BB39" s="88" t="str">
        <f t="shared" ca="1" si="40"/>
        <v/>
      </c>
      <c r="BC39" s="88" t="str">
        <f t="shared" ca="1" si="40"/>
        <v/>
      </c>
      <c r="BD39" s="88" t="str">
        <f t="shared" ca="1" si="40"/>
        <v/>
      </c>
      <c r="BE39" s="88" t="str">
        <f t="shared" ca="1" si="40"/>
        <v/>
      </c>
      <c r="BF39" s="88" t="str">
        <f t="shared" ca="1" si="40"/>
        <v/>
      </c>
      <c r="BG39" s="88" t="str">
        <f t="shared" ca="1" si="40"/>
        <v/>
      </c>
      <c r="BH39" s="88" t="str">
        <f t="shared" ca="1" si="40"/>
        <v/>
      </c>
      <c r="BI39" s="88" t="str">
        <f t="shared" ca="1" si="40"/>
        <v/>
      </c>
      <c r="BJ39" s="88" t="str">
        <f t="shared" ca="1" si="40"/>
        <v/>
      </c>
      <c r="BK39" s="88" t="str">
        <f t="shared" ca="1" si="40"/>
        <v/>
      </c>
      <c r="BL39" s="88" t="str">
        <f t="shared" ca="1" si="41"/>
        <v/>
      </c>
      <c r="BM39" s="88" t="str">
        <f t="shared" ca="1" si="41"/>
        <v/>
      </c>
      <c r="BN39" s="88" t="str">
        <f t="shared" ca="1" si="41"/>
        <v/>
      </c>
      <c r="BO39" s="88" t="str">
        <f t="shared" ca="1" si="41"/>
        <v/>
      </c>
      <c r="BP39" s="88" t="str">
        <f t="shared" ca="1" si="41"/>
        <v/>
      </c>
      <c r="BQ39" s="88" t="str">
        <f t="shared" ca="1" si="41"/>
        <v/>
      </c>
      <c r="BR39" s="88" t="str">
        <f t="shared" ca="1" si="41"/>
        <v/>
      </c>
      <c r="BS39" s="88" t="str">
        <f t="shared" ca="1" si="41"/>
        <v/>
      </c>
      <c r="BT39" s="88" t="str">
        <f t="shared" ca="1" si="41"/>
        <v/>
      </c>
      <c r="BU39" s="88" t="str">
        <f t="shared" ca="1" si="41"/>
        <v/>
      </c>
      <c r="BV39" s="88" t="str">
        <f t="shared" ca="1" si="41"/>
        <v/>
      </c>
      <c r="BW39" s="88" t="str">
        <f t="shared" ca="1" si="41"/>
        <v/>
      </c>
      <c r="BX39" s="88" t="str">
        <f t="shared" ca="1" si="41"/>
        <v/>
      </c>
      <c r="BY39" s="88" t="str">
        <f t="shared" ca="1" si="41"/>
        <v/>
      </c>
      <c r="BZ39" s="88" t="str">
        <f t="shared" ca="1" si="41"/>
        <v/>
      </c>
      <c r="CA39" s="88" t="str">
        <f t="shared" ca="1" si="41"/>
        <v/>
      </c>
      <c r="CB39" s="88" t="str">
        <f t="shared" ca="1" si="43"/>
        <v/>
      </c>
      <c r="CC39" s="88" t="str">
        <f t="shared" ca="1" si="43"/>
        <v/>
      </c>
      <c r="CD39" s="88" t="str">
        <f t="shared" ca="1" si="43"/>
        <v/>
      </c>
      <c r="CE39" s="88" t="str">
        <f t="shared" ca="1" si="43"/>
        <v/>
      </c>
      <c r="CF39" s="88" t="str">
        <f t="shared" ca="1" si="43"/>
        <v/>
      </c>
      <c r="CG39" s="88" t="str">
        <f t="shared" ca="1" si="43"/>
        <v/>
      </c>
      <c r="CH39" s="88" t="str">
        <f t="shared" ca="1" si="43"/>
        <v/>
      </c>
      <c r="CI39" s="88" t="str">
        <f t="shared" ca="1" si="43"/>
        <v/>
      </c>
      <c r="CJ39" s="88" t="str">
        <f t="shared" ca="1" si="43"/>
        <v/>
      </c>
      <c r="CK39" s="88" t="str">
        <f t="shared" ca="1" si="43"/>
        <v/>
      </c>
      <c r="CL39" s="88" t="str">
        <f t="shared" ca="1" si="43"/>
        <v/>
      </c>
      <c r="CM39" s="88" t="str">
        <f t="shared" ca="1" si="43"/>
        <v/>
      </c>
      <c r="CN39" s="88" t="str">
        <f t="shared" ca="1" si="38"/>
        <v/>
      </c>
      <c r="CO39" s="88" t="str">
        <f t="shared" ca="1" si="38"/>
        <v/>
      </c>
      <c r="CP39" s="88" t="str">
        <f t="shared" ca="1" si="38"/>
        <v/>
      </c>
      <c r="CQ39" s="88" t="str">
        <f t="shared" ca="1" si="38"/>
        <v/>
      </c>
      <c r="CR39" s="88" t="str">
        <f t="shared" ca="1" si="46"/>
        <v/>
      </c>
      <c r="CS39" s="88" t="str">
        <f t="shared" ca="1" si="46"/>
        <v/>
      </c>
      <c r="CT39" s="88" t="str">
        <f t="shared" ca="1" si="46"/>
        <v/>
      </c>
      <c r="CU39" s="88" t="str">
        <f t="shared" ca="1" si="46"/>
        <v/>
      </c>
      <c r="CV39" s="88" t="str">
        <f t="shared" ca="1" si="46"/>
        <v/>
      </c>
      <c r="CW39" s="88" t="str">
        <f t="shared" ca="1" si="46"/>
        <v/>
      </c>
      <c r="CX39" s="88" t="str">
        <f t="shared" ca="1" si="46"/>
        <v/>
      </c>
      <c r="CY39" s="88" t="str">
        <f t="shared" ca="1" si="46"/>
        <v/>
      </c>
      <c r="CZ39" s="88" t="str">
        <f t="shared" ca="1" si="46"/>
        <v/>
      </c>
      <c r="DA39" s="88" t="str">
        <f t="shared" ca="1" si="46"/>
        <v/>
      </c>
      <c r="DB39" s="88" t="str">
        <f t="shared" ca="1" si="46"/>
        <v/>
      </c>
      <c r="DC39" s="88" t="str">
        <f t="shared" ca="1" si="46"/>
        <v/>
      </c>
      <c r="DD39" s="88" t="str">
        <f t="shared" ca="1" si="46"/>
        <v/>
      </c>
      <c r="DE39" s="88" t="str">
        <f t="shared" ca="1" si="34"/>
        <v/>
      </c>
      <c r="DF39" s="88" t="str">
        <f t="shared" ca="1" si="34"/>
        <v/>
      </c>
      <c r="DG39" s="88" t="str">
        <f t="shared" ca="1" si="34"/>
        <v/>
      </c>
      <c r="DH39" s="88" t="str">
        <f t="shared" ca="1" si="34"/>
        <v/>
      </c>
      <c r="DI39" s="88" t="str">
        <f t="shared" ca="1" si="36"/>
        <v/>
      </c>
      <c r="DJ39" s="88" t="str">
        <f t="shared" ca="1" si="36"/>
        <v/>
      </c>
      <c r="DK39" s="88" t="str">
        <f t="shared" ca="1" si="36"/>
        <v/>
      </c>
      <c r="DL39" s="88" t="str">
        <f t="shared" ca="1" si="36"/>
        <v/>
      </c>
      <c r="DM39" s="88" t="str">
        <f t="shared" ca="1" si="36"/>
        <v/>
      </c>
      <c r="DN39" s="88" t="str">
        <f t="shared" ca="1" si="36"/>
        <v/>
      </c>
      <c r="DO39" s="88" t="str">
        <f t="shared" ca="1" si="36"/>
        <v/>
      </c>
      <c r="DP39" s="88" t="str">
        <f t="shared" ca="1" si="36"/>
        <v/>
      </c>
      <c r="DQ39" s="88" t="str">
        <f t="shared" ca="1" si="36"/>
        <v/>
      </c>
      <c r="DR39" s="88" t="str">
        <f t="shared" ca="1" si="36"/>
        <v/>
      </c>
      <c r="DS39" s="88" t="str">
        <f t="shared" ca="1" si="36"/>
        <v/>
      </c>
      <c r="DT39" s="88" t="str">
        <f t="shared" ca="1" si="36"/>
        <v/>
      </c>
      <c r="DU39" s="88" t="str">
        <f t="shared" ca="1" si="36"/>
        <v/>
      </c>
      <c r="DV39" s="88" t="str">
        <f t="shared" ca="1" si="36"/>
        <v/>
      </c>
      <c r="DW39" s="88" t="str">
        <f t="shared" ca="1" si="36"/>
        <v/>
      </c>
      <c r="DX39" s="88" t="str">
        <f t="shared" ca="1" si="36"/>
        <v/>
      </c>
      <c r="DY39" s="88" t="str">
        <f t="shared" ca="1" si="37"/>
        <v/>
      </c>
      <c r="DZ39" s="88" t="str">
        <f t="shared" ca="1" si="37"/>
        <v/>
      </c>
      <c r="EA39" s="88" t="str">
        <f t="shared" ca="1" si="37"/>
        <v/>
      </c>
      <c r="EB39" s="88" t="str">
        <f t="shared" ca="1" si="37"/>
        <v/>
      </c>
      <c r="EC39" s="88" t="str">
        <f t="shared" ca="1" si="37"/>
        <v/>
      </c>
      <c r="ED39" s="88" t="str">
        <f t="shared" ca="1" si="37"/>
        <v/>
      </c>
      <c r="EE39" s="88" t="str">
        <f t="shared" ca="1" si="37"/>
        <v/>
      </c>
      <c r="EF39" s="88" t="str">
        <f t="shared" ca="1" si="37"/>
        <v/>
      </c>
      <c r="EG39" s="88" t="str">
        <f t="shared" ca="1" si="37"/>
        <v/>
      </c>
      <c r="EH39" s="88" t="str">
        <f t="shared" ca="1" si="37"/>
        <v/>
      </c>
      <c r="EI39" s="88" t="str">
        <f t="shared" ca="1" si="37"/>
        <v/>
      </c>
      <c r="EJ39" s="9" t="str">
        <f t="shared" ca="1" si="37"/>
        <v/>
      </c>
      <c r="EK39" s="9" t="str">
        <f t="shared" ca="1" si="37"/>
        <v/>
      </c>
      <c r="EL39" s="9" t="str">
        <f t="shared" ca="1" si="37"/>
        <v/>
      </c>
      <c r="EM39" s="9" t="str">
        <f t="shared" ca="1" si="37"/>
        <v/>
      </c>
      <c r="EN39" s="9" t="str">
        <f t="shared" ca="1" si="37"/>
        <v/>
      </c>
      <c r="EO39" s="9" t="str">
        <f t="shared" ca="1" si="44"/>
        <v/>
      </c>
      <c r="EP39" s="9" t="str">
        <f t="shared" ca="1" si="44"/>
        <v/>
      </c>
      <c r="EQ39" s="9" t="str">
        <f t="shared" ca="1" si="44"/>
        <v/>
      </c>
      <c r="ER39" s="9" t="str">
        <f t="shared" ca="1" si="44"/>
        <v/>
      </c>
      <c r="ES39" s="9" t="str">
        <f t="shared" ca="1" si="44"/>
        <v/>
      </c>
      <c r="ET39" s="9" t="str">
        <f t="shared" ca="1" si="44"/>
        <v/>
      </c>
      <c r="EU39" s="9" t="str">
        <f t="shared" ca="1" si="44"/>
        <v/>
      </c>
      <c r="EV39" s="9" t="str">
        <f t="shared" ca="1" si="44"/>
        <v/>
      </c>
      <c r="EW39" s="9" t="str">
        <f t="shared" ca="1" si="44"/>
        <v/>
      </c>
      <c r="EX39" s="9" t="str">
        <f t="shared" ca="1" si="44"/>
        <v/>
      </c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</row>
    <row r="40" spans="2:252" outlineLevel="1">
      <c r="B40" s="30" t="s">
        <v>44</v>
      </c>
      <c r="C40" s="32" t="s">
        <v>29</v>
      </c>
      <c r="D40" s="24" t="s">
        <v>54</v>
      </c>
      <c r="E40" s="25">
        <v>46156</v>
      </c>
      <c r="F40" s="24">
        <f>NETWORKDAYS(E40,G40,Праздники!$A$1:$A$14)</f>
        <v>86</v>
      </c>
      <c r="G40" s="25">
        <v>46276</v>
      </c>
      <c r="H40" s="26">
        <v>0.9</v>
      </c>
      <c r="I40" s="24" t="s">
        <v>219</v>
      </c>
      <c r="J40" s="37" t="s">
        <v>150</v>
      </c>
      <c r="K40" s="37"/>
      <c r="L40" s="37"/>
      <c r="M40" s="37"/>
      <c r="N40" s="37" t="s">
        <v>220</v>
      </c>
      <c r="O40" s="37"/>
      <c r="P40" s="87" t="str">
        <f t="shared" ca="1" si="45"/>
        <v/>
      </c>
      <c r="Q40" s="88" t="str">
        <f t="shared" ca="1" si="45"/>
        <v/>
      </c>
      <c r="R40" s="88" t="str">
        <f t="shared" ca="1" si="45"/>
        <v/>
      </c>
      <c r="S40" s="88" t="str">
        <f t="shared" ca="1" si="45"/>
        <v/>
      </c>
      <c r="T40" s="88" t="str">
        <f t="shared" ca="1" si="45"/>
        <v/>
      </c>
      <c r="U40" s="88" t="str">
        <f t="shared" ca="1" si="45"/>
        <v/>
      </c>
      <c r="V40" s="88" t="str">
        <f t="shared" ca="1" si="45"/>
        <v/>
      </c>
      <c r="W40" s="88" t="str">
        <f t="shared" ca="1" si="45"/>
        <v/>
      </c>
      <c r="X40" s="88" t="str">
        <f t="shared" ca="1" si="45"/>
        <v/>
      </c>
      <c r="Y40" s="88" t="str">
        <f t="shared" ca="1" si="45"/>
        <v/>
      </c>
      <c r="Z40" s="88" t="str">
        <f t="shared" ca="1" si="45"/>
        <v/>
      </c>
      <c r="AA40" s="88" t="str">
        <f t="shared" ca="1" si="45"/>
        <v/>
      </c>
      <c r="AB40" s="88" t="str">
        <f t="shared" ca="1" si="45"/>
        <v/>
      </c>
      <c r="AC40" s="88" t="str">
        <f t="shared" ca="1" si="45"/>
        <v/>
      </c>
      <c r="AD40" s="88" t="str">
        <f t="shared" ca="1" si="45"/>
        <v/>
      </c>
      <c r="AE40" s="88" t="str">
        <f t="shared" ca="1" si="45"/>
        <v/>
      </c>
      <c r="AF40" s="88" t="str">
        <f t="shared" ca="1" si="39"/>
        <v/>
      </c>
      <c r="AG40" s="88" t="str">
        <f t="shared" ca="1" si="39"/>
        <v/>
      </c>
      <c r="AH40" s="88" t="str">
        <f t="shared" ca="1" si="39"/>
        <v/>
      </c>
      <c r="AI40" s="88" t="str">
        <f t="shared" ca="1" si="39"/>
        <v/>
      </c>
      <c r="AJ40" s="88" t="str">
        <f t="shared" ca="1" si="39"/>
        <v/>
      </c>
      <c r="AK40" s="88" t="str">
        <f t="shared" ca="1" si="39"/>
        <v/>
      </c>
      <c r="AL40" s="88" t="str">
        <f t="shared" ca="1" si="39"/>
        <v/>
      </c>
      <c r="AM40" s="88" t="str">
        <f t="shared" ca="1" si="39"/>
        <v/>
      </c>
      <c r="AN40" s="88" t="str">
        <f t="shared" ca="1" si="39"/>
        <v/>
      </c>
      <c r="AO40" s="88" t="str">
        <f t="shared" ca="1" si="39"/>
        <v/>
      </c>
      <c r="AP40" s="88" t="str">
        <f t="shared" ca="1" si="39"/>
        <v/>
      </c>
      <c r="AQ40" s="88" t="str">
        <f t="shared" ca="1" si="39"/>
        <v/>
      </c>
      <c r="AR40" s="88" t="str">
        <f t="shared" ca="1" si="39"/>
        <v/>
      </c>
      <c r="AS40" s="88" t="str">
        <f t="shared" ca="1" si="39"/>
        <v/>
      </c>
      <c r="AT40" s="88" t="str">
        <f t="shared" ca="1" si="39"/>
        <v/>
      </c>
      <c r="AU40" s="88" t="str">
        <f t="shared" ca="1" si="39"/>
        <v/>
      </c>
      <c r="AV40" s="88" t="str">
        <f t="shared" ca="1" si="40"/>
        <v/>
      </c>
      <c r="AW40" s="88" t="str">
        <f t="shared" ca="1" si="40"/>
        <v/>
      </c>
      <c r="AX40" s="88" t="str">
        <f t="shared" ca="1" si="40"/>
        <v/>
      </c>
      <c r="AY40" s="88" t="str">
        <f t="shared" ca="1" si="40"/>
        <v/>
      </c>
      <c r="AZ40" s="88" t="str">
        <f t="shared" ca="1" si="40"/>
        <v/>
      </c>
      <c r="BA40" s="88" t="str">
        <f t="shared" ca="1" si="40"/>
        <v/>
      </c>
      <c r="BB40" s="88" t="str">
        <f t="shared" ca="1" si="40"/>
        <v/>
      </c>
      <c r="BC40" s="88" t="str">
        <f t="shared" ca="1" si="40"/>
        <v/>
      </c>
      <c r="BD40" s="88" t="str">
        <f t="shared" ca="1" si="40"/>
        <v/>
      </c>
      <c r="BE40" s="88" t="str">
        <f t="shared" ca="1" si="40"/>
        <v/>
      </c>
      <c r="BF40" s="88" t="str">
        <f t="shared" ca="1" si="40"/>
        <v/>
      </c>
      <c r="BG40" s="88" t="str">
        <f t="shared" ca="1" si="40"/>
        <v/>
      </c>
      <c r="BH40" s="88" t="str">
        <f t="shared" ca="1" si="40"/>
        <v/>
      </c>
      <c r="BI40" s="88" t="str">
        <f t="shared" ca="1" si="40"/>
        <v/>
      </c>
      <c r="BJ40" s="88" t="str">
        <f t="shared" ca="1" si="40"/>
        <v/>
      </c>
      <c r="BK40" s="88" t="str">
        <f t="shared" ca="1" si="40"/>
        <v/>
      </c>
      <c r="BL40" s="88" t="str">
        <f t="shared" ca="1" si="41"/>
        <v/>
      </c>
      <c r="BM40" s="88" t="str">
        <f t="shared" ca="1" si="41"/>
        <v/>
      </c>
      <c r="BN40" s="88" t="str">
        <f t="shared" ca="1" si="41"/>
        <v/>
      </c>
      <c r="BO40" s="88" t="str">
        <f t="shared" ca="1" si="41"/>
        <v/>
      </c>
      <c r="BP40" s="88" t="str">
        <f t="shared" ca="1" si="41"/>
        <v/>
      </c>
      <c r="BQ40" s="88" t="str">
        <f t="shared" ca="1" si="41"/>
        <v/>
      </c>
      <c r="BR40" s="88" t="str">
        <f t="shared" ca="1" si="41"/>
        <v/>
      </c>
      <c r="BS40" s="88" t="str">
        <f t="shared" ca="1" si="41"/>
        <v/>
      </c>
      <c r="BT40" s="88" t="str">
        <f t="shared" ca="1" si="41"/>
        <v/>
      </c>
      <c r="BU40" s="88" t="str">
        <f t="shared" ca="1" si="41"/>
        <v/>
      </c>
      <c r="BV40" s="88" t="str">
        <f t="shared" ca="1" si="41"/>
        <v/>
      </c>
      <c r="BW40" s="88" t="str">
        <f t="shared" ca="1" si="41"/>
        <v/>
      </c>
      <c r="BX40" s="88" t="str">
        <f t="shared" ca="1" si="41"/>
        <v/>
      </c>
      <c r="BY40" s="88" t="str">
        <f t="shared" ca="1" si="41"/>
        <v/>
      </c>
      <c r="BZ40" s="88" t="str">
        <f t="shared" ca="1" si="41"/>
        <v/>
      </c>
      <c r="CA40" s="88" t="str">
        <f t="shared" ca="1" si="41"/>
        <v/>
      </c>
      <c r="CB40" s="88" t="str">
        <f t="shared" ca="1" si="43"/>
        <v/>
      </c>
      <c r="CC40" s="88" t="str">
        <f t="shared" ca="1" si="43"/>
        <v/>
      </c>
      <c r="CD40" s="88" t="str">
        <f t="shared" ca="1" si="43"/>
        <v/>
      </c>
      <c r="CE40" s="88" t="str">
        <f t="shared" ca="1" si="43"/>
        <v/>
      </c>
      <c r="CF40" s="88" t="str">
        <f t="shared" ca="1" si="43"/>
        <v/>
      </c>
      <c r="CG40" s="88" t="str">
        <f t="shared" ca="1" si="43"/>
        <v/>
      </c>
      <c r="CH40" s="88" t="str">
        <f t="shared" ca="1" si="43"/>
        <v/>
      </c>
      <c r="CI40" s="88" t="str">
        <f t="shared" ca="1" si="43"/>
        <v/>
      </c>
      <c r="CJ40" s="88" t="str">
        <f t="shared" ca="1" si="43"/>
        <v/>
      </c>
      <c r="CK40" s="88" t="str">
        <f t="shared" ca="1" si="43"/>
        <v/>
      </c>
      <c r="CL40" s="88" t="str">
        <f t="shared" ca="1" si="43"/>
        <v/>
      </c>
      <c r="CM40" s="88" t="str">
        <f t="shared" ca="1" si="43"/>
        <v/>
      </c>
      <c r="CN40" s="88" t="str">
        <f t="shared" ca="1" si="38"/>
        <v/>
      </c>
      <c r="CO40" s="88" t="str">
        <f t="shared" ca="1" si="38"/>
        <v/>
      </c>
      <c r="CP40" s="88" t="str">
        <f t="shared" ca="1" si="38"/>
        <v/>
      </c>
      <c r="CQ40" s="88" t="str">
        <f t="shared" ca="1" si="38"/>
        <v/>
      </c>
      <c r="CR40" s="88" t="str">
        <f t="shared" ca="1" si="46"/>
        <v/>
      </c>
      <c r="CS40" s="88" t="str">
        <f t="shared" ca="1" si="46"/>
        <v/>
      </c>
      <c r="CT40" s="88" t="str">
        <f t="shared" ca="1" si="46"/>
        <v/>
      </c>
      <c r="CU40" s="88" t="str">
        <f t="shared" ca="1" si="46"/>
        <v/>
      </c>
      <c r="CV40" s="88" t="str">
        <f t="shared" ca="1" si="46"/>
        <v/>
      </c>
      <c r="CW40" s="88" t="str">
        <f t="shared" ca="1" si="46"/>
        <v/>
      </c>
      <c r="CX40" s="88" t="str">
        <f t="shared" ca="1" si="46"/>
        <v/>
      </c>
      <c r="CY40" s="88" t="str">
        <f t="shared" ca="1" si="46"/>
        <v/>
      </c>
      <c r="CZ40" s="88" t="str">
        <f t="shared" ca="1" si="46"/>
        <v/>
      </c>
      <c r="DA40" s="88" t="str">
        <f t="shared" ca="1" si="46"/>
        <v/>
      </c>
      <c r="DB40" s="88" t="str">
        <f t="shared" ca="1" si="46"/>
        <v/>
      </c>
      <c r="DC40" s="88" t="str">
        <f t="shared" ca="1" si="46"/>
        <v/>
      </c>
      <c r="DD40" s="88" t="str">
        <f t="shared" ca="1" si="46"/>
        <v/>
      </c>
      <c r="DE40" s="88" t="str">
        <f t="shared" ca="1" si="34"/>
        <v/>
      </c>
      <c r="DF40" s="88" t="str">
        <f t="shared" ca="1" si="34"/>
        <v/>
      </c>
      <c r="DG40" s="88" t="str">
        <f t="shared" ca="1" si="34"/>
        <v/>
      </c>
      <c r="DH40" s="88" t="str">
        <f t="shared" ca="1" si="34"/>
        <v/>
      </c>
      <c r="DI40" s="88" t="str">
        <f t="shared" ca="1" si="36"/>
        <v/>
      </c>
      <c r="DJ40" s="88" t="str">
        <f t="shared" ca="1" si="36"/>
        <v/>
      </c>
      <c r="DK40" s="88" t="str">
        <f t="shared" ca="1" si="36"/>
        <v/>
      </c>
      <c r="DL40" s="88" t="str">
        <f t="shared" ca="1" si="36"/>
        <v/>
      </c>
      <c r="DM40" s="88" t="str">
        <f t="shared" ca="1" si="36"/>
        <v/>
      </c>
      <c r="DN40" s="88" t="str">
        <f t="shared" ca="1" si="36"/>
        <v/>
      </c>
      <c r="DO40" s="88" t="str">
        <f t="shared" ca="1" si="36"/>
        <v/>
      </c>
      <c r="DP40" s="88" t="str">
        <f t="shared" ca="1" si="36"/>
        <v/>
      </c>
      <c r="DQ40" s="88" t="str">
        <f t="shared" ca="1" si="36"/>
        <v/>
      </c>
      <c r="DR40" s="88" t="str">
        <f t="shared" ca="1" si="36"/>
        <v/>
      </c>
      <c r="DS40" s="88" t="str">
        <f t="shared" ca="1" si="36"/>
        <v/>
      </c>
      <c r="DT40" s="88" t="str">
        <f t="shared" ca="1" si="36"/>
        <v/>
      </c>
      <c r="DU40" s="88" t="str">
        <f t="shared" ca="1" si="36"/>
        <v/>
      </c>
      <c r="DV40" s="88" t="str">
        <f t="shared" ca="1" si="36"/>
        <v/>
      </c>
      <c r="DW40" s="88" t="str">
        <f t="shared" ca="1" si="36"/>
        <v/>
      </c>
      <c r="DX40" s="88" t="str">
        <f t="shared" ref="DX40:EM55" ca="1" si="47">IF(DX$8=TODAY(),CHAR(124),"")</f>
        <v/>
      </c>
      <c r="DY40" s="88" t="str">
        <f t="shared" ca="1" si="47"/>
        <v/>
      </c>
      <c r="DZ40" s="88" t="str">
        <f t="shared" ca="1" si="47"/>
        <v/>
      </c>
      <c r="EA40" s="88" t="str">
        <f t="shared" ca="1" si="47"/>
        <v/>
      </c>
      <c r="EB40" s="88" t="str">
        <f t="shared" ca="1" si="47"/>
        <v/>
      </c>
      <c r="EC40" s="88" t="str">
        <f t="shared" ca="1" si="47"/>
        <v/>
      </c>
      <c r="ED40" s="88" t="str">
        <f t="shared" ca="1" si="47"/>
        <v/>
      </c>
      <c r="EE40" s="88" t="str">
        <f t="shared" ca="1" si="47"/>
        <v/>
      </c>
      <c r="EF40" s="88" t="str">
        <f t="shared" ca="1" si="47"/>
        <v/>
      </c>
      <c r="EG40" s="88" t="str">
        <f t="shared" ca="1" si="47"/>
        <v/>
      </c>
      <c r="EH40" s="88" t="str">
        <f t="shared" ca="1" si="47"/>
        <v/>
      </c>
      <c r="EI40" s="88" t="str">
        <f t="shared" ca="1" si="47"/>
        <v/>
      </c>
      <c r="EJ40" s="9" t="str">
        <f t="shared" ca="1" si="47"/>
        <v/>
      </c>
      <c r="EK40" s="9" t="str">
        <f t="shared" ca="1" si="37"/>
        <v/>
      </c>
      <c r="EL40" s="9" t="str">
        <f t="shared" ca="1" si="37"/>
        <v/>
      </c>
      <c r="EM40" s="9" t="str">
        <f t="shared" ca="1" si="37"/>
        <v/>
      </c>
      <c r="EN40" s="9" t="str">
        <f t="shared" ca="1" si="37"/>
        <v/>
      </c>
      <c r="EO40" s="9" t="str">
        <f t="shared" ca="1" si="44"/>
        <v/>
      </c>
      <c r="EP40" s="9" t="str">
        <f t="shared" ca="1" si="44"/>
        <v/>
      </c>
      <c r="EQ40" s="9" t="str">
        <f t="shared" ca="1" si="44"/>
        <v/>
      </c>
      <c r="ER40" s="9" t="str">
        <f t="shared" ca="1" si="44"/>
        <v/>
      </c>
      <c r="ES40" s="9" t="str">
        <f t="shared" ca="1" si="44"/>
        <v/>
      </c>
      <c r="ET40" s="9" t="str">
        <f t="shared" ca="1" si="44"/>
        <v/>
      </c>
      <c r="EU40" s="9" t="str">
        <f t="shared" ca="1" si="44"/>
        <v/>
      </c>
      <c r="EV40" s="9" t="str">
        <f t="shared" ca="1" si="44"/>
        <v/>
      </c>
      <c r="EW40" s="9" t="str">
        <f t="shared" ca="1" si="44"/>
        <v/>
      </c>
      <c r="EX40" s="9" t="str">
        <f t="shared" ca="1" si="44"/>
        <v/>
      </c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</row>
    <row r="41" spans="2:252" outlineLevel="1">
      <c r="B41" s="30" t="s">
        <v>45</v>
      </c>
      <c r="C41" s="32" t="s">
        <v>30</v>
      </c>
      <c r="D41" s="24" t="s">
        <v>53</v>
      </c>
      <c r="E41" s="25">
        <v>46154</v>
      </c>
      <c r="F41" s="24">
        <f>NETWORKDAYS(E41,G41,Праздники!$A$1:$A$14)</f>
        <v>88</v>
      </c>
      <c r="G41" s="25">
        <v>46276</v>
      </c>
      <c r="H41" s="26">
        <v>0.9</v>
      </c>
      <c r="I41" s="24" t="s">
        <v>151</v>
      </c>
      <c r="J41" s="37" t="s">
        <v>150</v>
      </c>
      <c r="K41" s="37"/>
      <c r="L41" s="37"/>
      <c r="M41" s="37"/>
      <c r="N41" s="37" t="s">
        <v>220</v>
      </c>
      <c r="O41" s="37"/>
      <c r="P41" s="87" t="str">
        <f t="shared" ca="1" si="45"/>
        <v/>
      </c>
      <c r="Q41" s="88" t="str">
        <f t="shared" ca="1" si="45"/>
        <v/>
      </c>
      <c r="R41" s="88" t="str">
        <f t="shared" ca="1" si="45"/>
        <v/>
      </c>
      <c r="S41" s="88" t="str">
        <f t="shared" ca="1" si="45"/>
        <v/>
      </c>
      <c r="T41" s="88" t="str">
        <f t="shared" ca="1" si="45"/>
        <v/>
      </c>
      <c r="U41" s="88" t="str">
        <f t="shared" ca="1" si="45"/>
        <v/>
      </c>
      <c r="V41" s="88" t="str">
        <f t="shared" ca="1" si="45"/>
        <v/>
      </c>
      <c r="W41" s="88" t="str">
        <f t="shared" ca="1" si="45"/>
        <v/>
      </c>
      <c r="X41" s="88" t="str">
        <f t="shared" ca="1" si="45"/>
        <v/>
      </c>
      <c r="Y41" s="88" t="str">
        <f t="shared" ca="1" si="45"/>
        <v/>
      </c>
      <c r="Z41" s="88" t="str">
        <f t="shared" ca="1" si="45"/>
        <v/>
      </c>
      <c r="AA41" s="88" t="str">
        <f t="shared" ca="1" si="45"/>
        <v/>
      </c>
      <c r="AB41" s="88" t="str">
        <f t="shared" ca="1" si="45"/>
        <v/>
      </c>
      <c r="AC41" s="88" t="str">
        <f t="shared" ca="1" si="45"/>
        <v/>
      </c>
      <c r="AD41" s="88" t="str">
        <f t="shared" ca="1" si="45"/>
        <v/>
      </c>
      <c r="AE41" s="88" t="str">
        <f t="shared" ca="1" si="45"/>
        <v/>
      </c>
      <c r="AF41" s="88" t="str">
        <f t="shared" ca="1" si="39"/>
        <v/>
      </c>
      <c r="AG41" s="88" t="str">
        <f t="shared" ca="1" si="39"/>
        <v/>
      </c>
      <c r="AH41" s="88" t="str">
        <f t="shared" ca="1" si="39"/>
        <v/>
      </c>
      <c r="AI41" s="88" t="str">
        <f t="shared" ca="1" si="39"/>
        <v/>
      </c>
      <c r="AJ41" s="88" t="str">
        <f t="shared" ca="1" si="39"/>
        <v/>
      </c>
      <c r="AK41" s="88" t="str">
        <f t="shared" ca="1" si="39"/>
        <v/>
      </c>
      <c r="AL41" s="88" t="str">
        <f t="shared" ca="1" si="39"/>
        <v/>
      </c>
      <c r="AM41" s="88" t="str">
        <f t="shared" ca="1" si="39"/>
        <v/>
      </c>
      <c r="AN41" s="88" t="str">
        <f t="shared" ca="1" si="39"/>
        <v/>
      </c>
      <c r="AO41" s="88" t="str">
        <f t="shared" ca="1" si="39"/>
        <v/>
      </c>
      <c r="AP41" s="88" t="str">
        <f t="shared" ca="1" si="39"/>
        <v/>
      </c>
      <c r="AQ41" s="88" t="str">
        <f t="shared" ca="1" si="39"/>
        <v/>
      </c>
      <c r="AR41" s="88" t="str">
        <f t="shared" ca="1" si="39"/>
        <v/>
      </c>
      <c r="AS41" s="88" t="str">
        <f t="shared" ca="1" si="39"/>
        <v/>
      </c>
      <c r="AT41" s="88" t="str">
        <f t="shared" ca="1" si="39"/>
        <v/>
      </c>
      <c r="AU41" s="88" t="str">
        <f t="shared" ca="1" si="39"/>
        <v/>
      </c>
      <c r="AV41" s="88" t="str">
        <f t="shared" ca="1" si="40"/>
        <v/>
      </c>
      <c r="AW41" s="88" t="str">
        <f t="shared" ca="1" si="40"/>
        <v/>
      </c>
      <c r="AX41" s="88" t="str">
        <f t="shared" ca="1" si="40"/>
        <v/>
      </c>
      <c r="AY41" s="88" t="str">
        <f t="shared" ca="1" si="40"/>
        <v/>
      </c>
      <c r="AZ41" s="88" t="str">
        <f t="shared" ca="1" si="40"/>
        <v/>
      </c>
      <c r="BA41" s="88" t="str">
        <f t="shared" ca="1" si="40"/>
        <v/>
      </c>
      <c r="BB41" s="88" t="str">
        <f t="shared" ca="1" si="40"/>
        <v/>
      </c>
      <c r="BC41" s="88" t="str">
        <f t="shared" ca="1" si="40"/>
        <v/>
      </c>
      <c r="BD41" s="88" t="str">
        <f t="shared" ca="1" si="40"/>
        <v/>
      </c>
      <c r="BE41" s="88" t="str">
        <f t="shared" ca="1" si="40"/>
        <v/>
      </c>
      <c r="BF41" s="88" t="str">
        <f t="shared" ca="1" si="40"/>
        <v/>
      </c>
      <c r="BG41" s="88" t="str">
        <f t="shared" ca="1" si="40"/>
        <v/>
      </c>
      <c r="BH41" s="88" t="str">
        <f t="shared" ca="1" si="40"/>
        <v/>
      </c>
      <c r="BI41" s="88" t="str">
        <f t="shared" ca="1" si="40"/>
        <v/>
      </c>
      <c r="BJ41" s="88" t="str">
        <f t="shared" ca="1" si="40"/>
        <v/>
      </c>
      <c r="BK41" s="88" t="str">
        <f t="shared" ca="1" si="40"/>
        <v/>
      </c>
      <c r="BL41" s="88" t="str">
        <f t="shared" ca="1" si="41"/>
        <v/>
      </c>
      <c r="BM41" s="88" t="str">
        <f t="shared" ca="1" si="41"/>
        <v/>
      </c>
      <c r="BN41" s="88" t="str">
        <f t="shared" ca="1" si="41"/>
        <v/>
      </c>
      <c r="BO41" s="88" t="str">
        <f t="shared" ca="1" si="41"/>
        <v/>
      </c>
      <c r="BP41" s="88" t="str">
        <f t="shared" ca="1" si="41"/>
        <v/>
      </c>
      <c r="BQ41" s="88" t="str">
        <f t="shared" ca="1" si="41"/>
        <v/>
      </c>
      <c r="BR41" s="88" t="str">
        <f t="shared" ca="1" si="41"/>
        <v/>
      </c>
      <c r="BS41" s="88" t="str">
        <f t="shared" ca="1" si="41"/>
        <v/>
      </c>
      <c r="BT41" s="88" t="str">
        <f t="shared" ca="1" si="41"/>
        <v/>
      </c>
      <c r="BU41" s="88" t="str">
        <f t="shared" ca="1" si="41"/>
        <v/>
      </c>
      <c r="BV41" s="88" t="str">
        <f t="shared" ca="1" si="41"/>
        <v/>
      </c>
      <c r="BW41" s="88" t="str">
        <f t="shared" ca="1" si="41"/>
        <v/>
      </c>
      <c r="BX41" s="88" t="str">
        <f t="shared" ca="1" si="41"/>
        <v/>
      </c>
      <c r="BY41" s="88" t="str">
        <f t="shared" ca="1" si="41"/>
        <v/>
      </c>
      <c r="BZ41" s="88" t="str">
        <f t="shared" ca="1" si="41"/>
        <v/>
      </c>
      <c r="CA41" s="88" t="str">
        <f t="shared" ca="1" si="41"/>
        <v/>
      </c>
      <c r="CB41" s="88" t="str">
        <f t="shared" ref="CB41:CQ55" ca="1" si="48">IF(CB$8=TODAY(),CHAR(124),"")</f>
        <v/>
      </c>
      <c r="CC41" s="88" t="str">
        <f t="shared" ca="1" si="48"/>
        <v/>
      </c>
      <c r="CD41" s="88" t="str">
        <f t="shared" ca="1" si="48"/>
        <v/>
      </c>
      <c r="CE41" s="88" t="str">
        <f t="shared" ca="1" si="48"/>
        <v/>
      </c>
      <c r="CF41" s="88" t="str">
        <f t="shared" ca="1" si="48"/>
        <v/>
      </c>
      <c r="CG41" s="88" t="str">
        <f t="shared" ca="1" si="48"/>
        <v/>
      </c>
      <c r="CH41" s="88" t="str">
        <f t="shared" ca="1" si="48"/>
        <v/>
      </c>
      <c r="CI41" s="88" t="str">
        <f t="shared" ca="1" si="48"/>
        <v/>
      </c>
      <c r="CJ41" s="88" t="str">
        <f t="shared" ca="1" si="48"/>
        <v/>
      </c>
      <c r="CK41" s="88" t="str">
        <f t="shared" ca="1" si="48"/>
        <v/>
      </c>
      <c r="CL41" s="88" t="str">
        <f t="shared" ca="1" si="48"/>
        <v/>
      </c>
      <c r="CM41" s="88" t="str">
        <f t="shared" ca="1" si="48"/>
        <v/>
      </c>
      <c r="CN41" s="88" t="str">
        <f t="shared" ca="1" si="48"/>
        <v/>
      </c>
      <c r="CO41" s="88" t="str">
        <f t="shared" ca="1" si="48"/>
        <v/>
      </c>
      <c r="CP41" s="88" t="str">
        <f t="shared" ca="1" si="48"/>
        <v/>
      </c>
      <c r="CQ41" s="88" t="str">
        <f t="shared" ca="1" si="48"/>
        <v/>
      </c>
      <c r="CR41" s="88" t="str">
        <f t="shared" ref="CR41:DH55" ca="1" si="49">IF(CR$8=TODAY(),CHAR(124),"")</f>
        <v/>
      </c>
      <c r="CS41" s="88" t="str">
        <f t="shared" ca="1" si="49"/>
        <v/>
      </c>
      <c r="CT41" s="88" t="str">
        <f t="shared" ca="1" si="49"/>
        <v/>
      </c>
      <c r="CU41" s="88" t="str">
        <f t="shared" ca="1" si="49"/>
        <v/>
      </c>
      <c r="CV41" s="88" t="str">
        <f t="shared" ca="1" si="49"/>
        <v/>
      </c>
      <c r="CW41" s="88" t="str">
        <f t="shared" ca="1" si="49"/>
        <v/>
      </c>
      <c r="CX41" s="88" t="str">
        <f t="shared" ca="1" si="49"/>
        <v/>
      </c>
      <c r="CY41" s="88" t="str">
        <f t="shared" ca="1" si="49"/>
        <v/>
      </c>
      <c r="CZ41" s="88" t="str">
        <f t="shared" ca="1" si="49"/>
        <v/>
      </c>
      <c r="DA41" s="88" t="str">
        <f t="shared" ca="1" si="49"/>
        <v/>
      </c>
      <c r="DB41" s="88" t="str">
        <f t="shared" ca="1" si="49"/>
        <v/>
      </c>
      <c r="DC41" s="88" t="str">
        <f t="shared" ca="1" si="49"/>
        <v/>
      </c>
      <c r="DD41" s="88" t="str">
        <f t="shared" ca="1" si="49"/>
        <v/>
      </c>
      <c r="DE41" s="88" t="str">
        <f t="shared" ca="1" si="49"/>
        <v/>
      </c>
      <c r="DF41" s="88" t="str">
        <f t="shared" ca="1" si="49"/>
        <v/>
      </c>
      <c r="DG41" s="88" t="str">
        <f t="shared" ca="1" si="49"/>
        <v/>
      </c>
      <c r="DH41" s="88" t="str">
        <f t="shared" ca="1" si="49"/>
        <v/>
      </c>
      <c r="DI41" s="88" t="str">
        <f t="shared" ref="DI41:DX55" ca="1" si="50">IF(DI$8=TODAY(),CHAR(124),"")</f>
        <v/>
      </c>
      <c r="DJ41" s="88" t="str">
        <f t="shared" ca="1" si="50"/>
        <v/>
      </c>
      <c r="DK41" s="88" t="str">
        <f t="shared" ca="1" si="50"/>
        <v/>
      </c>
      <c r="DL41" s="88" t="str">
        <f t="shared" ca="1" si="50"/>
        <v/>
      </c>
      <c r="DM41" s="88" t="str">
        <f t="shared" ca="1" si="50"/>
        <v/>
      </c>
      <c r="DN41" s="88" t="str">
        <f t="shared" ca="1" si="50"/>
        <v/>
      </c>
      <c r="DO41" s="88" t="str">
        <f t="shared" ca="1" si="50"/>
        <v/>
      </c>
      <c r="DP41" s="88" t="str">
        <f t="shared" ca="1" si="50"/>
        <v/>
      </c>
      <c r="DQ41" s="88" t="str">
        <f t="shared" ca="1" si="50"/>
        <v/>
      </c>
      <c r="DR41" s="88" t="str">
        <f t="shared" ca="1" si="50"/>
        <v/>
      </c>
      <c r="DS41" s="88" t="str">
        <f t="shared" ca="1" si="50"/>
        <v/>
      </c>
      <c r="DT41" s="88" t="str">
        <f t="shared" ca="1" si="50"/>
        <v/>
      </c>
      <c r="DU41" s="88" t="str">
        <f t="shared" ca="1" si="50"/>
        <v/>
      </c>
      <c r="DV41" s="88" t="str">
        <f t="shared" ca="1" si="50"/>
        <v/>
      </c>
      <c r="DW41" s="88" t="str">
        <f t="shared" ca="1" si="50"/>
        <v/>
      </c>
      <c r="DX41" s="88" t="str">
        <f t="shared" ca="1" si="50"/>
        <v/>
      </c>
      <c r="DY41" s="88" t="str">
        <f t="shared" ca="1" si="47"/>
        <v/>
      </c>
      <c r="DZ41" s="88" t="str">
        <f t="shared" ca="1" si="47"/>
        <v/>
      </c>
      <c r="EA41" s="88" t="str">
        <f t="shared" ca="1" si="47"/>
        <v/>
      </c>
      <c r="EB41" s="88" t="str">
        <f t="shared" ca="1" si="47"/>
        <v/>
      </c>
      <c r="EC41" s="88" t="str">
        <f t="shared" ca="1" si="47"/>
        <v/>
      </c>
      <c r="ED41" s="88" t="str">
        <f t="shared" ca="1" si="47"/>
        <v/>
      </c>
      <c r="EE41" s="88" t="str">
        <f t="shared" ca="1" si="47"/>
        <v/>
      </c>
      <c r="EF41" s="88" t="str">
        <f t="shared" ca="1" si="47"/>
        <v/>
      </c>
      <c r="EG41" s="88" t="str">
        <f t="shared" ca="1" si="47"/>
        <v/>
      </c>
      <c r="EH41" s="88" t="str">
        <f t="shared" ca="1" si="47"/>
        <v/>
      </c>
      <c r="EI41" s="88" t="str">
        <f t="shared" ca="1" si="47"/>
        <v/>
      </c>
      <c r="EJ41" s="9" t="str">
        <f t="shared" ca="1" si="47"/>
        <v/>
      </c>
      <c r="EK41" s="9" t="str">
        <f t="shared" ca="1" si="37"/>
        <v/>
      </c>
      <c r="EL41" s="9" t="str">
        <f t="shared" ca="1" si="37"/>
        <v/>
      </c>
      <c r="EM41" s="9" t="str">
        <f t="shared" ca="1" si="37"/>
        <v/>
      </c>
      <c r="EN41" s="9" t="str">
        <f t="shared" ca="1" si="37"/>
        <v/>
      </c>
      <c r="EO41" s="9" t="str">
        <f t="shared" ca="1" si="44"/>
        <v/>
      </c>
      <c r="EP41" s="9" t="str">
        <f t="shared" ca="1" si="44"/>
        <v/>
      </c>
      <c r="EQ41" s="9" t="str">
        <f t="shared" ca="1" si="44"/>
        <v/>
      </c>
      <c r="ER41" s="9" t="str">
        <f t="shared" ca="1" si="44"/>
        <v/>
      </c>
      <c r="ES41" s="9" t="str">
        <f t="shared" ca="1" si="44"/>
        <v/>
      </c>
      <c r="ET41" s="9" t="str">
        <f t="shared" ca="1" si="44"/>
        <v/>
      </c>
      <c r="EU41" s="9" t="str">
        <f t="shared" ca="1" si="44"/>
        <v/>
      </c>
      <c r="EV41" s="9" t="str">
        <f t="shared" ca="1" si="44"/>
        <v/>
      </c>
      <c r="EW41" s="9" t="str">
        <f t="shared" ca="1" si="44"/>
        <v/>
      </c>
      <c r="EX41" s="9" t="str">
        <f t="shared" ca="1" si="44"/>
        <v/>
      </c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</row>
    <row r="42" spans="2:252" outlineLevel="1">
      <c r="B42" s="30" t="s">
        <v>46</v>
      </c>
      <c r="C42" s="32" t="s">
        <v>31</v>
      </c>
      <c r="D42" s="24" t="s">
        <v>53</v>
      </c>
      <c r="E42" s="25">
        <v>46156</v>
      </c>
      <c r="F42" s="24">
        <f>NETWORKDAYS(E42,G42,Праздники!$A$1:$A$14)</f>
        <v>86</v>
      </c>
      <c r="G42" s="25">
        <v>46276</v>
      </c>
      <c r="H42" s="26">
        <v>0.5</v>
      </c>
      <c r="I42" s="24" t="s">
        <v>151</v>
      </c>
      <c r="J42" s="37" t="s">
        <v>150</v>
      </c>
      <c r="K42" s="37"/>
      <c r="L42" s="37"/>
      <c r="M42" s="37"/>
      <c r="N42" s="37" t="s">
        <v>222</v>
      </c>
      <c r="O42" s="37" t="s">
        <v>221</v>
      </c>
      <c r="P42" s="87" t="str">
        <f t="shared" ca="1" si="45"/>
        <v/>
      </c>
      <c r="Q42" s="88" t="str">
        <f t="shared" ca="1" si="45"/>
        <v/>
      </c>
      <c r="R42" s="88" t="str">
        <f t="shared" ca="1" si="45"/>
        <v/>
      </c>
      <c r="S42" s="88" t="str">
        <f t="shared" ca="1" si="45"/>
        <v/>
      </c>
      <c r="T42" s="88" t="str">
        <f t="shared" ca="1" si="45"/>
        <v/>
      </c>
      <c r="U42" s="88" t="str">
        <f t="shared" ca="1" si="45"/>
        <v/>
      </c>
      <c r="V42" s="88" t="str">
        <f t="shared" ca="1" si="45"/>
        <v/>
      </c>
      <c r="W42" s="88" t="str">
        <f t="shared" ca="1" si="45"/>
        <v/>
      </c>
      <c r="X42" s="88" t="str">
        <f t="shared" ca="1" si="45"/>
        <v/>
      </c>
      <c r="Y42" s="88" t="str">
        <f t="shared" ca="1" si="45"/>
        <v/>
      </c>
      <c r="Z42" s="88" t="str">
        <f t="shared" ca="1" si="45"/>
        <v/>
      </c>
      <c r="AA42" s="88" t="str">
        <f t="shared" ca="1" si="45"/>
        <v/>
      </c>
      <c r="AB42" s="88" t="str">
        <f t="shared" ca="1" si="45"/>
        <v/>
      </c>
      <c r="AC42" s="88" t="str">
        <f t="shared" ca="1" si="45"/>
        <v/>
      </c>
      <c r="AD42" s="88" t="str">
        <f t="shared" ca="1" si="45"/>
        <v/>
      </c>
      <c r="AE42" s="88" t="str">
        <f t="shared" ca="1" si="45"/>
        <v/>
      </c>
      <c r="AF42" s="88" t="str">
        <f t="shared" ca="1" si="39"/>
        <v/>
      </c>
      <c r="AG42" s="88" t="str">
        <f t="shared" ca="1" si="39"/>
        <v/>
      </c>
      <c r="AH42" s="88" t="str">
        <f t="shared" ca="1" si="39"/>
        <v/>
      </c>
      <c r="AI42" s="88" t="str">
        <f t="shared" ca="1" si="39"/>
        <v/>
      </c>
      <c r="AJ42" s="88" t="str">
        <f t="shared" ca="1" si="39"/>
        <v/>
      </c>
      <c r="AK42" s="88" t="str">
        <f t="shared" ca="1" si="39"/>
        <v/>
      </c>
      <c r="AL42" s="88" t="str">
        <f t="shared" ca="1" si="39"/>
        <v/>
      </c>
      <c r="AM42" s="88" t="str">
        <f t="shared" ca="1" si="39"/>
        <v/>
      </c>
      <c r="AN42" s="88" t="str">
        <f t="shared" ca="1" si="39"/>
        <v/>
      </c>
      <c r="AO42" s="88" t="str">
        <f t="shared" ca="1" si="39"/>
        <v/>
      </c>
      <c r="AP42" s="88" t="str">
        <f t="shared" ca="1" si="39"/>
        <v/>
      </c>
      <c r="AQ42" s="88" t="str">
        <f t="shared" ca="1" si="39"/>
        <v/>
      </c>
      <c r="AR42" s="88" t="str">
        <f t="shared" ca="1" si="39"/>
        <v/>
      </c>
      <c r="AS42" s="88" t="str">
        <f t="shared" ca="1" si="39"/>
        <v/>
      </c>
      <c r="AT42" s="88" t="str">
        <f t="shared" ca="1" si="39"/>
        <v/>
      </c>
      <c r="AU42" s="88" t="str">
        <f t="shared" ca="1" si="39"/>
        <v/>
      </c>
      <c r="AV42" s="88" t="str">
        <f t="shared" ca="1" si="40"/>
        <v/>
      </c>
      <c r="AW42" s="88" t="str">
        <f t="shared" ca="1" si="40"/>
        <v/>
      </c>
      <c r="AX42" s="88" t="str">
        <f t="shared" ca="1" si="40"/>
        <v/>
      </c>
      <c r="AY42" s="88" t="str">
        <f t="shared" ca="1" si="40"/>
        <v/>
      </c>
      <c r="AZ42" s="88" t="str">
        <f t="shared" ca="1" si="40"/>
        <v/>
      </c>
      <c r="BA42" s="88" t="str">
        <f t="shared" ca="1" si="40"/>
        <v/>
      </c>
      <c r="BB42" s="88" t="str">
        <f t="shared" ca="1" si="40"/>
        <v/>
      </c>
      <c r="BC42" s="88" t="str">
        <f t="shared" ca="1" si="40"/>
        <v/>
      </c>
      <c r="BD42" s="88" t="str">
        <f t="shared" ca="1" si="40"/>
        <v/>
      </c>
      <c r="BE42" s="88" t="str">
        <f t="shared" ca="1" si="40"/>
        <v/>
      </c>
      <c r="BF42" s="88" t="str">
        <f t="shared" ca="1" si="40"/>
        <v/>
      </c>
      <c r="BG42" s="88" t="str">
        <f t="shared" ca="1" si="40"/>
        <v/>
      </c>
      <c r="BH42" s="88" t="str">
        <f t="shared" ca="1" si="40"/>
        <v/>
      </c>
      <c r="BI42" s="88" t="str">
        <f t="shared" ca="1" si="40"/>
        <v/>
      </c>
      <c r="BJ42" s="88" t="str">
        <f t="shared" ca="1" si="40"/>
        <v/>
      </c>
      <c r="BK42" s="88" t="str">
        <f t="shared" ca="1" si="40"/>
        <v/>
      </c>
      <c r="BL42" s="88" t="str">
        <f t="shared" ca="1" si="41"/>
        <v/>
      </c>
      <c r="BM42" s="88" t="str">
        <f t="shared" ca="1" si="41"/>
        <v/>
      </c>
      <c r="BN42" s="88" t="str">
        <f t="shared" ca="1" si="41"/>
        <v/>
      </c>
      <c r="BO42" s="88" t="str">
        <f t="shared" ca="1" si="41"/>
        <v/>
      </c>
      <c r="BP42" s="88" t="str">
        <f t="shared" ca="1" si="41"/>
        <v/>
      </c>
      <c r="BQ42" s="88" t="str">
        <f t="shared" ca="1" si="41"/>
        <v/>
      </c>
      <c r="BR42" s="88" t="str">
        <f t="shared" ca="1" si="41"/>
        <v/>
      </c>
      <c r="BS42" s="88" t="str">
        <f t="shared" ca="1" si="41"/>
        <v/>
      </c>
      <c r="BT42" s="88" t="str">
        <f t="shared" ca="1" si="41"/>
        <v/>
      </c>
      <c r="BU42" s="88" t="str">
        <f t="shared" ca="1" si="41"/>
        <v/>
      </c>
      <c r="BV42" s="88" t="str">
        <f t="shared" ca="1" si="41"/>
        <v/>
      </c>
      <c r="BW42" s="88" t="str">
        <f t="shared" ca="1" si="41"/>
        <v/>
      </c>
      <c r="BX42" s="88" t="str">
        <f t="shared" ca="1" si="41"/>
        <v/>
      </c>
      <c r="BY42" s="88" t="str">
        <f t="shared" ca="1" si="41"/>
        <v/>
      </c>
      <c r="BZ42" s="88" t="str">
        <f t="shared" ca="1" si="41"/>
        <v/>
      </c>
      <c r="CA42" s="88" t="str">
        <f t="shared" ca="1" si="41"/>
        <v/>
      </c>
      <c r="CB42" s="88" t="str">
        <f t="shared" ca="1" si="48"/>
        <v/>
      </c>
      <c r="CC42" s="88" t="str">
        <f t="shared" ca="1" si="48"/>
        <v/>
      </c>
      <c r="CD42" s="88" t="str">
        <f t="shared" ca="1" si="48"/>
        <v/>
      </c>
      <c r="CE42" s="88" t="str">
        <f t="shared" ca="1" si="48"/>
        <v/>
      </c>
      <c r="CF42" s="88" t="str">
        <f t="shared" ca="1" si="48"/>
        <v/>
      </c>
      <c r="CG42" s="88" t="str">
        <f t="shared" ca="1" si="48"/>
        <v/>
      </c>
      <c r="CH42" s="88" t="str">
        <f t="shared" ca="1" si="48"/>
        <v/>
      </c>
      <c r="CI42" s="88" t="str">
        <f t="shared" ca="1" si="48"/>
        <v/>
      </c>
      <c r="CJ42" s="88" t="str">
        <f t="shared" ca="1" si="48"/>
        <v/>
      </c>
      <c r="CK42" s="88" t="str">
        <f t="shared" ca="1" si="48"/>
        <v/>
      </c>
      <c r="CL42" s="88" t="str">
        <f t="shared" ca="1" si="48"/>
        <v/>
      </c>
      <c r="CM42" s="88" t="str">
        <f t="shared" ca="1" si="48"/>
        <v/>
      </c>
      <c r="CN42" s="88" t="str">
        <f t="shared" ca="1" si="48"/>
        <v/>
      </c>
      <c r="CO42" s="88" t="str">
        <f t="shared" ca="1" si="48"/>
        <v/>
      </c>
      <c r="CP42" s="88" t="str">
        <f t="shared" ca="1" si="48"/>
        <v/>
      </c>
      <c r="CQ42" s="88" t="str">
        <f t="shared" ca="1" si="48"/>
        <v/>
      </c>
      <c r="CR42" s="88" t="str">
        <f t="shared" ca="1" si="49"/>
        <v/>
      </c>
      <c r="CS42" s="88" t="str">
        <f t="shared" ca="1" si="49"/>
        <v/>
      </c>
      <c r="CT42" s="88" t="str">
        <f t="shared" ca="1" si="49"/>
        <v/>
      </c>
      <c r="CU42" s="88" t="str">
        <f t="shared" ca="1" si="49"/>
        <v/>
      </c>
      <c r="CV42" s="88" t="str">
        <f t="shared" ca="1" si="49"/>
        <v/>
      </c>
      <c r="CW42" s="88" t="str">
        <f t="shared" ca="1" si="49"/>
        <v/>
      </c>
      <c r="CX42" s="88" t="str">
        <f t="shared" ca="1" si="49"/>
        <v/>
      </c>
      <c r="CY42" s="88" t="str">
        <f t="shared" ca="1" si="49"/>
        <v/>
      </c>
      <c r="CZ42" s="88" t="str">
        <f t="shared" ca="1" si="49"/>
        <v/>
      </c>
      <c r="DA42" s="88" t="str">
        <f t="shared" ca="1" si="49"/>
        <v/>
      </c>
      <c r="DB42" s="88" t="str">
        <f t="shared" ca="1" si="49"/>
        <v/>
      </c>
      <c r="DC42" s="88" t="str">
        <f t="shared" ca="1" si="49"/>
        <v/>
      </c>
      <c r="DD42" s="88" t="str">
        <f t="shared" ca="1" si="49"/>
        <v/>
      </c>
      <c r="DE42" s="88" t="str">
        <f t="shared" ca="1" si="49"/>
        <v/>
      </c>
      <c r="DF42" s="88" t="str">
        <f t="shared" ca="1" si="49"/>
        <v/>
      </c>
      <c r="DG42" s="88" t="str">
        <f t="shared" ca="1" si="49"/>
        <v/>
      </c>
      <c r="DH42" s="88" t="str">
        <f t="shared" ca="1" si="49"/>
        <v/>
      </c>
      <c r="DI42" s="88" t="str">
        <f t="shared" ca="1" si="50"/>
        <v/>
      </c>
      <c r="DJ42" s="88" t="str">
        <f t="shared" ca="1" si="50"/>
        <v/>
      </c>
      <c r="DK42" s="88" t="str">
        <f t="shared" ca="1" si="50"/>
        <v/>
      </c>
      <c r="DL42" s="88" t="str">
        <f t="shared" ca="1" si="50"/>
        <v/>
      </c>
      <c r="DM42" s="88" t="str">
        <f t="shared" ca="1" si="50"/>
        <v/>
      </c>
      <c r="DN42" s="88" t="str">
        <f t="shared" ca="1" si="50"/>
        <v/>
      </c>
      <c r="DO42" s="88" t="str">
        <f t="shared" ca="1" si="50"/>
        <v/>
      </c>
      <c r="DP42" s="88" t="str">
        <f t="shared" ca="1" si="50"/>
        <v/>
      </c>
      <c r="DQ42" s="88" t="str">
        <f t="shared" ca="1" si="50"/>
        <v/>
      </c>
      <c r="DR42" s="88" t="str">
        <f t="shared" ca="1" si="50"/>
        <v/>
      </c>
      <c r="DS42" s="88" t="str">
        <f t="shared" ca="1" si="50"/>
        <v/>
      </c>
      <c r="DT42" s="88" t="str">
        <f t="shared" ca="1" si="50"/>
        <v/>
      </c>
      <c r="DU42" s="88" t="str">
        <f t="shared" ca="1" si="50"/>
        <v/>
      </c>
      <c r="DV42" s="88" t="str">
        <f t="shared" ca="1" si="50"/>
        <v/>
      </c>
      <c r="DW42" s="88" t="str">
        <f t="shared" ca="1" si="50"/>
        <v/>
      </c>
      <c r="DX42" s="88" t="str">
        <f t="shared" ca="1" si="50"/>
        <v/>
      </c>
      <c r="DY42" s="88" t="str">
        <f t="shared" ca="1" si="47"/>
        <v/>
      </c>
      <c r="DZ42" s="88" t="str">
        <f t="shared" ca="1" si="47"/>
        <v/>
      </c>
      <c r="EA42" s="88" t="str">
        <f t="shared" ca="1" si="47"/>
        <v/>
      </c>
      <c r="EB42" s="88" t="str">
        <f t="shared" ca="1" si="47"/>
        <v/>
      </c>
      <c r="EC42" s="88" t="str">
        <f t="shared" ca="1" si="47"/>
        <v/>
      </c>
      <c r="ED42" s="88" t="str">
        <f t="shared" ca="1" si="47"/>
        <v/>
      </c>
      <c r="EE42" s="88" t="str">
        <f t="shared" ca="1" si="47"/>
        <v/>
      </c>
      <c r="EF42" s="88" t="str">
        <f t="shared" ca="1" si="47"/>
        <v/>
      </c>
      <c r="EG42" s="88" t="str">
        <f t="shared" ca="1" si="47"/>
        <v/>
      </c>
      <c r="EH42" s="88" t="str">
        <f t="shared" ca="1" si="47"/>
        <v/>
      </c>
      <c r="EI42" s="88" t="str">
        <f t="shared" ca="1" si="47"/>
        <v/>
      </c>
      <c r="EJ42" s="9" t="str">
        <f t="shared" ca="1" si="47"/>
        <v/>
      </c>
      <c r="EK42" s="9" t="str">
        <f t="shared" ca="1" si="47"/>
        <v/>
      </c>
      <c r="EL42" s="9" t="str">
        <f t="shared" ca="1" si="47"/>
        <v/>
      </c>
      <c r="EM42" s="9" t="str">
        <f t="shared" ca="1" si="47"/>
        <v/>
      </c>
      <c r="EN42" s="9" t="str">
        <f t="shared" ref="EN42:EX55" ca="1" si="51">IF(EN$8=TODAY(),CHAR(124),"")</f>
        <v/>
      </c>
      <c r="EO42" s="9" t="str">
        <f t="shared" ca="1" si="51"/>
        <v/>
      </c>
      <c r="EP42" s="9" t="str">
        <f t="shared" ca="1" si="51"/>
        <v/>
      </c>
      <c r="EQ42" s="9" t="str">
        <f t="shared" ca="1" si="51"/>
        <v/>
      </c>
      <c r="ER42" s="9" t="str">
        <f t="shared" ca="1" si="51"/>
        <v/>
      </c>
      <c r="ES42" s="9" t="str">
        <f t="shared" ca="1" si="51"/>
        <v/>
      </c>
      <c r="ET42" s="9" t="str">
        <f t="shared" ca="1" si="51"/>
        <v/>
      </c>
      <c r="EU42" s="9" t="str">
        <f t="shared" ca="1" si="51"/>
        <v/>
      </c>
      <c r="EV42" s="9" t="str">
        <f t="shared" ca="1" si="51"/>
        <v/>
      </c>
      <c r="EW42" s="9" t="str">
        <f t="shared" ca="1" si="51"/>
        <v/>
      </c>
      <c r="EX42" s="9" t="str">
        <f t="shared" ca="1" si="51"/>
        <v/>
      </c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</row>
    <row r="43" spans="2:252" outlineLevel="1">
      <c r="B43" s="30" t="s">
        <v>47</v>
      </c>
      <c r="C43" s="32" t="s">
        <v>32</v>
      </c>
      <c r="D43" s="24" t="s">
        <v>55</v>
      </c>
      <c r="E43" s="25">
        <v>46156</v>
      </c>
      <c r="F43" s="24">
        <f>NETWORKDAYS(E43,G43,Праздники!$A$1:$A$14)</f>
        <v>2</v>
      </c>
      <c r="G43" s="25">
        <v>46157</v>
      </c>
      <c r="H43" s="26">
        <v>1</v>
      </c>
      <c r="I43" s="24" t="s">
        <v>224</v>
      </c>
      <c r="J43" s="37" t="s">
        <v>150</v>
      </c>
      <c r="K43" s="37" t="s">
        <v>151</v>
      </c>
      <c r="L43" s="37" t="s">
        <v>151</v>
      </c>
      <c r="M43" s="124" t="s">
        <v>223</v>
      </c>
      <c r="N43" s="37"/>
      <c r="O43" s="37"/>
      <c r="P43" s="87" t="str">
        <f t="shared" ca="1" si="45"/>
        <v/>
      </c>
      <c r="Q43" s="88" t="str">
        <f t="shared" ca="1" si="45"/>
        <v/>
      </c>
      <c r="R43" s="88" t="str">
        <f t="shared" ca="1" si="45"/>
        <v/>
      </c>
      <c r="S43" s="88" t="str">
        <f t="shared" ca="1" si="45"/>
        <v/>
      </c>
      <c r="T43" s="88" t="str">
        <f t="shared" ca="1" si="45"/>
        <v/>
      </c>
      <c r="U43" s="88" t="str">
        <f t="shared" ca="1" si="45"/>
        <v/>
      </c>
      <c r="V43" s="88" t="str">
        <f t="shared" ca="1" si="45"/>
        <v/>
      </c>
      <c r="W43" s="88" t="str">
        <f t="shared" ca="1" si="45"/>
        <v/>
      </c>
      <c r="X43" s="88" t="str">
        <f t="shared" ca="1" si="45"/>
        <v/>
      </c>
      <c r="Y43" s="88" t="str">
        <f t="shared" ca="1" si="45"/>
        <v/>
      </c>
      <c r="Z43" s="88" t="str">
        <f t="shared" ca="1" si="45"/>
        <v/>
      </c>
      <c r="AA43" s="88" t="str">
        <f t="shared" ca="1" si="45"/>
        <v/>
      </c>
      <c r="AB43" s="88" t="str">
        <f t="shared" ca="1" si="45"/>
        <v/>
      </c>
      <c r="AC43" s="88" t="str">
        <f t="shared" ca="1" si="45"/>
        <v/>
      </c>
      <c r="AD43" s="88" t="str">
        <f t="shared" ca="1" si="45"/>
        <v/>
      </c>
      <c r="AE43" s="88" t="str">
        <f t="shared" ca="1" si="45"/>
        <v/>
      </c>
      <c r="AF43" s="88" t="str">
        <f t="shared" ca="1" si="39"/>
        <v/>
      </c>
      <c r="AG43" s="88" t="str">
        <f t="shared" ca="1" si="39"/>
        <v/>
      </c>
      <c r="AH43" s="88" t="str">
        <f t="shared" ca="1" si="39"/>
        <v/>
      </c>
      <c r="AI43" s="88" t="str">
        <f t="shared" ca="1" si="39"/>
        <v/>
      </c>
      <c r="AJ43" s="88" t="str">
        <f t="shared" ca="1" si="39"/>
        <v/>
      </c>
      <c r="AK43" s="88" t="str">
        <f t="shared" ca="1" si="39"/>
        <v/>
      </c>
      <c r="AL43" s="88" t="str">
        <f t="shared" ca="1" si="39"/>
        <v/>
      </c>
      <c r="AM43" s="88" t="str">
        <f t="shared" ca="1" si="39"/>
        <v/>
      </c>
      <c r="AN43" s="88" t="str">
        <f t="shared" ca="1" si="39"/>
        <v/>
      </c>
      <c r="AO43" s="88" t="str">
        <f t="shared" ca="1" si="39"/>
        <v/>
      </c>
      <c r="AP43" s="88" t="str">
        <f t="shared" ca="1" si="39"/>
        <v/>
      </c>
      <c r="AQ43" s="88" t="str">
        <f t="shared" ca="1" si="39"/>
        <v/>
      </c>
      <c r="AR43" s="88" t="str">
        <f t="shared" ca="1" si="39"/>
        <v/>
      </c>
      <c r="AS43" s="88" t="str">
        <f t="shared" ca="1" si="39"/>
        <v/>
      </c>
      <c r="AT43" s="88" t="str">
        <f t="shared" ca="1" si="39"/>
        <v/>
      </c>
      <c r="AU43" s="88" t="str">
        <f t="shared" ca="1" si="39"/>
        <v/>
      </c>
      <c r="AV43" s="88" t="str">
        <f t="shared" ca="1" si="40"/>
        <v/>
      </c>
      <c r="AW43" s="88" t="str">
        <f t="shared" ca="1" si="40"/>
        <v/>
      </c>
      <c r="AX43" s="88" t="str">
        <f t="shared" ca="1" si="40"/>
        <v/>
      </c>
      <c r="AY43" s="88" t="str">
        <f t="shared" ca="1" si="40"/>
        <v/>
      </c>
      <c r="AZ43" s="88" t="str">
        <f t="shared" ca="1" si="40"/>
        <v/>
      </c>
      <c r="BA43" s="88" t="str">
        <f t="shared" ca="1" si="40"/>
        <v/>
      </c>
      <c r="BB43" s="88" t="str">
        <f t="shared" ca="1" si="40"/>
        <v/>
      </c>
      <c r="BC43" s="88" t="str">
        <f t="shared" ca="1" si="40"/>
        <v/>
      </c>
      <c r="BD43" s="88" t="str">
        <f t="shared" ca="1" si="40"/>
        <v/>
      </c>
      <c r="BE43" s="88" t="str">
        <f t="shared" ca="1" si="40"/>
        <v/>
      </c>
      <c r="BF43" s="88" t="str">
        <f t="shared" ca="1" si="40"/>
        <v/>
      </c>
      <c r="BG43" s="88" t="str">
        <f t="shared" ca="1" si="40"/>
        <v/>
      </c>
      <c r="BH43" s="88" t="str">
        <f t="shared" ca="1" si="40"/>
        <v/>
      </c>
      <c r="BI43" s="88" t="str">
        <f t="shared" ca="1" si="40"/>
        <v/>
      </c>
      <c r="BJ43" s="88" t="str">
        <f t="shared" ca="1" si="40"/>
        <v/>
      </c>
      <c r="BK43" s="88" t="str">
        <f t="shared" ca="1" si="40"/>
        <v/>
      </c>
      <c r="BL43" s="88" t="str">
        <f t="shared" ca="1" si="41"/>
        <v/>
      </c>
      <c r="BM43" s="88" t="str">
        <f t="shared" ca="1" si="41"/>
        <v/>
      </c>
      <c r="BN43" s="88" t="str">
        <f t="shared" ca="1" si="41"/>
        <v/>
      </c>
      <c r="BO43" s="88" t="str">
        <f t="shared" ca="1" si="41"/>
        <v/>
      </c>
      <c r="BP43" s="88" t="str">
        <f t="shared" ca="1" si="41"/>
        <v/>
      </c>
      <c r="BQ43" s="88" t="str">
        <f t="shared" ca="1" si="41"/>
        <v/>
      </c>
      <c r="BR43" s="88" t="str">
        <f t="shared" ca="1" si="41"/>
        <v/>
      </c>
      <c r="BS43" s="88" t="str">
        <f t="shared" ca="1" si="41"/>
        <v/>
      </c>
      <c r="BT43" s="88" t="str">
        <f t="shared" ca="1" si="41"/>
        <v/>
      </c>
      <c r="BU43" s="88" t="str">
        <f t="shared" ca="1" si="41"/>
        <v/>
      </c>
      <c r="BV43" s="88" t="str">
        <f t="shared" ca="1" si="41"/>
        <v/>
      </c>
      <c r="BW43" s="88" t="str">
        <f t="shared" ca="1" si="41"/>
        <v/>
      </c>
      <c r="BX43" s="88" t="str">
        <f t="shared" ca="1" si="41"/>
        <v/>
      </c>
      <c r="BY43" s="88" t="str">
        <f t="shared" ca="1" si="41"/>
        <v/>
      </c>
      <c r="BZ43" s="88" t="str">
        <f t="shared" ca="1" si="41"/>
        <v/>
      </c>
      <c r="CA43" s="88" t="str">
        <f t="shared" ca="1" si="41"/>
        <v/>
      </c>
      <c r="CB43" s="88" t="str">
        <f t="shared" ca="1" si="48"/>
        <v/>
      </c>
      <c r="CC43" s="88" t="str">
        <f t="shared" ca="1" si="48"/>
        <v/>
      </c>
      <c r="CD43" s="88" t="str">
        <f t="shared" ca="1" si="48"/>
        <v/>
      </c>
      <c r="CE43" s="88" t="str">
        <f t="shared" ca="1" si="48"/>
        <v/>
      </c>
      <c r="CF43" s="88" t="str">
        <f t="shared" ca="1" si="48"/>
        <v/>
      </c>
      <c r="CG43" s="88" t="str">
        <f t="shared" ca="1" si="48"/>
        <v/>
      </c>
      <c r="CH43" s="88" t="str">
        <f t="shared" ca="1" si="48"/>
        <v/>
      </c>
      <c r="CI43" s="88" t="str">
        <f t="shared" ca="1" si="48"/>
        <v/>
      </c>
      <c r="CJ43" s="88" t="str">
        <f t="shared" ca="1" si="48"/>
        <v/>
      </c>
      <c r="CK43" s="88" t="str">
        <f t="shared" ca="1" si="48"/>
        <v/>
      </c>
      <c r="CL43" s="88" t="str">
        <f t="shared" ca="1" si="48"/>
        <v/>
      </c>
      <c r="CM43" s="88" t="str">
        <f t="shared" ca="1" si="48"/>
        <v/>
      </c>
      <c r="CN43" s="88" t="str">
        <f t="shared" ca="1" si="48"/>
        <v/>
      </c>
      <c r="CO43" s="88" t="str">
        <f t="shared" ca="1" si="48"/>
        <v/>
      </c>
      <c r="CP43" s="88" t="str">
        <f t="shared" ca="1" si="48"/>
        <v/>
      </c>
      <c r="CQ43" s="88" t="str">
        <f t="shared" ca="1" si="48"/>
        <v/>
      </c>
      <c r="CR43" s="88" t="str">
        <f t="shared" ca="1" si="49"/>
        <v/>
      </c>
      <c r="CS43" s="88" t="str">
        <f t="shared" ca="1" si="49"/>
        <v/>
      </c>
      <c r="CT43" s="88" t="str">
        <f t="shared" ca="1" si="49"/>
        <v/>
      </c>
      <c r="CU43" s="88" t="str">
        <f t="shared" ca="1" si="49"/>
        <v/>
      </c>
      <c r="CV43" s="88" t="str">
        <f t="shared" ca="1" si="49"/>
        <v/>
      </c>
      <c r="CW43" s="88" t="str">
        <f t="shared" ca="1" si="49"/>
        <v/>
      </c>
      <c r="CX43" s="88" t="str">
        <f t="shared" ca="1" si="49"/>
        <v/>
      </c>
      <c r="CY43" s="88" t="str">
        <f t="shared" ca="1" si="49"/>
        <v/>
      </c>
      <c r="CZ43" s="88" t="str">
        <f t="shared" ca="1" si="49"/>
        <v/>
      </c>
      <c r="DA43" s="88" t="str">
        <f t="shared" ca="1" si="49"/>
        <v/>
      </c>
      <c r="DB43" s="88" t="str">
        <f t="shared" ca="1" si="49"/>
        <v/>
      </c>
      <c r="DC43" s="88" t="str">
        <f t="shared" ca="1" si="49"/>
        <v/>
      </c>
      <c r="DD43" s="88" t="str">
        <f t="shared" ca="1" si="49"/>
        <v/>
      </c>
      <c r="DE43" s="88" t="str">
        <f t="shared" ca="1" si="49"/>
        <v/>
      </c>
      <c r="DF43" s="88" t="str">
        <f t="shared" ca="1" si="49"/>
        <v/>
      </c>
      <c r="DG43" s="88" t="str">
        <f t="shared" ca="1" si="49"/>
        <v/>
      </c>
      <c r="DH43" s="88" t="str">
        <f t="shared" ca="1" si="49"/>
        <v/>
      </c>
      <c r="DI43" s="88" t="str">
        <f t="shared" ca="1" si="50"/>
        <v/>
      </c>
      <c r="DJ43" s="88" t="str">
        <f t="shared" ca="1" si="50"/>
        <v/>
      </c>
      <c r="DK43" s="88" t="str">
        <f t="shared" ca="1" si="50"/>
        <v/>
      </c>
      <c r="DL43" s="88" t="str">
        <f t="shared" ca="1" si="50"/>
        <v/>
      </c>
      <c r="DM43" s="88" t="str">
        <f t="shared" ca="1" si="50"/>
        <v/>
      </c>
      <c r="DN43" s="88" t="str">
        <f t="shared" ca="1" si="50"/>
        <v/>
      </c>
      <c r="DO43" s="88" t="str">
        <f t="shared" ca="1" si="50"/>
        <v/>
      </c>
      <c r="DP43" s="88" t="str">
        <f t="shared" ca="1" si="50"/>
        <v/>
      </c>
      <c r="DQ43" s="88" t="str">
        <f t="shared" ca="1" si="50"/>
        <v/>
      </c>
      <c r="DR43" s="88" t="str">
        <f t="shared" ca="1" si="50"/>
        <v/>
      </c>
      <c r="DS43" s="88" t="str">
        <f t="shared" ca="1" si="50"/>
        <v/>
      </c>
      <c r="DT43" s="88" t="str">
        <f t="shared" ca="1" si="50"/>
        <v/>
      </c>
      <c r="DU43" s="88" t="str">
        <f t="shared" ca="1" si="50"/>
        <v/>
      </c>
      <c r="DV43" s="88" t="str">
        <f t="shared" ca="1" si="50"/>
        <v/>
      </c>
      <c r="DW43" s="88" t="str">
        <f t="shared" ca="1" si="50"/>
        <v/>
      </c>
      <c r="DX43" s="88" t="str">
        <f t="shared" ca="1" si="50"/>
        <v/>
      </c>
      <c r="DY43" s="88" t="str">
        <f t="shared" ca="1" si="47"/>
        <v/>
      </c>
      <c r="DZ43" s="88" t="str">
        <f t="shared" ca="1" si="47"/>
        <v/>
      </c>
      <c r="EA43" s="88" t="str">
        <f t="shared" ca="1" si="47"/>
        <v/>
      </c>
      <c r="EB43" s="88" t="str">
        <f t="shared" ca="1" si="47"/>
        <v/>
      </c>
      <c r="EC43" s="88" t="str">
        <f t="shared" ca="1" si="47"/>
        <v/>
      </c>
      <c r="ED43" s="88" t="str">
        <f t="shared" ca="1" si="47"/>
        <v/>
      </c>
      <c r="EE43" s="88" t="str">
        <f t="shared" ca="1" si="47"/>
        <v/>
      </c>
      <c r="EF43" s="88" t="str">
        <f t="shared" ca="1" si="47"/>
        <v/>
      </c>
      <c r="EG43" s="88" t="str">
        <f t="shared" ca="1" si="47"/>
        <v/>
      </c>
      <c r="EH43" s="88" t="str">
        <f t="shared" ca="1" si="47"/>
        <v/>
      </c>
      <c r="EI43" s="88" t="str">
        <f t="shared" ca="1" si="47"/>
        <v/>
      </c>
      <c r="EJ43" s="9" t="str">
        <f t="shared" ca="1" si="47"/>
        <v/>
      </c>
      <c r="EK43" s="9" t="str">
        <f t="shared" ca="1" si="47"/>
        <v/>
      </c>
      <c r="EL43" s="9" t="str">
        <f t="shared" ca="1" si="47"/>
        <v/>
      </c>
      <c r="EM43" s="9" t="str">
        <f t="shared" ca="1" si="47"/>
        <v/>
      </c>
      <c r="EN43" s="9" t="str">
        <f t="shared" ca="1" si="51"/>
        <v/>
      </c>
      <c r="EO43" s="9" t="str">
        <f t="shared" ca="1" si="51"/>
        <v/>
      </c>
      <c r="EP43" s="9" t="str">
        <f t="shared" ca="1" si="51"/>
        <v/>
      </c>
      <c r="EQ43" s="9" t="str">
        <f t="shared" ca="1" si="51"/>
        <v/>
      </c>
      <c r="ER43" s="9" t="str">
        <f t="shared" ca="1" si="51"/>
        <v/>
      </c>
      <c r="ES43" s="9" t="str">
        <f t="shared" ca="1" si="51"/>
        <v/>
      </c>
      <c r="ET43" s="9" t="str">
        <f t="shared" ca="1" si="51"/>
        <v/>
      </c>
      <c r="EU43" s="9" t="str">
        <f t="shared" ca="1" si="51"/>
        <v/>
      </c>
      <c r="EV43" s="9" t="str">
        <f t="shared" ca="1" si="51"/>
        <v/>
      </c>
      <c r="EW43" s="9" t="str">
        <f t="shared" ca="1" si="51"/>
        <v/>
      </c>
      <c r="EX43" s="9" t="str">
        <f t="shared" ca="1" si="51"/>
        <v/>
      </c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</row>
    <row r="44" spans="2:252" outlineLevel="1">
      <c r="B44" s="30" t="s">
        <v>48</v>
      </c>
      <c r="C44" s="32" t="s">
        <v>33</v>
      </c>
      <c r="D44" s="24" t="s">
        <v>56</v>
      </c>
      <c r="E44" s="25">
        <v>46156</v>
      </c>
      <c r="F44" s="24">
        <f>NETWORKDAYS(E44,G44,Праздники!$A$1:$A$14)</f>
        <v>2</v>
      </c>
      <c r="G44" s="25">
        <v>46157</v>
      </c>
      <c r="H44" s="26">
        <v>1</v>
      </c>
      <c r="I44" s="24" t="s">
        <v>225</v>
      </c>
      <c r="J44" s="37" t="s">
        <v>150</v>
      </c>
      <c r="K44" s="37"/>
      <c r="L44" s="37"/>
      <c r="M44" s="37"/>
      <c r="N44" s="37" t="s">
        <v>226</v>
      </c>
      <c r="O44" s="37"/>
      <c r="P44" s="87" t="str">
        <f t="shared" ca="1" si="45"/>
        <v/>
      </c>
      <c r="Q44" s="88" t="str">
        <f t="shared" ca="1" si="45"/>
        <v/>
      </c>
      <c r="R44" s="88" t="str">
        <f t="shared" ca="1" si="45"/>
        <v/>
      </c>
      <c r="S44" s="88" t="str">
        <f t="shared" ca="1" si="45"/>
        <v/>
      </c>
      <c r="T44" s="88" t="str">
        <f t="shared" ca="1" si="45"/>
        <v/>
      </c>
      <c r="U44" s="88" t="str">
        <f t="shared" ca="1" si="45"/>
        <v/>
      </c>
      <c r="V44" s="88" t="str">
        <f t="shared" ca="1" si="45"/>
        <v/>
      </c>
      <c r="W44" s="88" t="str">
        <f t="shared" ca="1" si="45"/>
        <v/>
      </c>
      <c r="X44" s="88" t="str">
        <f t="shared" ca="1" si="45"/>
        <v/>
      </c>
      <c r="Y44" s="88" t="str">
        <f t="shared" ca="1" si="45"/>
        <v/>
      </c>
      <c r="Z44" s="88" t="str">
        <f t="shared" ca="1" si="45"/>
        <v/>
      </c>
      <c r="AA44" s="88" t="str">
        <f t="shared" ca="1" si="45"/>
        <v/>
      </c>
      <c r="AB44" s="88" t="str">
        <f t="shared" ca="1" si="45"/>
        <v/>
      </c>
      <c r="AC44" s="88" t="str">
        <f t="shared" ca="1" si="45"/>
        <v/>
      </c>
      <c r="AD44" s="88" t="str">
        <f t="shared" ca="1" si="45"/>
        <v/>
      </c>
      <c r="AE44" s="88" t="str">
        <f t="shared" ca="1" si="45"/>
        <v/>
      </c>
      <c r="AF44" s="88" t="str">
        <f t="shared" ca="1" si="39"/>
        <v/>
      </c>
      <c r="AG44" s="88" t="str">
        <f t="shared" ca="1" si="39"/>
        <v/>
      </c>
      <c r="AH44" s="88" t="str">
        <f t="shared" ca="1" si="39"/>
        <v/>
      </c>
      <c r="AI44" s="88" t="str">
        <f t="shared" ca="1" si="39"/>
        <v/>
      </c>
      <c r="AJ44" s="88" t="str">
        <f t="shared" ca="1" si="39"/>
        <v/>
      </c>
      <c r="AK44" s="88" t="str">
        <f t="shared" ca="1" si="39"/>
        <v/>
      </c>
      <c r="AL44" s="88" t="str">
        <f t="shared" ca="1" si="39"/>
        <v/>
      </c>
      <c r="AM44" s="88" t="str">
        <f t="shared" ca="1" si="39"/>
        <v/>
      </c>
      <c r="AN44" s="88" t="str">
        <f t="shared" ca="1" si="39"/>
        <v/>
      </c>
      <c r="AO44" s="88" t="str">
        <f t="shared" ca="1" si="39"/>
        <v/>
      </c>
      <c r="AP44" s="88" t="str">
        <f t="shared" ca="1" si="39"/>
        <v/>
      </c>
      <c r="AQ44" s="88" t="str">
        <f t="shared" ca="1" si="39"/>
        <v/>
      </c>
      <c r="AR44" s="88" t="str">
        <f t="shared" ca="1" si="39"/>
        <v/>
      </c>
      <c r="AS44" s="88" t="str">
        <f t="shared" ca="1" si="39"/>
        <v/>
      </c>
      <c r="AT44" s="88" t="str">
        <f t="shared" ca="1" si="39"/>
        <v/>
      </c>
      <c r="AU44" s="88" t="str">
        <f t="shared" ca="1" si="39"/>
        <v/>
      </c>
      <c r="AV44" s="88" t="str">
        <f t="shared" ca="1" si="40"/>
        <v/>
      </c>
      <c r="AW44" s="88" t="str">
        <f t="shared" ca="1" si="40"/>
        <v/>
      </c>
      <c r="AX44" s="88" t="str">
        <f t="shared" ca="1" si="40"/>
        <v/>
      </c>
      <c r="AY44" s="88" t="str">
        <f t="shared" ca="1" si="40"/>
        <v/>
      </c>
      <c r="AZ44" s="88" t="str">
        <f t="shared" ca="1" si="40"/>
        <v/>
      </c>
      <c r="BA44" s="88" t="str">
        <f t="shared" ca="1" si="40"/>
        <v/>
      </c>
      <c r="BB44" s="88" t="str">
        <f t="shared" ca="1" si="40"/>
        <v/>
      </c>
      <c r="BC44" s="88" t="str">
        <f t="shared" ca="1" si="40"/>
        <v/>
      </c>
      <c r="BD44" s="88" t="str">
        <f t="shared" ca="1" si="40"/>
        <v/>
      </c>
      <c r="BE44" s="88" t="str">
        <f t="shared" ca="1" si="40"/>
        <v/>
      </c>
      <c r="BF44" s="88" t="str">
        <f t="shared" ca="1" si="40"/>
        <v/>
      </c>
      <c r="BG44" s="88" t="str">
        <f t="shared" ca="1" si="40"/>
        <v/>
      </c>
      <c r="BH44" s="88" t="str">
        <f t="shared" ca="1" si="40"/>
        <v/>
      </c>
      <c r="BI44" s="88" t="str">
        <f t="shared" ca="1" si="40"/>
        <v/>
      </c>
      <c r="BJ44" s="88" t="str">
        <f t="shared" ca="1" si="40"/>
        <v/>
      </c>
      <c r="BK44" s="88" t="str">
        <f t="shared" ca="1" si="40"/>
        <v/>
      </c>
      <c r="BL44" s="88" t="str">
        <f t="shared" ca="1" si="41"/>
        <v/>
      </c>
      <c r="BM44" s="88" t="str">
        <f t="shared" ca="1" si="41"/>
        <v/>
      </c>
      <c r="BN44" s="88" t="str">
        <f t="shared" ca="1" si="41"/>
        <v/>
      </c>
      <c r="BO44" s="88" t="str">
        <f t="shared" ca="1" si="41"/>
        <v/>
      </c>
      <c r="BP44" s="88" t="str">
        <f t="shared" ca="1" si="41"/>
        <v/>
      </c>
      <c r="BQ44" s="88" t="str">
        <f t="shared" ca="1" si="41"/>
        <v/>
      </c>
      <c r="BR44" s="88" t="str">
        <f t="shared" ca="1" si="41"/>
        <v/>
      </c>
      <c r="BS44" s="88" t="str">
        <f t="shared" ca="1" si="41"/>
        <v/>
      </c>
      <c r="BT44" s="88" t="str">
        <f t="shared" ca="1" si="41"/>
        <v/>
      </c>
      <c r="BU44" s="88" t="str">
        <f t="shared" ca="1" si="41"/>
        <v/>
      </c>
      <c r="BV44" s="88" t="str">
        <f t="shared" ca="1" si="41"/>
        <v/>
      </c>
      <c r="BW44" s="88" t="str">
        <f t="shared" ca="1" si="41"/>
        <v/>
      </c>
      <c r="BX44" s="88" t="str">
        <f t="shared" ca="1" si="41"/>
        <v/>
      </c>
      <c r="BY44" s="88" t="str">
        <f t="shared" ca="1" si="41"/>
        <v/>
      </c>
      <c r="BZ44" s="88" t="str">
        <f t="shared" ca="1" si="41"/>
        <v/>
      </c>
      <c r="CA44" s="88" t="str">
        <f t="shared" ca="1" si="41"/>
        <v/>
      </c>
      <c r="CB44" s="88" t="str">
        <f t="shared" ca="1" si="48"/>
        <v/>
      </c>
      <c r="CC44" s="88" t="str">
        <f t="shared" ca="1" si="48"/>
        <v/>
      </c>
      <c r="CD44" s="88" t="str">
        <f t="shared" ca="1" si="48"/>
        <v/>
      </c>
      <c r="CE44" s="88" t="str">
        <f t="shared" ca="1" si="48"/>
        <v/>
      </c>
      <c r="CF44" s="88" t="str">
        <f t="shared" ca="1" si="48"/>
        <v/>
      </c>
      <c r="CG44" s="88" t="str">
        <f t="shared" ca="1" si="48"/>
        <v/>
      </c>
      <c r="CH44" s="88" t="str">
        <f t="shared" ca="1" si="48"/>
        <v/>
      </c>
      <c r="CI44" s="88" t="str">
        <f t="shared" ca="1" si="48"/>
        <v/>
      </c>
      <c r="CJ44" s="88" t="str">
        <f t="shared" ca="1" si="48"/>
        <v/>
      </c>
      <c r="CK44" s="88" t="str">
        <f t="shared" ca="1" si="48"/>
        <v/>
      </c>
      <c r="CL44" s="88" t="str">
        <f t="shared" ca="1" si="48"/>
        <v/>
      </c>
      <c r="CM44" s="88" t="str">
        <f t="shared" ca="1" si="48"/>
        <v/>
      </c>
      <c r="CN44" s="88" t="str">
        <f t="shared" ca="1" si="48"/>
        <v/>
      </c>
      <c r="CO44" s="88" t="str">
        <f t="shared" ca="1" si="48"/>
        <v/>
      </c>
      <c r="CP44" s="88" t="str">
        <f t="shared" ca="1" si="48"/>
        <v/>
      </c>
      <c r="CQ44" s="88" t="str">
        <f t="shared" ca="1" si="48"/>
        <v/>
      </c>
      <c r="CR44" s="88" t="str">
        <f t="shared" ca="1" si="49"/>
        <v/>
      </c>
      <c r="CS44" s="88" t="str">
        <f t="shared" ca="1" si="49"/>
        <v/>
      </c>
      <c r="CT44" s="88" t="str">
        <f t="shared" ca="1" si="49"/>
        <v/>
      </c>
      <c r="CU44" s="88" t="str">
        <f t="shared" ca="1" si="49"/>
        <v/>
      </c>
      <c r="CV44" s="88" t="str">
        <f t="shared" ca="1" si="49"/>
        <v/>
      </c>
      <c r="CW44" s="88" t="str">
        <f t="shared" ca="1" si="49"/>
        <v/>
      </c>
      <c r="CX44" s="88" t="str">
        <f t="shared" ca="1" si="49"/>
        <v/>
      </c>
      <c r="CY44" s="88" t="str">
        <f t="shared" ca="1" si="49"/>
        <v/>
      </c>
      <c r="CZ44" s="88" t="str">
        <f t="shared" ca="1" si="49"/>
        <v/>
      </c>
      <c r="DA44" s="88" t="str">
        <f t="shared" ca="1" si="49"/>
        <v/>
      </c>
      <c r="DB44" s="88" t="str">
        <f t="shared" ca="1" si="49"/>
        <v/>
      </c>
      <c r="DC44" s="88" t="str">
        <f t="shared" ca="1" si="49"/>
        <v/>
      </c>
      <c r="DD44" s="88" t="str">
        <f t="shared" ca="1" si="49"/>
        <v/>
      </c>
      <c r="DE44" s="88" t="str">
        <f t="shared" ca="1" si="49"/>
        <v/>
      </c>
      <c r="DF44" s="88" t="str">
        <f t="shared" ca="1" si="49"/>
        <v/>
      </c>
      <c r="DG44" s="88" t="str">
        <f t="shared" ca="1" si="49"/>
        <v/>
      </c>
      <c r="DH44" s="88" t="str">
        <f t="shared" ca="1" si="49"/>
        <v/>
      </c>
      <c r="DI44" s="88" t="str">
        <f t="shared" ca="1" si="50"/>
        <v/>
      </c>
      <c r="DJ44" s="88" t="str">
        <f t="shared" ca="1" si="50"/>
        <v/>
      </c>
      <c r="DK44" s="88" t="str">
        <f t="shared" ca="1" si="50"/>
        <v/>
      </c>
      <c r="DL44" s="88" t="str">
        <f t="shared" ca="1" si="50"/>
        <v/>
      </c>
      <c r="DM44" s="88" t="str">
        <f t="shared" ca="1" si="50"/>
        <v/>
      </c>
      <c r="DN44" s="88" t="str">
        <f t="shared" ca="1" si="50"/>
        <v/>
      </c>
      <c r="DO44" s="88" t="str">
        <f t="shared" ca="1" si="50"/>
        <v/>
      </c>
      <c r="DP44" s="88" t="str">
        <f t="shared" ca="1" si="50"/>
        <v/>
      </c>
      <c r="DQ44" s="88" t="str">
        <f t="shared" ca="1" si="50"/>
        <v/>
      </c>
      <c r="DR44" s="88" t="str">
        <f t="shared" ca="1" si="50"/>
        <v/>
      </c>
      <c r="DS44" s="88" t="str">
        <f t="shared" ca="1" si="50"/>
        <v/>
      </c>
      <c r="DT44" s="88" t="str">
        <f t="shared" ca="1" si="50"/>
        <v/>
      </c>
      <c r="DU44" s="88" t="str">
        <f t="shared" ca="1" si="50"/>
        <v/>
      </c>
      <c r="DV44" s="88" t="str">
        <f t="shared" ca="1" si="50"/>
        <v/>
      </c>
      <c r="DW44" s="88" t="str">
        <f t="shared" ca="1" si="50"/>
        <v/>
      </c>
      <c r="DX44" s="88" t="str">
        <f t="shared" ca="1" si="50"/>
        <v/>
      </c>
      <c r="DY44" s="88" t="str">
        <f t="shared" ca="1" si="47"/>
        <v/>
      </c>
      <c r="DZ44" s="88" t="str">
        <f t="shared" ca="1" si="47"/>
        <v/>
      </c>
      <c r="EA44" s="88" t="str">
        <f t="shared" ca="1" si="47"/>
        <v/>
      </c>
      <c r="EB44" s="88" t="str">
        <f t="shared" ca="1" si="47"/>
        <v/>
      </c>
      <c r="EC44" s="88" t="str">
        <f t="shared" ca="1" si="47"/>
        <v/>
      </c>
      <c r="ED44" s="88" t="str">
        <f t="shared" ca="1" si="47"/>
        <v/>
      </c>
      <c r="EE44" s="88" t="str">
        <f t="shared" ca="1" si="47"/>
        <v/>
      </c>
      <c r="EF44" s="88" t="str">
        <f t="shared" ca="1" si="47"/>
        <v/>
      </c>
      <c r="EG44" s="88" t="str">
        <f t="shared" ca="1" si="47"/>
        <v/>
      </c>
      <c r="EH44" s="88" t="str">
        <f t="shared" ca="1" si="47"/>
        <v/>
      </c>
      <c r="EI44" s="88" t="str">
        <f t="shared" ca="1" si="47"/>
        <v/>
      </c>
      <c r="EJ44" s="9" t="str">
        <f t="shared" ca="1" si="47"/>
        <v/>
      </c>
      <c r="EK44" s="9" t="str">
        <f t="shared" ca="1" si="47"/>
        <v/>
      </c>
      <c r="EL44" s="9" t="str">
        <f t="shared" ca="1" si="47"/>
        <v/>
      </c>
      <c r="EM44" s="9" t="str">
        <f t="shared" ca="1" si="47"/>
        <v/>
      </c>
      <c r="EN44" s="9" t="str">
        <f t="shared" ca="1" si="51"/>
        <v/>
      </c>
      <c r="EO44" s="9" t="str">
        <f t="shared" ca="1" si="51"/>
        <v/>
      </c>
      <c r="EP44" s="9" t="str">
        <f t="shared" ca="1" si="51"/>
        <v/>
      </c>
      <c r="EQ44" s="9" t="str">
        <f t="shared" ca="1" si="51"/>
        <v/>
      </c>
      <c r="ER44" s="9" t="str">
        <f t="shared" ca="1" si="51"/>
        <v/>
      </c>
      <c r="ES44" s="9" t="str">
        <f t="shared" ca="1" si="51"/>
        <v/>
      </c>
      <c r="ET44" s="9" t="str">
        <f t="shared" ca="1" si="51"/>
        <v/>
      </c>
      <c r="EU44" s="9" t="str">
        <f t="shared" ca="1" si="51"/>
        <v/>
      </c>
      <c r="EV44" s="9" t="str">
        <f t="shared" ca="1" si="51"/>
        <v/>
      </c>
      <c r="EW44" s="9" t="str">
        <f t="shared" ca="1" si="51"/>
        <v/>
      </c>
      <c r="EX44" s="9" t="str">
        <f t="shared" ca="1" si="51"/>
        <v/>
      </c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</row>
    <row r="45" spans="2:252">
      <c r="B45" s="27" t="s">
        <v>49</v>
      </c>
      <c r="C45" s="29" t="s">
        <v>229</v>
      </c>
      <c r="D45" s="21" t="s">
        <v>57</v>
      </c>
      <c r="E45" s="22">
        <v>46154</v>
      </c>
      <c r="F45" s="21">
        <f>NETWORKDAYS(E45,G45,Праздники!$A$1:$A$14)</f>
        <v>88</v>
      </c>
      <c r="G45" s="22">
        <f>G47</f>
        <v>46276</v>
      </c>
      <c r="H45" s="23">
        <f>AVERAGE(H46:H47)</f>
        <v>0.7</v>
      </c>
      <c r="I45" s="21" t="s">
        <v>155</v>
      </c>
      <c r="J45" s="36"/>
      <c r="K45" s="36"/>
      <c r="L45" s="36"/>
      <c r="M45" s="36"/>
      <c r="N45" s="36"/>
      <c r="O45" s="36"/>
      <c r="P45" s="87" t="str">
        <f t="shared" ca="1" si="45"/>
        <v/>
      </c>
      <c r="Q45" s="88" t="str">
        <f t="shared" ca="1" si="45"/>
        <v/>
      </c>
      <c r="R45" s="88" t="str">
        <f t="shared" ca="1" si="45"/>
        <v/>
      </c>
      <c r="S45" s="88" t="str">
        <f t="shared" ca="1" si="45"/>
        <v/>
      </c>
      <c r="T45" s="88" t="str">
        <f t="shared" ca="1" si="45"/>
        <v/>
      </c>
      <c r="U45" s="88" t="str">
        <f t="shared" ca="1" si="45"/>
        <v/>
      </c>
      <c r="V45" s="88" t="str">
        <f t="shared" ca="1" si="45"/>
        <v/>
      </c>
      <c r="W45" s="88" t="str">
        <f t="shared" ca="1" si="45"/>
        <v/>
      </c>
      <c r="X45" s="88" t="str">
        <f t="shared" ca="1" si="45"/>
        <v/>
      </c>
      <c r="Y45" s="88" t="str">
        <f t="shared" ca="1" si="45"/>
        <v/>
      </c>
      <c r="Z45" s="88" t="str">
        <f t="shared" ca="1" si="45"/>
        <v/>
      </c>
      <c r="AA45" s="88" t="str">
        <f t="shared" ca="1" si="45"/>
        <v/>
      </c>
      <c r="AB45" s="88" t="str">
        <f t="shared" ca="1" si="45"/>
        <v/>
      </c>
      <c r="AC45" s="88" t="str">
        <f t="shared" ca="1" si="45"/>
        <v/>
      </c>
      <c r="AD45" s="88" t="str">
        <f t="shared" ca="1" si="45"/>
        <v/>
      </c>
      <c r="AE45" s="88" t="str">
        <f t="shared" ca="1" si="45"/>
        <v/>
      </c>
      <c r="AF45" s="88" t="str">
        <f t="shared" ca="1" si="39"/>
        <v/>
      </c>
      <c r="AG45" s="88" t="str">
        <f t="shared" ca="1" si="39"/>
        <v/>
      </c>
      <c r="AH45" s="88" t="str">
        <f t="shared" ca="1" si="39"/>
        <v/>
      </c>
      <c r="AI45" s="88" t="str">
        <f t="shared" ca="1" si="39"/>
        <v/>
      </c>
      <c r="AJ45" s="88" t="str">
        <f t="shared" ca="1" si="39"/>
        <v/>
      </c>
      <c r="AK45" s="88" t="str">
        <f t="shared" ca="1" si="39"/>
        <v/>
      </c>
      <c r="AL45" s="88" t="str">
        <f t="shared" ca="1" si="39"/>
        <v/>
      </c>
      <c r="AM45" s="88" t="str">
        <f t="shared" ca="1" si="39"/>
        <v/>
      </c>
      <c r="AN45" s="88" t="str">
        <f t="shared" ca="1" si="39"/>
        <v/>
      </c>
      <c r="AO45" s="88" t="str">
        <f t="shared" ca="1" si="39"/>
        <v/>
      </c>
      <c r="AP45" s="88" t="str">
        <f t="shared" ca="1" si="39"/>
        <v/>
      </c>
      <c r="AQ45" s="88" t="str">
        <f t="shared" ca="1" si="39"/>
        <v/>
      </c>
      <c r="AR45" s="88" t="str">
        <f t="shared" ca="1" si="39"/>
        <v/>
      </c>
      <c r="AS45" s="88" t="str">
        <f t="shared" ca="1" si="39"/>
        <v/>
      </c>
      <c r="AT45" s="88" t="str">
        <f t="shared" ca="1" si="39"/>
        <v/>
      </c>
      <c r="AU45" s="88" t="str">
        <f ca="1">IF(AU$8=TODAY(),CHAR(124),"")</f>
        <v/>
      </c>
      <c r="AV45" s="88" t="str">
        <f t="shared" ca="1" si="40"/>
        <v/>
      </c>
      <c r="AW45" s="88" t="str">
        <f t="shared" ca="1" si="40"/>
        <v/>
      </c>
      <c r="AX45" s="88" t="str">
        <f t="shared" ca="1" si="40"/>
        <v/>
      </c>
      <c r="AY45" s="88" t="str">
        <f t="shared" ca="1" si="40"/>
        <v/>
      </c>
      <c r="AZ45" s="88" t="str">
        <f t="shared" ca="1" si="40"/>
        <v/>
      </c>
      <c r="BA45" s="88" t="str">
        <f t="shared" ca="1" si="40"/>
        <v/>
      </c>
      <c r="BB45" s="88" t="str">
        <f t="shared" ca="1" si="40"/>
        <v/>
      </c>
      <c r="BC45" s="88" t="str">
        <f t="shared" ca="1" si="40"/>
        <v/>
      </c>
      <c r="BD45" s="88" t="str">
        <f t="shared" ca="1" si="40"/>
        <v/>
      </c>
      <c r="BE45" s="88" t="str">
        <f t="shared" ca="1" si="40"/>
        <v/>
      </c>
      <c r="BF45" s="88" t="str">
        <f t="shared" ca="1" si="40"/>
        <v/>
      </c>
      <c r="BG45" s="88" t="str">
        <f t="shared" ca="1" si="40"/>
        <v/>
      </c>
      <c r="BH45" s="88" t="str">
        <f t="shared" ca="1" si="40"/>
        <v/>
      </c>
      <c r="BI45" s="88" t="str">
        <f t="shared" ca="1" si="40"/>
        <v/>
      </c>
      <c r="BJ45" s="88" t="str">
        <f t="shared" ca="1" si="40"/>
        <v/>
      </c>
      <c r="BK45" s="88" t="str">
        <f ca="1">IF(BK$8=TODAY(),CHAR(124),"")</f>
        <v/>
      </c>
      <c r="BL45" s="88" t="str">
        <f t="shared" ca="1" si="41"/>
        <v/>
      </c>
      <c r="BM45" s="88" t="str">
        <f t="shared" ca="1" si="41"/>
        <v/>
      </c>
      <c r="BN45" s="88" t="str">
        <f t="shared" ca="1" si="41"/>
        <v/>
      </c>
      <c r="BO45" s="88" t="str">
        <f t="shared" ca="1" si="41"/>
        <v/>
      </c>
      <c r="BP45" s="88" t="str">
        <f t="shared" ca="1" si="41"/>
        <v/>
      </c>
      <c r="BQ45" s="88" t="str">
        <f t="shared" ca="1" si="41"/>
        <v/>
      </c>
      <c r="BR45" s="88" t="str">
        <f t="shared" ca="1" si="41"/>
        <v/>
      </c>
      <c r="BS45" s="88" t="str">
        <f t="shared" ca="1" si="41"/>
        <v/>
      </c>
      <c r="BT45" s="88" t="str">
        <f t="shared" ca="1" si="41"/>
        <v/>
      </c>
      <c r="BU45" s="88" t="str">
        <f t="shared" ca="1" si="41"/>
        <v/>
      </c>
      <c r="BV45" s="88" t="str">
        <f t="shared" ca="1" si="41"/>
        <v/>
      </c>
      <c r="BW45" s="88" t="str">
        <f t="shared" ca="1" si="41"/>
        <v/>
      </c>
      <c r="BX45" s="88" t="str">
        <f t="shared" ca="1" si="41"/>
        <v/>
      </c>
      <c r="BY45" s="88" t="str">
        <f t="shared" ca="1" si="41"/>
        <v/>
      </c>
      <c r="BZ45" s="88" t="str">
        <f t="shared" ca="1" si="41"/>
        <v/>
      </c>
      <c r="CA45" s="88" t="str">
        <f t="shared" ca="1" si="41"/>
        <v/>
      </c>
      <c r="CB45" s="88" t="str">
        <f t="shared" ca="1" si="48"/>
        <v/>
      </c>
      <c r="CC45" s="88" t="str">
        <f t="shared" ca="1" si="48"/>
        <v/>
      </c>
      <c r="CD45" s="88" t="str">
        <f t="shared" ca="1" si="48"/>
        <v/>
      </c>
      <c r="CE45" s="88" t="str">
        <f t="shared" ca="1" si="48"/>
        <v/>
      </c>
      <c r="CF45" s="88" t="str">
        <f t="shared" ca="1" si="48"/>
        <v/>
      </c>
      <c r="CG45" s="88" t="str">
        <f t="shared" ca="1" si="48"/>
        <v/>
      </c>
      <c r="CH45" s="88" t="str">
        <f t="shared" ca="1" si="48"/>
        <v/>
      </c>
      <c r="CI45" s="88" t="str">
        <f t="shared" ca="1" si="48"/>
        <v/>
      </c>
      <c r="CJ45" s="88" t="str">
        <f t="shared" ca="1" si="48"/>
        <v/>
      </c>
      <c r="CK45" s="88" t="str">
        <f t="shared" ca="1" si="48"/>
        <v/>
      </c>
      <c r="CL45" s="88" t="str">
        <f t="shared" ca="1" si="48"/>
        <v/>
      </c>
      <c r="CM45" s="88" t="str">
        <f t="shared" ca="1" si="48"/>
        <v/>
      </c>
      <c r="CN45" s="88" t="str">
        <f t="shared" ca="1" si="48"/>
        <v/>
      </c>
      <c r="CO45" s="88" t="str">
        <f t="shared" ca="1" si="48"/>
        <v/>
      </c>
      <c r="CP45" s="88" t="str">
        <f t="shared" ca="1" si="48"/>
        <v/>
      </c>
      <c r="CQ45" s="88" t="str">
        <f t="shared" ca="1" si="48"/>
        <v/>
      </c>
      <c r="CR45" s="88" t="str">
        <f t="shared" ca="1" si="49"/>
        <v/>
      </c>
      <c r="CS45" s="88" t="str">
        <f t="shared" ca="1" si="49"/>
        <v/>
      </c>
      <c r="CT45" s="88" t="str">
        <f t="shared" ca="1" si="49"/>
        <v/>
      </c>
      <c r="CU45" s="88" t="str">
        <f t="shared" ca="1" si="49"/>
        <v/>
      </c>
      <c r="CV45" s="88" t="str">
        <f t="shared" ca="1" si="49"/>
        <v/>
      </c>
      <c r="CW45" s="88" t="str">
        <f t="shared" ca="1" si="49"/>
        <v/>
      </c>
      <c r="CX45" s="88" t="str">
        <f t="shared" ca="1" si="49"/>
        <v/>
      </c>
      <c r="CY45" s="88" t="str">
        <f t="shared" ca="1" si="49"/>
        <v/>
      </c>
      <c r="CZ45" s="88" t="str">
        <f t="shared" ca="1" si="49"/>
        <v/>
      </c>
      <c r="DA45" s="88" t="str">
        <f t="shared" ca="1" si="49"/>
        <v/>
      </c>
      <c r="DB45" s="88" t="str">
        <f t="shared" ca="1" si="49"/>
        <v/>
      </c>
      <c r="DC45" s="88" t="str">
        <f t="shared" ca="1" si="49"/>
        <v/>
      </c>
      <c r="DD45" s="88" t="str">
        <f t="shared" ca="1" si="49"/>
        <v/>
      </c>
      <c r="DE45" s="88" t="str">
        <f t="shared" ca="1" si="49"/>
        <v/>
      </c>
      <c r="DF45" s="88" t="str">
        <f t="shared" ca="1" si="49"/>
        <v/>
      </c>
      <c r="DG45" s="88" t="str">
        <f t="shared" ca="1" si="49"/>
        <v/>
      </c>
      <c r="DH45" s="88" t="str">
        <f t="shared" ca="1" si="49"/>
        <v/>
      </c>
      <c r="DI45" s="88" t="str">
        <f t="shared" ca="1" si="50"/>
        <v/>
      </c>
      <c r="DJ45" s="88" t="str">
        <f t="shared" ca="1" si="50"/>
        <v/>
      </c>
      <c r="DK45" s="88" t="str">
        <f t="shared" ca="1" si="50"/>
        <v/>
      </c>
      <c r="DL45" s="88" t="str">
        <f t="shared" ca="1" si="50"/>
        <v/>
      </c>
      <c r="DM45" s="88" t="str">
        <f t="shared" ca="1" si="50"/>
        <v/>
      </c>
      <c r="DN45" s="88" t="str">
        <f t="shared" ca="1" si="50"/>
        <v/>
      </c>
      <c r="DO45" s="88" t="str">
        <f t="shared" ca="1" si="50"/>
        <v/>
      </c>
      <c r="DP45" s="88" t="str">
        <f t="shared" ca="1" si="50"/>
        <v/>
      </c>
      <c r="DQ45" s="88" t="str">
        <f t="shared" ca="1" si="50"/>
        <v/>
      </c>
      <c r="DR45" s="88" t="str">
        <f t="shared" ca="1" si="50"/>
        <v/>
      </c>
      <c r="DS45" s="88" t="str">
        <f t="shared" ca="1" si="50"/>
        <v/>
      </c>
      <c r="DT45" s="88" t="str">
        <f t="shared" ca="1" si="50"/>
        <v/>
      </c>
      <c r="DU45" s="88" t="str">
        <f t="shared" ca="1" si="50"/>
        <v/>
      </c>
      <c r="DV45" s="88" t="str">
        <f t="shared" ca="1" si="50"/>
        <v/>
      </c>
      <c r="DW45" s="88" t="str">
        <f t="shared" ca="1" si="50"/>
        <v/>
      </c>
      <c r="DX45" s="88" t="str">
        <f t="shared" ca="1" si="50"/>
        <v/>
      </c>
      <c r="DY45" s="88" t="str">
        <f t="shared" ca="1" si="47"/>
        <v/>
      </c>
      <c r="DZ45" s="88" t="str">
        <f t="shared" ca="1" si="47"/>
        <v/>
      </c>
      <c r="EA45" s="88" t="str">
        <f t="shared" ca="1" si="47"/>
        <v/>
      </c>
      <c r="EB45" s="88" t="str">
        <f t="shared" ca="1" si="47"/>
        <v/>
      </c>
      <c r="EC45" s="88" t="str">
        <f t="shared" ca="1" si="47"/>
        <v/>
      </c>
      <c r="ED45" s="88" t="str">
        <f t="shared" ca="1" si="47"/>
        <v/>
      </c>
      <c r="EE45" s="88" t="str">
        <f t="shared" ca="1" si="47"/>
        <v/>
      </c>
      <c r="EF45" s="88" t="str">
        <f t="shared" ca="1" si="47"/>
        <v/>
      </c>
      <c r="EG45" s="88" t="str">
        <f t="shared" ca="1" si="47"/>
        <v/>
      </c>
      <c r="EH45" s="88" t="str">
        <f t="shared" ca="1" si="47"/>
        <v/>
      </c>
      <c r="EI45" s="88" t="str">
        <f t="shared" ca="1" si="47"/>
        <v/>
      </c>
      <c r="EJ45" s="9" t="str">
        <f t="shared" ca="1" si="47"/>
        <v/>
      </c>
      <c r="EK45" s="9" t="str">
        <f t="shared" ca="1" si="47"/>
        <v/>
      </c>
      <c r="EL45" s="9" t="str">
        <f t="shared" ca="1" si="47"/>
        <v/>
      </c>
      <c r="EM45" s="9" t="str">
        <f t="shared" ca="1" si="47"/>
        <v/>
      </c>
      <c r="EN45" s="9" t="str">
        <f t="shared" ca="1" si="51"/>
        <v/>
      </c>
      <c r="EO45" s="9" t="str">
        <f t="shared" ca="1" si="51"/>
        <v/>
      </c>
      <c r="EP45" s="9" t="str">
        <f t="shared" ca="1" si="51"/>
        <v/>
      </c>
      <c r="EQ45" s="9" t="str">
        <f t="shared" ca="1" si="51"/>
        <v/>
      </c>
      <c r="ER45" s="9" t="str">
        <f t="shared" ca="1" si="51"/>
        <v/>
      </c>
      <c r="ES45" s="9" t="str">
        <f t="shared" ca="1" si="51"/>
        <v/>
      </c>
      <c r="ET45" s="9" t="str">
        <f t="shared" ca="1" si="51"/>
        <v/>
      </c>
      <c r="EU45" s="9" t="str">
        <f t="shared" ca="1" si="51"/>
        <v/>
      </c>
      <c r="EV45" s="9" t="str">
        <f t="shared" ca="1" si="51"/>
        <v/>
      </c>
      <c r="EW45" s="9" t="str">
        <f t="shared" ca="1" si="51"/>
        <v/>
      </c>
      <c r="EX45" s="9" t="str">
        <f t="shared" ca="1" si="51"/>
        <v/>
      </c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</row>
    <row r="46" spans="2:252" ht="27" customHeight="1" outlineLevel="1">
      <c r="B46" s="125" t="s">
        <v>227</v>
      </c>
      <c r="C46" s="32" t="s">
        <v>34</v>
      </c>
      <c r="D46" s="24"/>
      <c r="E46" s="25">
        <v>46154</v>
      </c>
      <c r="F46" s="24">
        <f>NETWORKDAYS(E46,G46,Праздники!$A$1:$A$14)</f>
        <v>4</v>
      </c>
      <c r="G46" s="25">
        <v>46157</v>
      </c>
      <c r="H46" s="26">
        <v>1</v>
      </c>
      <c r="I46" s="24" t="s">
        <v>155</v>
      </c>
      <c r="J46" s="37" t="s">
        <v>150</v>
      </c>
      <c r="K46" s="37"/>
      <c r="L46" s="37"/>
      <c r="M46" s="124" t="s">
        <v>231</v>
      </c>
      <c r="N46" s="37"/>
      <c r="O46" s="37"/>
      <c r="P46" s="87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8"/>
      <c r="CG46" s="88"/>
      <c r="CH46" s="88"/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8"/>
      <c r="CT46" s="88"/>
      <c r="CU46" s="88"/>
      <c r="CV46" s="88"/>
      <c r="CW46" s="88"/>
      <c r="CX46" s="88"/>
      <c r="CY46" s="88"/>
      <c r="CZ46" s="88"/>
      <c r="DA46" s="88"/>
      <c r="DB46" s="88"/>
      <c r="DC46" s="88"/>
      <c r="DD46" s="88"/>
      <c r="DE46" s="88"/>
      <c r="DF46" s="88"/>
      <c r="DG46" s="88"/>
      <c r="DH46" s="88"/>
      <c r="DI46" s="88"/>
      <c r="DJ46" s="88"/>
      <c r="DK46" s="88"/>
      <c r="DL46" s="88"/>
      <c r="DM46" s="88"/>
      <c r="DN46" s="88"/>
      <c r="DO46" s="88"/>
      <c r="DP46" s="88"/>
      <c r="DQ46" s="88"/>
      <c r="DR46" s="88"/>
      <c r="DS46" s="88"/>
      <c r="DT46" s="88"/>
      <c r="DU46" s="88"/>
      <c r="DV46" s="88"/>
      <c r="DW46" s="88"/>
      <c r="DX46" s="88"/>
      <c r="DY46" s="88"/>
      <c r="DZ46" s="88"/>
      <c r="EA46" s="88"/>
      <c r="EB46" s="88"/>
      <c r="EC46" s="88"/>
      <c r="ED46" s="88"/>
      <c r="EE46" s="88"/>
      <c r="EF46" s="88"/>
      <c r="EG46" s="88"/>
      <c r="EH46" s="88"/>
      <c r="EI46" s="88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</row>
    <row r="47" spans="2:252" outlineLevel="1">
      <c r="B47" s="125" t="s">
        <v>227</v>
      </c>
      <c r="C47" s="32" t="s">
        <v>228</v>
      </c>
      <c r="D47" s="24"/>
      <c r="E47" s="25">
        <v>46258</v>
      </c>
      <c r="F47" s="24">
        <f>NETWORKDAYS(E47,G47,Праздники!$A$1:$A$14)</f>
        <v>15</v>
      </c>
      <c r="G47" s="25">
        <v>46276</v>
      </c>
      <c r="H47" s="26">
        <v>0.4</v>
      </c>
      <c r="I47" s="24" t="s">
        <v>151</v>
      </c>
      <c r="J47" s="37" t="s">
        <v>150</v>
      </c>
      <c r="K47" s="37"/>
      <c r="L47" s="37"/>
      <c r="M47" s="37"/>
      <c r="N47" s="37"/>
      <c r="O47" s="37"/>
      <c r="P47" s="87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8"/>
      <c r="CV47" s="88"/>
      <c r="CW47" s="88"/>
      <c r="CX47" s="88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  <c r="DL47" s="88"/>
      <c r="DM47" s="88"/>
      <c r="DN47" s="88"/>
      <c r="DO47" s="88"/>
      <c r="DP47" s="88"/>
      <c r="DQ47" s="88"/>
      <c r="DR47" s="88"/>
      <c r="DS47" s="88"/>
      <c r="DT47" s="88"/>
      <c r="DU47" s="88"/>
      <c r="DV47" s="88"/>
      <c r="DW47" s="88"/>
      <c r="DX47" s="88"/>
      <c r="DY47" s="88"/>
      <c r="DZ47" s="88"/>
      <c r="EA47" s="88"/>
      <c r="EB47" s="88"/>
      <c r="EC47" s="88"/>
      <c r="ED47" s="88"/>
      <c r="EE47" s="88"/>
      <c r="EF47" s="88"/>
      <c r="EG47" s="88"/>
      <c r="EH47" s="88"/>
      <c r="EI47" s="88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</row>
    <row r="48" spans="2:252">
      <c r="B48" s="43" t="s">
        <v>59</v>
      </c>
      <c r="C48" s="44" t="s">
        <v>50</v>
      </c>
      <c r="D48" s="44" t="s">
        <v>19</v>
      </c>
      <c r="E48" s="45">
        <v>46157</v>
      </c>
      <c r="F48" s="44">
        <f>NETWORKDAYS(E48,G48,Праздники!$A$1:$A$14)</f>
        <v>1</v>
      </c>
      <c r="G48" s="45">
        <v>46157</v>
      </c>
      <c r="H48" s="46">
        <v>1</v>
      </c>
      <c r="I48" s="44" t="s">
        <v>150</v>
      </c>
      <c r="J48" s="47"/>
      <c r="K48" s="47"/>
      <c r="L48" s="47"/>
      <c r="M48" s="47"/>
      <c r="N48" s="47"/>
      <c r="O48" s="47"/>
      <c r="P48" s="87" t="str">
        <f t="shared" ca="1" si="45"/>
        <v/>
      </c>
      <c r="Q48" s="88" t="str">
        <f t="shared" ca="1" si="45"/>
        <v/>
      </c>
      <c r="R48" s="88" t="str">
        <f t="shared" ca="1" si="45"/>
        <v/>
      </c>
      <c r="S48" s="88" t="str">
        <f t="shared" ca="1" si="45"/>
        <v/>
      </c>
      <c r="T48" s="88" t="str">
        <f t="shared" ca="1" si="45"/>
        <v/>
      </c>
      <c r="U48" s="88" t="str">
        <f t="shared" ca="1" si="45"/>
        <v/>
      </c>
      <c r="V48" s="88" t="str">
        <f t="shared" ca="1" si="45"/>
        <v/>
      </c>
      <c r="W48" s="88" t="str">
        <f t="shared" ca="1" si="45"/>
        <v/>
      </c>
      <c r="X48" s="88" t="str">
        <f t="shared" ca="1" si="45"/>
        <v/>
      </c>
      <c r="Y48" s="88" t="str">
        <f t="shared" ca="1" si="45"/>
        <v/>
      </c>
      <c r="Z48" s="88" t="str">
        <f t="shared" ca="1" si="45"/>
        <v/>
      </c>
      <c r="AA48" s="88" t="str">
        <f t="shared" ca="1" si="45"/>
        <v/>
      </c>
      <c r="AB48" s="88" t="str">
        <f t="shared" ca="1" si="45"/>
        <v/>
      </c>
      <c r="AC48" s="88" t="str">
        <f t="shared" ca="1" si="45"/>
        <v/>
      </c>
      <c r="AD48" s="88" t="str">
        <f t="shared" ca="1" si="45"/>
        <v/>
      </c>
      <c r="AE48" s="88" t="str">
        <f t="shared" ca="1" si="45"/>
        <v/>
      </c>
      <c r="AF48" s="88" t="str">
        <f t="shared" ref="AF48:AU65" ca="1" si="52">IF(AF$8=TODAY(),CHAR(124),"")</f>
        <v/>
      </c>
      <c r="AG48" s="88" t="str">
        <f t="shared" ca="1" si="52"/>
        <v/>
      </c>
      <c r="AH48" s="88" t="str">
        <f t="shared" ca="1" si="52"/>
        <v/>
      </c>
      <c r="AI48" s="88" t="str">
        <f t="shared" ca="1" si="52"/>
        <v/>
      </c>
      <c r="AJ48" s="88" t="str">
        <f t="shared" ca="1" si="52"/>
        <v/>
      </c>
      <c r="AK48" s="88" t="str">
        <f t="shared" ca="1" si="52"/>
        <v/>
      </c>
      <c r="AL48" s="88" t="str">
        <f t="shared" ca="1" si="52"/>
        <v/>
      </c>
      <c r="AM48" s="88" t="str">
        <f t="shared" ca="1" si="52"/>
        <v/>
      </c>
      <c r="AN48" s="88" t="str">
        <f t="shared" ca="1" si="52"/>
        <v/>
      </c>
      <c r="AO48" s="88" t="str">
        <f t="shared" ca="1" si="52"/>
        <v/>
      </c>
      <c r="AP48" s="88" t="str">
        <f t="shared" ca="1" si="52"/>
        <v/>
      </c>
      <c r="AQ48" s="88" t="str">
        <f t="shared" ca="1" si="52"/>
        <v/>
      </c>
      <c r="AR48" s="88" t="str">
        <f t="shared" ca="1" si="52"/>
        <v/>
      </c>
      <c r="AS48" s="88" t="str">
        <f t="shared" ca="1" si="52"/>
        <v/>
      </c>
      <c r="AT48" s="88" t="str">
        <f t="shared" ca="1" si="52"/>
        <v/>
      </c>
      <c r="AU48" s="88" t="str">
        <f t="shared" ca="1" si="52"/>
        <v/>
      </c>
      <c r="AV48" s="88" t="str">
        <f t="shared" ref="AV48:BK65" ca="1" si="53">IF(AV$8=TODAY(),CHAR(124),"")</f>
        <v/>
      </c>
      <c r="AW48" s="88" t="str">
        <f t="shared" ca="1" si="53"/>
        <v/>
      </c>
      <c r="AX48" s="88" t="str">
        <f t="shared" ca="1" si="53"/>
        <v/>
      </c>
      <c r="AY48" s="88" t="str">
        <f t="shared" ca="1" si="53"/>
        <v/>
      </c>
      <c r="AZ48" s="88" t="str">
        <f t="shared" ca="1" si="53"/>
        <v/>
      </c>
      <c r="BA48" s="88" t="str">
        <f t="shared" ca="1" si="53"/>
        <v/>
      </c>
      <c r="BB48" s="88" t="str">
        <f t="shared" ca="1" si="53"/>
        <v/>
      </c>
      <c r="BC48" s="88" t="str">
        <f t="shared" ca="1" si="53"/>
        <v/>
      </c>
      <c r="BD48" s="88" t="str">
        <f t="shared" ca="1" si="53"/>
        <v/>
      </c>
      <c r="BE48" s="88" t="str">
        <f t="shared" ca="1" si="53"/>
        <v/>
      </c>
      <c r="BF48" s="88" t="str">
        <f t="shared" ca="1" si="53"/>
        <v/>
      </c>
      <c r="BG48" s="88" t="str">
        <f t="shared" ca="1" si="53"/>
        <v/>
      </c>
      <c r="BH48" s="88" t="str">
        <f t="shared" ca="1" si="53"/>
        <v/>
      </c>
      <c r="BI48" s="88" t="str">
        <f t="shared" ca="1" si="53"/>
        <v/>
      </c>
      <c r="BJ48" s="88" t="str">
        <f t="shared" ca="1" si="53"/>
        <v/>
      </c>
      <c r="BK48" s="88" t="str">
        <f t="shared" ca="1" si="53"/>
        <v/>
      </c>
      <c r="BL48" s="88" t="str">
        <f t="shared" ref="BL48:CA65" ca="1" si="54">IF(BL$8=TODAY(),CHAR(124),"")</f>
        <v/>
      </c>
      <c r="BM48" s="88" t="str">
        <f t="shared" ca="1" si="54"/>
        <v/>
      </c>
      <c r="BN48" s="88" t="str">
        <f t="shared" ca="1" si="54"/>
        <v/>
      </c>
      <c r="BO48" s="88" t="str">
        <f t="shared" ca="1" si="54"/>
        <v/>
      </c>
      <c r="BP48" s="88" t="str">
        <f t="shared" ca="1" si="54"/>
        <v/>
      </c>
      <c r="BQ48" s="88" t="str">
        <f t="shared" ca="1" si="54"/>
        <v/>
      </c>
      <c r="BR48" s="88" t="str">
        <f t="shared" ca="1" si="54"/>
        <v/>
      </c>
      <c r="BS48" s="88" t="str">
        <f t="shared" ca="1" si="54"/>
        <v/>
      </c>
      <c r="BT48" s="88" t="str">
        <f t="shared" ca="1" si="54"/>
        <v/>
      </c>
      <c r="BU48" s="88" t="str">
        <f t="shared" ca="1" si="54"/>
        <v/>
      </c>
      <c r="BV48" s="88" t="str">
        <f t="shared" ca="1" si="54"/>
        <v/>
      </c>
      <c r="BW48" s="88" t="str">
        <f t="shared" ca="1" si="54"/>
        <v/>
      </c>
      <c r="BX48" s="88" t="str">
        <f t="shared" ca="1" si="54"/>
        <v/>
      </c>
      <c r="BY48" s="88" t="str">
        <f t="shared" ca="1" si="54"/>
        <v/>
      </c>
      <c r="BZ48" s="88" t="str">
        <f t="shared" ca="1" si="54"/>
        <v/>
      </c>
      <c r="CA48" s="88" t="str">
        <f t="shared" ca="1" si="54"/>
        <v/>
      </c>
      <c r="CB48" s="88" t="str">
        <f t="shared" ca="1" si="48"/>
        <v/>
      </c>
      <c r="CC48" s="88" t="str">
        <f t="shared" ca="1" si="48"/>
        <v/>
      </c>
      <c r="CD48" s="88" t="str">
        <f t="shared" ca="1" si="48"/>
        <v/>
      </c>
      <c r="CE48" s="88" t="str">
        <f t="shared" ca="1" si="48"/>
        <v/>
      </c>
      <c r="CF48" s="88" t="str">
        <f t="shared" ca="1" si="48"/>
        <v/>
      </c>
      <c r="CG48" s="88" t="str">
        <f t="shared" ca="1" si="48"/>
        <v/>
      </c>
      <c r="CH48" s="88" t="str">
        <f t="shared" ca="1" si="48"/>
        <v/>
      </c>
      <c r="CI48" s="88" t="str">
        <f t="shared" ca="1" si="48"/>
        <v/>
      </c>
      <c r="CJ48" s="88" t="str">
        <f t="shared" ca="1" si="48"/>
        <v/>
      </c>
      <c r="CK48" s="88" t="str">
        <f t="shared" ca="1" si="48"/>
        <v/>
      </c>
      <c r="CL48" s="88" t="str">
        <f t="shared" ca="1" si="48"/>
        <v/>
      </c>
      <c r="CM48" s="88" t="str">
        <f t="shared" ca="1" si="48"/>
        <v/>
      </c>
      <c r="CN48" s="88" t="str">
        <f t="shared" ca="1" si="48"/>
        <v/>
      </c>
      <c r="CO48" s="88" t="str">
        <f t="shared" ca="1" si="48"/>
        <v/>
      </c>
      <c r="CP48" s="88" t="str">
        <f t="shared" ca="1" si="48"/>
        <v/>
      </c>
      <c r="CQ48" s="88" t="str">
        <f t="shared" ca="1" si="48"/>
        <v/>
      </c>
      <c r="CR48" s="88" t="str">
        <f t="shared" ca="1" si="49"/>
        <v/>
      </c>
      <c r="CS48" s="88" t="str">
        <f t="shared" ca="1" si="49"/>
        <v/>
      </c>
      <c r="CT48" s="88" t="str">
        <f t="shared" ca="1" si="49"/>
        <v/>
      </c>
      <c r="CU48" s="88" t="str">
        <f t="shared" ca="1" si="49"/>
        <v/>
      </c>
      <c r="CV48" s="88" t="str">
        <f t="shared" ca="1" si="49"/>
        <v/>
      </c>
      <c r="CW48" s="88" t="str">
        <f t="shared" ca="1" si="49"/>
        <v/>
      </c>
      <c r="CX48" s="88" t="str">
        <f t="shared" ca="1" si="49"/>
        <v/>
      </c>
      <c r="CY48" s="88" t="str">
        <f t="shared" ca="1" si="49"/>
        <v/>
      </c>
      <c r="CZ48" s="88" t="str">
        <f t="shared" ca="1" si="49"/>
        <v/>
      </c>
      <c r="DA48" s="88" t="str">
        <f t="shared" ca="1" si="49"/>
        <v/>
      </c>
      <c r="DB48" s="88" t="str">
        <f t="shared" ca="1" si="49"/>
        <v/>
      </c>
      <c r="DC48" s="88" t="str">
        <f t="shared" ca="1" si="49"/>
        <v/>
      </c>
      <c r="DD48" s="88" t="str">
        <f t="shared" ca="1" si="49"/>
        <v/>
      </c>
      <c r="DE48" s="88" t="str">
        <f t="shared" ca="1" si="49"/>
        <v/>
      </c>
      <c r="DF48" s="88" t="str">
        <f t="shared" ca="1" si="49"/>
        <v/>
      </c>
      <c r="DG48" s="88" t="str">
        <f t="shared" ca="1" si="49"/>
        <v/>
      </c>
      <c r="DH48" s="88" t="str">
        <f t="shared" ca="1" si="49"/>
        <v/>
      </c>
      <c r="DI48" s="88" t="str">
        <f t="shared" ca="1" si="50"/>
        <v/>
      </c>
      <c r="DJ48" s="88" t="str">
        <f t="shared" ca="1" si="50"/>
        <v/>
      </c>
      <c r="DK48" s="88" t="str">
        <f t="shared" ca="1" si="50"/>
        <v/>
      </c>
      <c r="DL48" s="88" t="str">
        <f t="shared" ca="1" si="50"/>
        <v/>
      </c>
      <c r="DM48" s="88" t="str">
        <f t="shared" ca="1" si="50"/>
        <v/>
      </c>
      <c r="DN48" s="88" t="str">
        <f t="shared" ca="1" si="50"/>
        <v/>
      </c>
      <c r="DO48" s="88" t="str">
        <f t="shared" ca="1" si="50"/>
        <v/>
      </c>
      <c r="DP48" s="88" t="str">
        <f t="shared" ca="1" si="50"/>
        <v/>
      </c>
      <c r="DQ48" s="88" t="str">
        <f t="shared" ca="1" si="50"/>
        <v/>
      </c>
      <c r="DR48" s="88" t="str">
        <f t="shared" ca="1" si="50"/>
        <v/>
      </c>
      <c r="DS48" s="88" t="str">
        <f t="shared" ca="1" si="50"/>
        <v/>
      </c>
      <c r="DT48" s="88" t="str">
        <f t="shared" ca="1" si="50"/>
        <v/>
      </c>
      <c r="DU48" s="88" t="str">
        <f t="shared" ca="1" si="50"/>
        <v/>
      </c>
      <c r="DV48" s="88" t="str">
        <f t="shared" ca="1" si="50"/>
        <v/>
      </c>
      <c r="DW48" s="88" t="str">
        <f t="shared" ca="1" si="50"/>
        <v/>
      </c>
      <c r="DX48" s="88" t="str">
        <f t="shared" ca="1" si="50"/>
        <v/>
      </c>
      <c r="DY48" s="88" t="str">
        <f t="shared" ca="1" si="47"/>
        <v/>
      </c>
      <c r="DZ48" s="88" t="str">
        <f t="shared" ca="1" si="47"/>
        <v/>
      </c>
      <c r="EA48" s="88" t="str">
        <f t="shared" ca="1" si="47"/>
        <v/>
      </c>
      <c r="EB48" s="88" t="str">
        <f t="shared" ca="1" si="47"/>
        <v/>
      </c>
      <c r="EC48" s="88" t="str">
        <f t="shared" ca="1" si="47"/>
        <v/>
      </c>
      <c r="ED48" s="88" t="str">
        <f t="shared" ca="1" si="47"/>
        <v/>
      </c>
      <c r="EE48" s="88" t="str">
        <f t="shared" ca="1" si="47"/>
        <v/>
      </c>
      <c r="EF48" s="88" t="str">
        <f t="shared" ca="1" si="47"/>
        <v/>
      </c>
      <c r="EG48" s="88" t="str">
        <f t="shared" ca="1" si="47"/>
        <v/>
      </c>
      <c r="EH48" s="88" t="str">
        <f t="shared" ca="1" si="47"/>
        <v/>
      </c>
      <c r="EI48" s="88" t="str">
        <f t="shared" ca="1" si="47"/>
        <v/>
      </c>
      <c r="EJ48" s="9" t="str">
        <f t="shared" ca="1" si="47"/>
        <v/>
      </c>
      <c r="EK48" s="9" t="str">
        <f t="shared" ca="1" si="47"/>
        <v/>
      </c>
      <c r="EL48" s="9" t="str">
        <f t="shared" ca="1" si="47"/>
        <v/>
      </c>
      <c r="EM48" s="9" t="str">
        <f t="shared" ca="1" si="47"/>
        <v/>
      </c>
      <c r="EN48" s="9" t="str">
        <f t="shared" ca="1" si="51"/>
        <v/>
      </c>
      <c r="EO48" s="9" t="str">
        <f t="shared" ca="1" si="51"/>
        <v/>
      </c>
      <c r="EP48" s="9" t="str">
        <f t="shared" ca="1" si="51"/>
        <v/>
      </c>
      <c r="EQ48" s="9" t="str">
        <f t="shared" ca="1" si="51"/>
        <v/>
      </c>
      <c r="ER48" s="9" t="str">
        <f t="shared" ca="1" si="51"/>
        <v/>
      </c>
      <c r="ES48" s="9" t="str">
        <f t="shared" ca="1" si="51"/>
        <v/>
      </c>
      <c r="ET48" s="9" t="str">
        <f t="shared" ca="1" si="51"/>
        <v/>
      </c>
      <c r="EU48" s="9" t="str">
        <f t="shared" ca="1" si="51"/>
        <v/>
      </c>
      <c r="EV48" s="9" t="str">
        <f t="shared" ca="1" si="51"/>
        <v/>
      </c>
      <c r="EW48" s="9" t="str">
        <f t="shared" ca="1" si="51"/>
        <v/>
      </c>
      <c r="EX48" s="9" t="str">
        <f t="shared" ca="1" si="51"/>
        <v/>
      </c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</row>
    <row r="49" spans="2:252" ht="18.75">
      <c r="B49" s="60" t="s">
        <v>99</v>
      </c>
      <c r="C49" s="60"/>
      <c r="D49" s="61"/>
      <c r="E49" s="62">
        <v>46146</v>
      </c>
      <c r="F49" s="61">
        <f>NETWORKDAYS(E49,G49,Праздники!$A$1:$A$14)</f>
        <v>53</v>
      </c>
      <c r="G49" s="62">
        <v>46222</v>
      </c>
      <c r="H49" s="63"/>
      <c r="I49" s="61"/>
      <c r="J49" s="64"/>
      <c r="K49" s="64"/>
      <c r="L49" s="64"/>
      <c r="M49" s="64"/>
      <c r="N49" s="64"/>
      <c r="O49" s="64"/>
      <c r="P49" s="87" t="str">
        <f t="shared" ca="1" si="45"/>
        <v/>
      </c>
      <c r="Q49" s="88" t="str">
        <f t="shared" ca="1" si="45"/>
        <v/>
      </c>
      <c r="R49" s="88" t="str">
        <f t="shared" ca="1" si="45"/>
        <v/>
      </c>
      <c r="S49" s="88" t="str">
        <f t="shared" ca="1" si="45"/>
        <v/>
      </c>
      <c r="T49" s="88" t="str">
        <f t="shared" ca="1" si="45"/>
        <v/>
      </c>
      <c r="U49" s="88" t="str">
        <f t="shared" ca="1" si="45"/>
        <v/>
      </c>
      <c r="V49" s="88" t="str">
        <f t="shared" ca="1" si="45"/>
        <v/>
      </c>
      <c r="W49" s="88" t="str">
        <f t="shared" ca="1" si="45"/>
        <v/>
      </c>
      <c r="X49" s="88" t="str">
        <f t="shared" ca="1" si="45"/>
        <v/>
      </c>
      <c r="Y49" s="88" t="str">
        <f t="shared" ca="1" si="45"/>
        <v/>
      </c>
      <c r="Z49" s="88" t="str">
        <f t="shared" ca="1" si="45"/>
        <v/>
      </c>
      <c r="AA49" s="88" t="str">
        <f t="shared" ca="1" si="45"/>
        <v/>
      </c>
      <c r="AB49" s="88" t="str">
        <f t="shared" ca="1" si="45"/>
        <v/>
      </c>
      <c r="AC49" s="88" t="str">
        <f t="shared" ca="1" si="45"/>
        <v/>
      </c>
      <c r="AD49" s="88" t="str">
        <f t="shared" ca="1" si="45"/>
        <v/>
      </c>
      <c r="AE49" s="88" t="str">
        <f t="shared" ca="1" si="45"/>
        <v/>
      </c>
      <c r="AF49" s="88" t="str">
        <f t="shared" ca="1" si="52"/>
        <v/>
      </c>
      <c r="AG49" s="88" t="str">
        <f t="shared" ca="1" si="52"/>
        <v/>
      </c>
      <c r="AH49" s="88" t="str">
        <f t="shared" ca="1" si="52"/>
        <v/>
      </c>
      <c r="AI49" s="88" t="str">
        <f t="shared" ca="1" si="52"/>
        <v/>
      </c>
      <c r="AJ49" s="88" t="str">
        <f t="shared" ca="1" si="52"/>
        <v/>
      </c>
      <c r="AK49" s="88" t="str">
        <f t="shared" ca="1" si="52"/>
        <v/>
      </c>
      <c r="AL49" s="88" t="str">
        <f t="shared" ca="1" si="52"/>
        <v/>
      </c>
      <c r="AM49" s="88" t="str">
        <f t="shared" ca="1" si="52"/>
        <v/>
      </c>
      <c r="AN49" s="88" t="str">
        <f t="shared" ca="1" si="52"/>
        <v/>
      </c>
      <c r="AO49" s="88" t="str">
        <f t="shared" ca="1" si="52"/>
        <v/>
      </c>
      <c r="AP49" s="88" t="str">
        <f t="shared" ca="1" si="52"/>
        <v/>
      </c>
      <c r="AQ49" s="88" t="str">
        <f t="shared" ca="1" si="52"/>
        <v/>
      </c>
      <c r="AR49" s="88" t="str">
        <f t="shared" ca="1" si="52"/>
        <v/>
      </c>
      <c r="AS49" s="88" t="str">
        <f t="shared" ca="1" si="52"/>
        <v/>
      </c>
      <c r="AT49" s="88" t="str">
        <f t="shared" ca="1" si="52"/>
        <v/>
      </c>
      <c r="AU49" s="88" t="str">
        <f t="shared" ca="1" si="52"/>
        <v/>
      </c>
      <c r="AV49" s="88" t="str">
        <f t="shared" ca="1" si="53"/>
        <v/>
      </c>
      <c r="AW49" s="88" t="str">
        <f t="shared" ca="1" si="53"/>
        <v/>
      </c>
      <c r="AX49" s="88" t="str">
        <f t="shared" ca="1" si="53"/>
        <v/>
      </c>
      <c r="AY49" s="88" t="str">
        <f t="shared" ca="1" si="53"/>
        <v/>
      </c>
      <c r="AZ49" s="88" t="str">
        <f t="shared" ca="1" si="53"/>
        <v/>
      </c>
      <c r="BA49" s="88" t="str">
        <f t="shared" ca="1" si="53"/>
        <v/>
      </c>
      <c r="BB49" s="88" t="str">
        <f t="shared" ca="1" si="53"/>
        <v/>
      </c>
      <c r="BC49" s="88" t="str">
        <f t="shared" ca="1" si="53"/>
        <v/>
      </c>
      <c r="BD49" s="88" t="str">
        <f t="shared" ca="1" si="53"/>
        <v/>
      </c>
      <c r="BE49" s="88" t="str">
        <f t="shared" ca="1" si="53"/>
        <v/>
      </c>
      <c r="BF49" s="88" t="str">
        <f t="shared" ca="1" si="53"/>
        <v/>
      </c>
      <c r="BG49" s="88" t="str">
        <f t="shared" ca="1" si="53"/>
        <v/>
      </c>
      <c r="BH49" s="88" t="str">
        <f t="shared" ca="1" si="53"/>
        <v/>
      </c>
      <c r="BI49" s="88" t="str">
        <f t="shared" ca="1" si="53"/>
        <v/>
      </c>
      <c r="BJ49" s="88" t="str">
        <f t="shared" ca="1" si="53"/>
        <v/>
      </c>
      <c r="BK49" s="88" t="str">
        <f t="shared" ca="1" si="53"/>
        <v/>
      </c>
      <c r="BL49" s="88" t="str">
        <f t="shared" ca="1" si="54"/>
        <v/>
      </c>
      <c r="BM49" s="88" t="str">
        <f t="shared" ca="1" si="54"/>
        <v/>
      </c>
      <c r="BN49" s="88" t="str">
        <f t="shared" ca="1" si="54"/>
        <v/>
      </c>
      <c r="BO49" s="88" t="str">
        <f t="shared" ca="1" si="54"/>
        <v/>
      </c>
      <c r="BP49" s="88" t="str">
        <f t="shared" ca="1" si="54"/>
        <v/>
      </c>
      <c r="BQ49" s="88" t="str">
        <f t="shared" ca="1" si="54"/>
        <v/>
      </c>
      <c r="BR49" s="88" t="str">
        <f t="shared" ca="1" si="54"/>
        <v/>
      </c>
      <c r="BS49" s="88" t="str">
        <f t="shared" ca="1" si="54"/>
        <v/>
      </c>
      <c r="BT49" s="88" t="str">
        <f t="shared" ca="1" si="54"/>
        <v/>
      </c>
      <c r="BU49" s="88" t="str">
        <f t="shared" ca="1" si="54"/>
        <v/>
      </c>
      <c r="BV49" s="88" t="str">
        <f t="shared" ca="1" si="54"/>
        <v/>
      </c>
      <c r="BW49" s="88" t="str">
        <f t="shared" ca="1" si="54"/>
        <v/>
      </c>
      <c r="BX49" s="88" t="str">
        <f t="shared" ca="1" si="54"/>
        <v/>
      </c>
      <c r="BY49" s="88" t="str">
        <f t="shared" ca="1" si="54"/>
        <v/>
      </c>
      <c r="BZ49" s="88" t="str">
        <f t="shared" ca="1" si="54"/>
        <v/>
      </c>
      <c r="CA49" s="88" t="str">
        <f t="shared" ca="1" si="54"/>
        <v/>
      </c>
      <c r="CB49" s="88" t="str">
        <f t="shared" ca="1" si="48"/>
        <v/>
      </c>
      <c r="CC49" s="88" t="str">
        <f t="shared" ca="1" si="48"/>
        <v/>
      </c>
      <c r="CD49" s="88" t="str">
        <f t="shared" ca="1" si="48"/>
        <v/>
      </c>
      <c r="CE49" s="88" t="str">
        <f t="shared" ca="1" si="48"/>
        <v/>
      </c>
      <c r="CF49" s="88" t="str">
        <f t="shared" ca="1" si="48"/>
        <v/>
      </c>
      <c r="CG49" s="88" t="str">
        <f t="shared" ca="1" si="48"/>
        <v/>
      </c>
      <c r="CH49" s="88" t="str">
        <f t="shared" ca="1" si="48"/>
        <v/>
      </c>
      <c r="CI49" s="88" t="str">
        <f t="shared" ca="1" si="48"/>
        <v/>
      </c>
      <c r="CJ49" s="88" t="str">
        <f t="shared" ca="1" si="48"/>
        <v/>
      </c>
      <c r="CK49" s="88" t="str">
        <f t="shared" ca="1" si="48"/>
        <v/>
      </c>
      <c r="CL49" s="88" t="str">
        <f t="shared" ca="1" si="48"/>
        <v/>
      </c>
      <c r="CM49" s="88" t="str">
        <f t="shared" ca="1" si="48"/>
        <v/>
      </c>
      <c r="CN49" s="88" t="str">
        <f t="shared" ca="1" si="48"/>
        <v/>
      </c>
      <c r="CO49" s="88" t="str">
        <f t="shared" ca="1" si="48"/>
        <v/>
      </c>
      <c r="CP49" s="88" t="str">
        <f t="shared" ca="1" si="48"/>
        <v/>
      </c>
      <c r="CQ49" s="88" t="str">
        <f t="shared" ca="1" si="48"/>
        <v/>
      </c>
      <c r="CR49" s="88" t="str">
        <f t="shared" ca="1" si="49"/>
        <v/>
      </c>
      <c r="CS49" s="88" t="str">
        <f t="shared" ca="1" si="49"/>
        <v/>
      </c>
      <c r="CT49" s="88" t="str">
        <f t="shared" ca="1" si="49"/>
        <v/>
      </c>
      <c r="CU49" s="88" t="str">
        <f t="shared" ca="1" si="49"/>
        <v/>
      </c>
      <c r="CV49" s="88" t="str">
        <f t="shared" ca="1" si="49"/>
        <v/>
      </c>
      <c r="CW49" s="88" t="str">
        <f t="shared" ca="1" si="49"/>
        <v/>
      </c>
      <c r="CX49" s="88" t="str">
        <f t="shared" ca="1" si="49"/>
        <v/>
      </c>
      <c r="CY49" s="88" t="str">
        <f t="shared" ca="1" si="49"/>
        <v/>
      </c>
      <c r="CZ49" s="88" t="str">
        <f t="shared" ca="1" si="49"/>
        <v/>
      </c>
      <c r="DA49" s="88" t="str">
        <f t="shared" ca="1" si="49"/>
        <v/>
      </c>
      <c r="DB49" s="88" t="str">
        <f t="shared" ca="1" si="49"/>
        <v/>
      </c>
      <c r="DC49" s="88" t="str">
        <f t="shared" ca="1" si="49"/>
        <v/>
      </c>
      <c r="DD49" s="88" t="str">
        <f t="shared" ca="1" si="49"/>
        <v/>
      </c>
      <c r="DE49" s="88" t="str">
        <f t="shared" ca="1" si="49"/>
        <v/>
      </c>
      <c r="DF49" s="88" t="str">
        <f t="shared" ca="1" si="49"/>
        <v/>
      </c>
      <c r="DG49" s="88" t="str">
        <f t="shared" ca="1" si="49"/>
        <v/>
      </c>
      <c r="DH49" s="88" t="str">
        <f t="shared" ca="1" si="49"/>
        <v/>
      </c>
      <c r="DI49" s="88" t="str">
        <f t="shared" ca="1" si="50"/>
        <v/>
      </c>
      <c r="DJ49" s="88" t="str">
        <f t="shared" ca="1" si="50"/>
        <v/>
      </c>
      <c r="DK49" s="88" t="str">
        <f t="shared" ca="1" si="50"/>
        <v/>
      </c>
      <c r="DL49" s="88" t="str">
        <f t="shared" ca="1" si="50"/>
        <v/>
      </c>
      <c r="DM49" s="88" t="str">
        <f t="shared" ca="1" si="50"/>
        <v/>
      </c>
      <c r="DN49" s="88" t="str">
        <f t="shared" ca="1" si="50"/>
        <v/>
      </c>
      <c r="DO49" s="88" t="str">
        <f t="shared" ca="1" si="50"/>
        <v/>
      </c>
      <c r="DP49" s="88" t="str">
        <f t="shared" ca="1" si="50"/>
        <v/>
      </c>
      <c r="DQ49" s="88" t="str">
        <f t="shared" ca="1" si="50"/>
        <v/>
      </c>
      <c r="DR49" s="88" t="str">
        <f t="shared" ca="1" si="50"/>
        <v/>
      </c>
      <c r="DS49" s="88" t="str">
        <f t="shared" ca="1" si="50"/>
        <v/>
      </c>
      <c r="DT49" s="88" t="str">
        <f t="shared" ca="1" si="50"/>
        <v/>
      </c>
      <c r="DU49" s="88" t="str">
        <f t="shared" ca="1" si="50"/>
        <v/>
      </c>
      <c r="DV49" s="88" t="str">
        <f t="shared" ca="1" si="50"/>
        <v/>
      </c>
      <c r="DW49" s="88" t="str">
        <f t="shared" ca="1" si="50"/>
        <v/>
      </c>
      <c r="DX49" s="88" t="str">
        <f t="shared" ca="1" si="50"/>
        <v/>
      </c>
      <c r="DY49" s="88" t="str">
        <f t="shared" ca="1" si="47"/>
        <v/>
      </c>
      <c r="DZ49" s="88" t="str">
        <f t="shared" ca="1" si="47"/>
        <v/>
      </c>
      <c r="EA49" s="88" t="str">
        <f t="shared" ca="1" si="47"/>
        <v/>
      </c>
      <c r="EB49" s="88" t="str">
        <f t="shared" ca="1" si="47"/>
        <v/>
      </c>
      <c r="EC49" s="88" t="str">
        <f t="shared" ca="1" si="47"/>
        <v/>
      </c>
      <c r="ED49" s="88" t="str">
        <f t="shared" ca="1" si="47"/>
        <v/>
      </c>
      <c r="EE49" s="88" t="str">
        <f t="shared" ca="1" si="47"/>
        <v/>
      </c>
      <c r="EF49" s="88" t="str">
        <f t="shared" ca="1" si="47"/>
        <v/>
      </c>
      <c r="EG49" s="88" t="str">
        <f t="shared" ca="1" si="47"/>
        <v/>
      </c>
      <c r="EH49" s="88" t="str">
        <f t="shared" ca="1" si="47"/>
        <v/>
      </c>
      <c r="EI49" s="88" t="str">
        <f t="shared" ca="1" si="47"/>
        <v/>
      </c>
      <c r="EJ49" s="9" t="str">
        <f t="shared" ca="1" si="47"/>
        <v/>
      </c>
      <c r="EK49" s="9" t="str">
        <f t="shared" ca="1" si="47"/>
        <v/>
      </c>
      <c r="EL49" s="9" t="str">
        <f t="shared" ca="1" si="47"/>
        <v/>
      </c>
      <c r="EM49" s="9" t="str">
        <f t="shared" ca="1" si="47"/>
        <v/>
      </c>
      <c r="EN49" s="9" t="str">
        <f t="shared" ca="1" si="51"/>
        <v/>
      </c>
      <c r="EO49" s="9" t="str">
        <f t="shared" ca="1" si="51"/>
        <v/>
      </c>
      <c r="EP49" s="9" t="str">
        <f t="shared" ca="1" si="51"/>
        <v/>
      </c>
      <c r="EQ49" s="9" t="str">
        <f t="shared" ca="1" si="51"/>
        <v/>
      </c>
      <c r="ER49" s="9" t="str">
        <f t="shared" ca="1" si="51"/>
        <v/>
      </c>
      <c r="ES49" s="9" t="str">
        <f t="shared" ca="1" si="51"/>
        <v/>
      </c>
      <c r="ET49" s="9" t="str">
        <f t="shared" ca="1" si="51"/>
        <v/>
      </c>
      <c r="EU49" s="9" t="str">
        <f t="shared" ca="1" si="51"/>
        <v/>
      </c>
      <c r="EV49" s="9" t="str">
        <f t="shared" ca="1" si="51"/>
        <v/>
      </c>
      <c r="EW49" s="9" t="str">
        <f t="shared" ca="1" si="51"/>
        <v/>
      </c>
      <c r="EX49" s="9" t="str">
        <f t="shared" ca="1" si="51"/>
        <v/>
      </c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</row>
    <row r="50" spans="2:252">
      <c r="B50" s="71" t="s">
        <v>69</v>
      </c>
      <c r="C50" s="71" t="s">
        <v>22</v>
      </c>
      <c r="D50" s="49"/>
      <c r="E50" s="50">
        <v>46146</v>
      </c>
      <c r="F50" s="51">
        <f>NETWORKDAYS(E50,G50,Праздники!$A$1:$A$14)</f>
        <v>53</v>
      </c>
      <c r="G50" s="50">
        <v>46222</v>
      </c>
      <c r="H50" s="52"/>
      <c r="I50" s="49"/>
      <c r="J50" s="53"/>
      <c r="K50" s="53"/>
      <c r="L50" s="53"/>
      <c r="M50" s="53"/>
      <c r="N50" s="53"/>
      <c r="O50" s="53"/>
      <c r="P50" s="87" t="str">
        <f t="shared" ca="1" si="45"/>
        <v/>
      </c>
      <c r="Q50" s="88" t="str">
        <f t="shared" ca="1" si="45"/>
        <v/>
      </c>
      <c r="R50" s="88" t="str">
        <f t="shared" ca="1" si="45"/>
        <v/>
      </c>
      <c r="S50" s="88" t="str">
        <f t="shared" ca="1" si="45"/>
        <v/>
      </c>
      <c r="T50" s="88" t="str">
        <f t="shared" ca="1" si="45"/>
        <v/>
      </c>
      <c r="U50" s="88" t="str">
        <f t="shared" ca="1" si="45"/>
        <v/>
      </c>
      <c r="V50" s="88" t="str">
        <f t="shared" ca="1" si="45"/>
        <v/>
      </c>
      <c r="W50" s="88" t="str">
        <f t="shared" ca="1" si="45"/>
        <v/>
      </c>
      <c r="X50" s="88" t="str">
        <f t="shared" ca="1" si="45"/>
        <v/>
      </c>
      <c r="Y50" s="88" t="str">
        <f t="shared" ca="1" si="45"/>
        <v/>
      </c>
      <c r="Z50" s="88" t="str">
        <f t="shared" ca="1" si="45"/>
        <v/>
      </c>
      <c r="AA50" s="88" t="str">
        <f t="shared" ca="1" si="45"/>
        <v/>
      </c>
      <c r="AB50" s="88" t="str">
        <f t="shared" ca="1" si="45"/>
        <v/>
      </c>
      <c r="AC50" s="88" t="str">
        <f t="shared" ca="1" si="45"/>
        <v/>
      </c>
      <c r="AD50" s="88" t="str">
        <f t="shared" ca="1" si="45"/>
        <v/>
      </c>
      <c r="AE50" s="88" t="str">
        <f t="shared" ca="1" si="45"/>
        <v/>
      </c>
      <c r="AF50" s="88" t="str">
        <f t="shared" ca="1" si="52"/>
        <v/>
      </c>
      <c r="AG50" s="88" t="str">
        <f t="shared" ca="1" si="52"/>
        <v/>
      </c>
      <c r="AH50" s="88" t="str">
        <f t="shared" ca="1" si="52"/>
        <v/>
      </c>
      <c r="AI50" s="88" t="str">
        <f t="shared" ca="1" si="52"/>
        <v/>
      </c>
      <c r="AJ50" s="88" t="str">
        <f t="shared" ca="1" si="52"/>
        <v/>
      </c>
      <c r="AK50" s="88" t="str">
        <f t="shared" ca="1" si="52"/>
        <v/>
      </c>
      <c r="AL50" s="88" t="str">
        <f t="shared" ca="1" si="52"/>
        <v/>
      </c>
      <c r="AM50" s="88" t="str">
        <f t="shared" ca="1" si="52"/>
        <v/>
      </c>
      <c r="AN50" s="88" t="str">
        <f t="shared" ca="1" si="52"/>
        <v/>
      </c>
      <c r="AO50" s="88" t="str">
        <f t="shared" ca="1" si="52"/>
        <v/>
      </c>
      <c r="AP50" s="88" t="str">
        <f t="shared" ca="1" si="52"/>
        <v/>
      </c>
      <c r="AQ50" s="88" t="str">
        <f t="shared" ca="1" si="52"/>
        <v/>
      </c>
      <c r="AR50" s="88" t="str">
        <f t="shared" ca="1" si="52"/>
        <v/>
      </c>
      <c r="AS50" s="88" t="str">
        <f t="shared" ca="1" si="52"/>
        <v/>
      </c>
      <c r="AT50" s="88" t="str">
        <f t="shared" ca="1" si="52"/>
        <v/>
      </c>
      <c r="AU50" s="88" t="str">
        <f t="shared" ca="1" si="52"/>
        <v/>
      </c>
      <c r="AV50" s="88" t="str">
        <f t="shared" ca="1" si="53"/>
        <v/>
      </c>
      <c r="AW50" s="88" t="str">
        <f t="shared" ca="1" si="53"/>
        <v/>
      </c>
      <c r="AX50" s="88" t="str">
        <f t="shared" ca="1" si="53"/>
        <v/>
      </c>
      <c r="AY50" s="88" t="str">
        <f t="shared" ca="1" si="53"/>
        <v/>
      </c>
      <c r="AZ50" s="88" t="str">
        <f t="shared" ca="1" si="53"/>
        <v/>
      </c>
      <c r="BA50" s="88" t="str">
        <f t="shared" ca="1" si="53"/>
        <v/>
      </c>
      <c r="BB50" s="88" t="str">
        <f t="shared" ca="1" si="53"/>
        <v/>
      </c>
      <c r="BC50" s="88" t="str">
        <f t="shared" ca="1" si="53"/>
        <v/>
      </c>
      <c r="BD50" s="88" t="str">
        <f t="shared" ca="1" si="53"/>
        <v/>
      </c>
      <c r="BE50" s="88" t="str">
        <f t="shared" ca="1" si="53"/>
        <v/>
      </c>
      <c r="BF50" s="88" t="str">
        <f t="shared" ca="1" si="53"/>
        <v/>
      </c>
      <c r="BG50" s="88" t="str">
        <f t="shared" ca="1" si="53"/>
        <v/>
      </c>
      <c r="BH50" s="88" t="str">
        <f t="shared" ca="1" si="53"/>
        <v/>
      </c>
      <c r="BI50" s="88" t="str">
        <f t="shared" ca="1" si="53"/>
        <v/>
      </c>
      <c r="BJ50" s="88" t="str">
        <f t="shared" ca="1" si="53"/>
        <v/>
      </c>
      <c r="BK50" s="88" t="str">
        <f t="shared" ca="1" si="53"/>
        <v/>
      </c>
      <c r="BL50" s="88" t="str">
        <f t="shared" ca="1" si="54"/>
        <v/>
      </c>
      <c r="BM50" s="88" t="str">
        <f t="shared" ca="1" si="54"/>
        <v/>
      </c>
      <c r="BN50" s="88" t="str">
        <f t="shared" ca="1" si="54"/>
        <v/>
      </c>
      <c r="BO50" s="88" t="str">
        <f t="shared" ca="1" si="54"/>
        <v/>
      </c>
      <c r="BP50" s="88" t="str">
        <f t="shared" ca="1" si="54"/>
        <v/>
      </c>
      <c r="BQ50" s="88" t="str">
        <f t="shared" ca="1" si="54"/>
        <v/>
      </c>
      <c r="BR50" s="88" t="str">
        <f t="shared" ca="1" si="54"/>
        <v/>
      </c>
      <c r="BS50" s="88" t="str">
        <f t="shared" ca="1" si="54"/>
        <v/>
      </c>
      <c r="BT50" s="88" t="str">
        <f t="shared" ca="1" si="54"/>
        <v/>
      </c>
      <c r="BU50" s="88" t="str">
        <f t="shared" ca="1" si="54"/>
        <v/>
      </c>
      <c r="BV50" s="88" t="str">
        <f t="shared" ca="1" si="54"/>
        <v/>
      </c>
      <c r="BW50" s="88" t="str">
        <f t="shared" ca="1" si="54"/>
        <v/>
      </c>
      <c r="BX50" s="88" t="str">
        <f t="shared" ca="1" si="54"/>
        <v/>
      </c>
      <c r="BY50" s="88" t="str">
        <f t="shared" ca="1" si="54"/>
        <v/>
      </c>
      <c r="BZ50" s="88" t="str">
        <f t="shared" ca="1" si="54"/>
        <v/>
      </c>
      <c r="CA50" s="88" t="str">
        <f t="shared" ca="1" si="54"/>
        <v/>
      </c>
      <c r="CB50" s="88" t="str">
        <f t="shared" ca="1" si="48"/>
        <v/>
      </c>
      <c r="CC50" s="88" t="str">
        <f t="shared" ca="1" si="48"/>
        <v/>
      </c>
      <c r="CD50" s="88" t="str">
        <f t="shared" ca="1" si="48"/>
        <v/>
      </c>
      <c r="CE50" s="88" t="str">
        <f t="shared" ca="1" si="48"/>
        <v/>
      </c>
      <c r="CF50" s="88" t="str">
        <f t="shared" ca="1" si="48"/>
        <v/>
      </c>
      <c r="CG50" s="88" t="str">
        <f t="shared" ca="1" si="48"/>
        <v/>
      </c>
      <c r="CH50" s="88" t="str">
        <f t="shared" ca="1" si="48"/>
        <v/>
      </c>
      <c r="CI50" s="88" t="str">
        <f t="shared" ca="1" si="48"/>
        <v/>
      </c>
      <c r="CJ50" s="88" t="str">
        <f t="shared" ca="1" si="48"/>
        <v/>
      </c>
      <c r="CK50" s="88" t="str">
        <f t="shared" ca="1" si="48"/>
        <v/>
      </c>
      <c r="CL50" s="88" t="str">
        <f t="shared" ca="1" si="48"/>
        <v/>
      </c>
      <c r="CM50" s="88" t="str">
        <f t="shared" ca="1" si="48"/>
        <v/>
      </c>
      <c r="CN50" s="88" t="str">
        <f t="shared" ca="1" si="48"/>
        <v/>
      </c>
      <c r="CO50" s="88" t="str">
        <f t="shared" ca="1" si="48"/>
        <v/>
      </c>
      <c r="CP50" s="88" t="str">
        <f t="shared" ca="1" si="48"/>
        <v/>
      </c>
      <c r="CQ50" s="88" t="str">
        <f t="shared" ca="1" si="48"/>
        <v/>
      </c>
      <c r="CR50" s="88" t="str">
        <f t="shared" ca="1" si="49"/>
        <v/>
      </c>
      <c r="CS50" s="88" t="str">
        <f t="shared" ca="1" si="49"/>
        <v/>
      </c>
      <c r="CT50" s="88" t="str">
        <f t="shared" ca="1" si="49"/>
        <v/>
      </c>
      <c r="CU50" s="88" t="str">
        <f t="shared" ca="1" si="49"/>
        <v/>
      </c>
      <c r="CV50" s="88" t="str">
        <f t="shared" ca="1" si="49"/>
        <v/>
      </c>
      <c r="CW50" s="88" t="str">
        <f t="shared" ca="1" si="49"/>
        <v/>
      </c>
      <c r="CX50" s="88" t="str">
        <f t="shared" ca="1" si="49"/>
        <v/>
      </c>
      <c r="CY50" s="88" t="str">
        <f t="shared" ca="1" si="49"/>
        <v/>
      </c>
      <c r="CZ50" s="88" t="str">
        <f t="shared" ca="1" si="49"/>
        <v/>
      </c>
      <c r="DA50" s="88" t="str">
        <f t="shared" ca="1" si="49"/>
        <v/>
      </c>
      <c r="DB50" s="88" t="str">
        <f t="shared" ca="1" si="49"/>
        <v/>
      </c>
      <c r="DC50" s="88" t="str">
        <f t="shared" ca="1" si="49"/>
        <v/>
      </c>
      <c r="DD50" s="88" t="str">
        <f t="shared" ca="1" si="49"/>
        <v/>
      </c>
      <c r="DE50" s="88" t="str">
        <f t="shared" ca="1" si="49"/>
        <v/>
      </c>
      <c r="DF50" s="88" t="str">
        <f t="shared" ca="1" si="49"/>
        <v/>
      </c>
      <c r="DG50" s="88" t="str">
        <f t="shared" ca="1" si="49"/>
        <v/>
      </c>
      <c r="DH50" s="88" t="str">
        <f t="shared" ca="1" si="49"/>
        <v/>
      </c>
      <c r="DI50" s="88" t="str">
        <f t="shared" ca="1" si="50"/>
        <v/>
      </c>
      <c r="DJ50" s="88" t="str">
        <f t="shared" ca="1" si="50"/>
        <v/>
      </c>
      <c r="DK50" s="88" t="str">
        <f t="shared" ca="1" si="50"/>
        <v/>
      </c>
      <c r="DL50" s="88" t="str">
        <f t="shared" ca="1" si="50"/>
        <v/>
      </c>
      <c r="DM50" s="88" t="str">
        <f t="shared" ca="1" si="50"/>
        <v/>
      </c>
      <c r="DN50" s="88" t="str">
        <f t="shared" ca="1" si="50"/>
        <v/>
      </c>
      <c r="DO50" s="88" t="str">
        <f t="shared" ca="1" si="50"/>
        <v/>
      </c>
      <c r="DP50" s="88" t="str">
        <f t="shared" ca="1" si="50"/>
        <v/>
      </c>
      <c r="DQ50" s="88" t="str">
        <f t="shared" ca="1" si="50"/>
        <v/>
      </c>
      <c r="DR50" s="88" t="str">
        <f t="shared" ca="1" si="50"/>
        <v/>
      </c>
      <c r="DS50" s="88" t="str">
        <f t="shared" ca="1" si="50"/>
        <v/>
      </c>
      <c r="DT50" s="88" t="str">
        <f t="shared" ca="1" si="50"/>
        <v/>
      </c>
      <c r="DU50" s="88" t="str">
        <f t="shared" ca="1" si="50"/>
        <v/>
      </c>
      <c r="DV50" s="88" t="str">
        <f t="shared" ca="1" si="50"/>
        <v/>
      </c>
      <c r="DW50" s="88" t="str">
        <f t="shared" ca="1" si="50"/>
        <v/>
      </c>
      <c r="DX50" s="88" t="str">
        <f t="shared" ca="1" si="50"/>
        <v/>
      </c>
      <c r="DY50" s="88" t="str">
        <f t="shared" ca="1" si="47"/>
        <v/>
      </c>
      <c r="DZ50" s="88" t="str">
        <f t="shared" ca="1" si="47"/>
        <v/>
      </c>
      <c r="EA50" s="88" t="str">
        <f t="shared" ca="1" si="47"/>
        <v/>
      </c>
      <c r="EB50" s="88" t="str">
        <f t="shared" ca="1" si="47"/>
        <v/>
      </c>
      <c r="EC50" s="88" t="str">
        <f t="shared" ca="1" si="47"/>
        <v/>
      </c>
      <c r="ED50" s="88" t="str">
        <f t="shared" ca="1" si="47"/>
        <v/>
      </c>
      <c r="EE50" s="88" t="str">
        <f t="shared" ca="1" si="47"/>
        <v/>
      </c>
      <c r="EF50" s="88" t="str">
        <f t="shared" ca="1" si="47"/>
        <v/>
      </c>
      <c r="EG50" s="88" t="str">
        <f t="shared" ca="1" si="47"/>
        <v/>
      </c>
      <c r="EH50" s="88" t="str">
        <f t="shared" ca="1" si="47"/>
        <v/>
      </c>
      <c r="EI50" s="88" t="str">
        <f t="shared" ca="1" si="47"/>
        <v/>
      </c>
      <c r="EJ50" s="9" t="str">
        <f t="shared" ca="1" si="47"/>
        <v/>
      </c>
      <c r="EK50" s="9" t="str">
        <f t="shared" ca="1" si="47"/>
        <v/>
      </c>
      <c r="EL50" s="9" t="str">
        <f t="shared" ca="1" si="47"/>
        <v/>
      </c>
      <c r="EM50" s="9" t="str">
        <f t="shared" ca="1" si="47"/>
        <v/>
      </c>
      <c r="EN50" s="9" t="str">
        <f t="shared" ca="1" si="51"/>
        <v/>
      </c>
      <c r="EO50" s="9" t="str">
        <f t="shared" ca="1" si="51"/>
        <v/>
      </c>
      <c r="EP50" s="9" t="str">
        <f t="shared" ca="1" si="51"/>
        <v/>
      </c>
      <c r="EQ50" s="9" t="str">
        <f t="shared" ca="1" si="51"/>
        <v/>
      </c>
      <c r="ER50" s="9" t="str">
        <f t="shared" ca="1" si="51"/>
        <v/>
      </c>
      <c r="ES50" s="9" t="str">
        <f t="shared" ca="1" si="51"/>
        <v/>
      </c>
      <c r="ET50" s="9" t="str">
        <f t="shared" ca="1" si="51"/>
        <v/>
      </c>
      <c r="EU50" s="9" t="str">
        <f t="shared" ca="1" si="51"/>
        <v/>
      </c>
      <c r="EV50" s="9" t="str">
        <f t="shared" ca="1" si="51"/>
        <v/>
      </c>
      <c r="EW50" s="9" t="str">
        <f t="shared" ca="1" si="51"/>
        <v/>
      </c>
      <c r="EX50" s="9" t="str">
        <f t="shared" ca="1" si="51"/>
        <v/>
      </c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</row>
    <row r="51" spans="2:252" outlineLevel="1">
      <c r="B51" s="72" t="s">
        <v>70</v>
      </c>
      <c r="C51" s="72" t="s">
        <v>71</v>
      </c>
      <c r="D51" s="54" t="s">
        <v>51</v>
      </c>
      <c r="E51" s="55">
        <v>46146</v>
      </c>
      <c r="F51" s="56">
        <f>NETWORKDAYS(E51,G51,Праздники!$A$1:$A$14)</f>
        <v>5</v>
      </c>
      <c r="G51" s="55">
        <v>46150</v>
      </c>
      <c r="H51" s="57">
        <v>1</v>
      </c>
      <c r="I51" s="54" t="s">
        <v>151</v>
      </c>
      <c r="J51" s="58" t="s">
        <v>149</v>
      </c>
      <c r="K51" s="58"/>
      <c r="L51" s="58"/>
      <c r="M51" s="126" t="s">
        <v>231</v>
      </c>
      <c r="N51" s="58"/>
      <c r="O51" s="58"/>
      <c r="P51" s="87" t="str">
        <f t="shared" ca="1" si="45"/>
        <v/>
      </c>
      <c r="Q51" s="88" t="str">
        <f t="shared" ca="1" si="45"/>
        <v/>
      </c>
      <c r="R51" s="88" t="str">
        <f t="shared" ca="1" si="45"/>
        <v/>
      </c>
      <c r="S51" s="88" t="str">
        <f t="shared" ca="1" si="45"/>
        <v/>
      </c>
      <c r="T51" s="88" t="str">
        <f t="shared" ca="1" si="45"/>
        <v/>
      </c>
      <c r="U51" s="88" t="str">
        <f t="shared" ca="1" si="45"/>
        <v/>
      </c>
      <c r="V51" s="88" t="str">
        <f t="shared" ca="1" si="45"/>
        <v/>
      </c>
      <c r="W51" s="88" t="str">
        <f t="shared" ca="1" si="45"/>
        <v/>
      </c>
      <c r="X51" s="88" t="str">
        <f t="shared" ca="1" si="45"/>
        <v/>
      </c>
      <c r="Y51" s="88" t="str">
        <f t="shared" ca="1" si="45"/>
        <v/>
      </c>
      <c r="Z51" s="88" t="str">
        <f t="shared" ca="1" si="45"/>
        <v/>
      </c>
      <c r="AA51" s="88" t="str">
        <f t="shared" ca="1" si="45"/>
        <v/>
      </c>
      <c r="AB51" s="88" t="str">
        <f t="shared" ca="1" si="45"/>
        <v/>
      </c>
      <c r="AC51" s="88" t="str">
        <f t="shared" ca="1" si="45"/>
        <v/>
      </c>
      <c r="AD51" s="88" t="str">
        <f t="shared" ca="1" si="45"/>
        <v/>
      </c>
      <c r="AE51" s="88" t="str">
        <f ca="1">IF(AE$8=TODAY(),CHAR(124),"")</f>
        <v/>
      </c>
      <c r="AF51" s="88" t="str">
        <f t="shared" ca="1" si="52"/>
        <v/>
      </c>
      <c r="AG51" s="88" t="str">
        <f t="shared" ca="1" si="52"/>
        <v/>
      </c>
      <c r="AH51" s="88" t="str">
        <f t="shared" ca="1" si="52"/>
        <v/>
      </c>
      <c r="AI51" s="88" t="str">
        <f t="shared" ca="1" si="52"/>
        <v/>
      </c>
      <c r="AJ51" s="88" t="str">
        <f t="shared" ca="1" si="52"/>
        <v/>
      </c>
      <c r="AK51" s="88" t="str">
        <f t="shared" ca="1" si="52"/>
        <v/>
      </c>
      <c r="AL51" s="88" t="str">
        <f t="shared" ca="1" si="52"/>
        <v/>
      </c>
      <c r="AM51" s="88" t="str">
        <f t="shared" ca="1" si="52"/>
        <v/>
      </c>
      <c r="AN51" s="88" t="str">
        <f t="shared" ca="1" si="52"/>
        <v/>
      </c>
      <c r="AO51" s="88" t="str">
        <f t="shared" ca="1" si="52"/>
        <v/>
      </c>
      <c r="AP51" s="88" t="str">
        <f t="shared" ca="1" si="52"/>
        <v/>
      </c>
      <c r="AQ51" s="88" t="str">
        <f t="shared" ca="1" si="52"/>
        <v/>
      </c>
      <c r="AR51" s="88" t="str">
        <f t="shared" ca="1" si="52"/>
        <v/>
      </c>
      <c r="AS51" s="88" t="str">
        <f t="shared" ca="1" si="52"/>
        <v/>
      </c>
      <c r="AT51" s="88" t="str">
        <f t="shared" ca="1" si="52"/>
        <v/>
      </c>
      <c r="AU51" s="88" t="str">
        <f t="shared" ca="1" si="52"/>
        <v/>
      </c>
      <c r="AV51" s="88" t="str">
        <f t="shared" ca="1" si="53"/>
        <v/>
      </c>
      <c r="AW51" s="88" t="str">
        <f t="shared" ca="1" si="53"/>
        <v/>
      </c>
      <c r="AX51" s="88" t="str">
        <f t="shared" ca="1" si="53"/>
        <v/>
      </c>
      <c r="AY51" s="88" t="str">
        <f t="shared" ca="1" si="53"/>
        <v/>
      </c>
      <c r="AZ51" s="88" t="str">
        <f t="shared" ca="1" si="53"/>
        <v/>
      </c>
      <c r="BA51" s="88" t="str">
        <f t="shared" ca="1" si="53"/>
        <v/>
      </c>
      <c r="BB51" s="88" t="str">
        <f t="shared" ca="1" si="53"/>
        <v/>
      </c>
      <c r="BC51" s="88" t="str">
        <f t="shared" ca="1" si="53"/>
        <v/>
      </c>
      <c r="BD51" s="88" t="str">
        <f t="shared" ca="1" si="53"/>
        <v/>
      </c>
      <c r="BE51" s="88" t="str">
        <f t="shared" ca="1" si="53"/>
        <v/>
      </c>
      <c r="BF51" s="88" t="str">
        <f t="shared" ca="1" si="53"/>
        <v/>
      </c>
      <c r="BG51" s="88" t="str">
        <f t="shared" ca="1" si="53"/>
        <v/>
      </c>
      <c r="BH51" s="88" t="str">
        <f t="shared" ca="1" si="53"/>
        <v/>
      </c>
      <c r="BI51" s="88" t="str">
        <f t="shared" ca="1" si="53"/>
        <v/>
      </c>
      <c r="BJ51" s="88" t="str">
        <f t="shared" ca="1" si="53"/>
        <v/>
      </c>
      <c r="BK51" s="88" t="str">
        <f t="shared" ca="1" si="53"/>
        <v/>
      </c>
      <c r="BL51" s="88" t="str">
        <f t="shared" ca="1" si="54"/>
        <v/>
      </c>
      <c r="BM51" s="88" t="str">
        <f t="shared" ca="1" si="54"/>
        <v/>
      </c>
      <c r="BN51" s="88" t="str">
        <f t="shared" ca="1" si="54"/>
        <v/>
      </c>
      <c r="BO51" s="88" t="str">
        <f t="shared" ca="1" si="54"/>
        <v/>
      </c>
      <c r="BP51" s="88" t="str">
        <f t="shared" ca="1" si="54"/>
        <v/>
      </c>
      <c r="BQ51" s="88" t="str">
        <f t="shared" ca="1" si="54"/>
        <v/>
      </c>
      <c r="BR51" s="88" t="str">
        <f t="shared" ca="1" si="54"/>
        <v/>
      </c>
      <c r="BS51" s="88" t="str">
        <f t="shared" ca="1" si="54"/>
        <v/>
      </c>
      <c r="BT51" s="88" t="str">
        <f t="shared" ca="1" si="54"/>
        <v/>
      </c>
      <c r="BU51" s="88" t="str">
        <f t="shared" ca="1" si="54"/>
        <v/>
      </c>
      <c r="BV51" s="88" t="str">
        <f t="shared" ca="1" si="54"/>
        <v/>
      </c>
      <c r="BW51" s="88" t="str">
        <f t="shared" ca="1" si="54"/>
        <v/>
      </c>
      <c r="BX51" s="88" t="str">
        <f t="shared" ca="1" si="54"/>
        <v/>
      </c>
      <c r="BY51" s="88" t="str">
        <f t="shared" ca="1" si="54"/>
        <v/>
      </c>
      <c r="BZ51" s="88" t="str">
        <f t="shared" ca="1" si="54"/>
        <v/>
      </c>
      <c r="CA51" s="88" t="str">
        <f t="shared" ca="1" si="54"/>
        <v/>
      </c>
      <c r="CB51" s="88" t="str">
        <f t="shared" ca="1" si="48"/>
        <v/>
      </c>
      <c r="CC51" s="88" t="str">
        <f t="shared" ca="1" si="48"/>
        <v/>
      </c>
      <c r="CD51" s="88" t="str">
        <f t="shared" ca="1" si="48"/>
        <v/>
      </c>
      <c r="CE51" s="88" t="str">
        <f t="shared" ca="1" si="48"/>
        <v/>
      </c>
      <c r="CF51" s="88" t="str">
        <f t="shared" ca="1" si="48"/>
        <v/>
      </c>
      <c r="CG51" s="88" t="str">
        <f t="shared" ca="1" si="48"/>
        <v/>
      </c>
      <c r="CH51" s="88" t="str">
        <f t="shared" ca="1" si="48"/>
        <v/>
      </c>
      <c r="CI51" s="88" t="str">
        <f t="shared" ca="1" si="48"/>
        <v/>
      </c>
      <c r="CJ51" s="88" t="str">
        <f t="shared" ca="1" si="48"/>
        <v/>
      </c>
      <c r="CK51" s="88" t="str">
        <f t="shared" ca="1" si="48"/>
        <v/>
      </c>
      <c r="CL51" s="88" t="str">
        <f t="shared" ca="1" si="48"/>
        <v/>
      </c>
      <c r="CM51" s="88" t="str">
        <f t="shared" ca="1" si="48"/>
        <v/>
      </c>
      <c r="CN51" s="88" t="str">
        <f t="shared" ca="1" si="48"/>
        <v/>
      </c>
      <c r="CO51" s="88" t="str">
        <f t="shared" ca="1" si="48"/>
        <v/>
      </c>
      <c r="CP51" s="88" t="str">
        <f t="shared" ca="1" si="48"/>
        <v/>
      </c>
      <c r="CQ51" s="88" t="str">
        <f t="shared" ca="1" si="48"/>
        <v/>
      </c>
      <c r="CR51" s="88" t="str">
        <f t="shared" ca="1" si="49"/>
        <v/>
      </c>
      <c r="CS51" s="88" t="str">
        <f t="shared" ca="1" si="49"/>
        <v/>
      </c>
      <c r="CT51" s="88" t="str">
        <f t="shared" ca="1" si="49"/>
        <v/>
      </c>
      <c r="CU51" s="88" t="str">
        <f t="shared" ca="1" si="49"/>
        <v/>
      </c>
      <c r="CV51" s="88" t="str">
        <f t="shared" ca="1" si="49"/>
        <v/>
      </c>
      <c r="CW51" s="88" t="str">
        <f t="shared" ca="1" si="49"/>
        <v/>
      </c>
      <c r="CX51" s="88" t="str">
        <f t="shared" ca="1" si="49"/>
        <v/>
      </c>
      <c r="CY51" s="88" t="str">
        <f t="shared" ca="1" si="49"/>
        <v/>
      </c>
      <c r="CZ51" s="88" t="str">
        <f t="shared" ca="1" si="49"/>
        <v/>
      </c>
      <c r="DA51" s="88" t="str">
        <f t="shared" ca="1" si="49"/>
        <v/>
      </c>
      <c r="DB51" s="88" t="str">
        <f t="shared" ca="1" si="49"/>
        <v/>
      </c>
      <c r="DC51" s="88" t="str">
        <f t="shared" ca="1" si="49"/>
        <v/>
      </c>
      <c r="DD51" s="88" t="str">
        <f t="shared" ca="1" si="49"/>
        <v/>
      </c>
      <c r="DE51" s="88" t="str">
        <f t="shared" ca="1" si="49"/>
        <v/>
      </c>
      <c r="DF51" s="88" t="str">
        <f t="shared" ca="1" si="49"/>
        <v/>
      </c>
      <c r="DG51" s="88" t="str">
        <f t="shared" ca="1" si="49"/>
        <v/>
      </c>
      <c r="DH51" s="88" t="str">
        <f t="shared" ca="1" si="49"/>
        <v/>
      </c>
      <c r="DI51" s="88" t="str">
        <f t="shared" ca="1" si="50"/>
        <v/>
      </c>
      <c r="DJ51" s="88" t="str">
        <f t="shared" ca="1" si="50"/>
        <v/>
      </c>
      <c r="DK51" s="88" t="str">
        <f t="shared" ca="1" si="50"/>
        <v/>
      </c>
      <c r="DL51" s="88" t="str">
        <f t="shared" ca="1" si="50"/>
        <v/>
      </c>
      <c r="DM51" s="88" t="str">
        <f t="shared" ca="1" si="50"/>
        <v/>
      </c>
      <c r="DN51" s="88" t="str">
        <f t="shared" ca="1" si="50"/>
        <v/>
      </c>
      <c r="DO51" s="88" t="str">
        <f t="shared" ca="1" si="50"/>
        <v/>
      </c>
      <c r="DP51" s="88" t="str">
        <f t="shared" ca="1" si="50"/>
        <v/>
      </c>
      <c r="DQ51" s="88" t="str">
        <f t="shared" ca="1" si="50"/>
        <v/>
      </c>
      <c r="DR51" s="88" t="str">
        <f t="shared" ca="1" si="50"/>
        <v/>
      </c>
      <c r="DS51" s="88" t="str">
        <f t="shared" ca="1" si="50"/>
        <v/>
      </c>
      <c r="DT51" s="88" t="str">
        <f t="shared" ca="1" si="50"/>
        <v/>
      </c>
      <c r="DU51" s="88" t="str">
        <f t="shared" ca="1" si="50"/>
        <v/>
      </c>
      <c r="DV51" s="88" t="str">
        <f t="shared" ca="1" si="50"/>
        <v/>
      </c>
      <c r="DW51" s="88" t="str">
        <f t="shared" ca="1" si="50"/>
        <v/>
      </c>
      <c r="DX51" s="88" t="str">
        <f t="shared" ca="1" si="50"/>
        <v/>
      </c>
      <c r="DY51" s="88" t="str">
        <f t="shared" ca="1" si="47"/>
        <v/>
      </c>
      <c r="DZ51" s="88" t="str">
        <f t="shared" ca="1" si="47"/>
        <v/>
      </c>
      <c r="EA51" s="88" t="str">
        <f t="shared" ca="1" si="47"/>
        <v/>
      </c>
      <c r="EB51" s="88" t="str">
        <f t="shared" ca="1" si="47"/>
        <v/>
      </c>
      <c r="EC51" s="88" t="str">
        <f t="shared" ca="1" si="47"/>
        <v/>
      </c>
      <c r="ED51" s="88" t="str">
        <f t="shared" ca="1" si="47"/>
        <v/>
      </c>
      <c r="EE51" s="88" t="str">
        <f t="shared" ca="1" si="47"/>
        <v/>
      </c>
      <c r="EF51" s="88" t="str">
        <f t="shared" ca="1" si="47"/>
        <v/>
      </c>
      <c r="EG51" s="88" t="str">
        <f t="shared" ca="1" si="47"/>
        <v/>
      </c>
      <c r="EH51" s="88" t="str">
        <f t="shared" ca="1" si="47"/>
        <v/>
      </c>
      <c r="EI51" s="88" t="str">
        <f t="shared" ca="1" si="47"/>
        <v/>
      </c>
      <c r="EJ51" s="9" t="str">
        <f t="shared" ca="1" si="47"/>
        <v/>
      </c>
      <c r="EK51" s="9" t="str">
        <f t="shared" ca="1" si="47"/>
        <v/>
      </c>
      <c r="EL51" s="9" t="str">
        <f t="shared" ca="1" si="47"/>
        <v/>
      </c>
      <c r="EM51" s="9" t="str">
        <f t="shared" ca="1" si="47"/>
        <v/>
      </c>
      <c r="EN51" s="9" t="str">
        <f t="shared" ca="1" si="51"/>
        <v/>
      </c>
      <c r="EO51" s="9" t="str">
        <f t="shared" ca="1" si="51"/>
        <v/>
      </c>
      <c r="EP51" s="9" t="str">
        <f t="shared" ca="1" si="51"/>
        <v/>
      </c>
      <c r="EQ51" s="9" t="str">
        <f t="shared" ca="1" si="51"/>
        <v/>
      </c>
      <c r="ER51" s="9" t="str">
        <f t="shared" ca="1" si="51"/>
        <v/>
      </c>
      <c r="ES51" s="9" t="str">
        <f t="shared" ca="1" si="51"/>
        <v/>
      </c>
      <c r="ET51" s="9" t="str">
        <f t="shared" ca="1" si="51"/>
        <v/>
      </c>
      <c r="EU51" s="9" t="str">
        <f t="shared" ca="1" si="51"/>
        <v/>
      </c>
      <c r="EV51" s="9" t="str">
        <f t="shared" ca="1" si="51"/>
        <v/>
      </c>
      <c r="EW51" s="9" t="str">
        <f t="shared" ca="1" si="51"/>
        <v/>
      </c>
      <c r="EX51" s="9" t="str">
        <f t="shared" ca="1" si="51"/>
        <v/>
      </c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</row>
    <row r="52" spans="2:252" outlineLevel="1">
      <c r="B52" s="92" t="s">
        <v>72</v>
      </c>
      <c r="C52" s="92" t="s">
        <v>73</v>
      </c>
      <c r="D52" s="93" t="s">
        <v>51</v>
      </c>
      <c r="E52" s="25">
        <v>46167</v>
      </c>
      <c r="F52" s="24">
        <f>NETWORKDAYS(E52,G52,Праздники!$A$1:$A$14)</f>
        <v>74</v>
      </c>
      <c r="G52" s="25">
        <v>46269</v>
      </c>
      <c r="H52" s="26">
        <v>0.8</v>
      </c>
      <c r="I52" s="93" t="s">
        <v>151</v>
      </c>
      <c r="J52" s="93" t="s">
        <v>149</v>
      </c>
      <c r="K52" s="37"/>
      <c r="L52" s="37"/>
      <c r="M52" s="126" t="s">
        <v>231</v>
      </c>
      <c r="N52" s="37"/>
      <c r="O52" s="37"/>
      <c r="P52" s="87" t="str">
        <f t="shared" ref="P52:AE78" ca="1" si="55">IF(P$8=TODAY(),CHAR(124),"")</f>
        <v/>
      </c>
      <c r="Q52" s="88" t="str">
        <f t="shared" ca="1" si="55"/>
        <v/>
      </c>
      <c r="R52" s="88" t="str">
        <f t="shared" ca="1" si="55"/>
        <v/>
      </c>
      <c r="S52" s="88" t="str">
        <f t="shared" ca="1" si="55"/>
        <v/>
      </c>
      <c r="T52" s="88" t="str">
        <f t="shared" ca="1" si="55"/>
        <v/>
      </c>
      <c r="U52" s="88" t="str">
        <f t="shared" ca="1" si="55"/>
        <v/>
      </c>
      <c r="V52" s="88" t="str">
        <f t="shared" ca="1" si="55"/>
        <v/>
      </c>
      <c r="W52" s="88" t="str">
        <f t="shared" ca="1" si="55"/>
        <v/>
      </c>
      <c r="X52" s="88" t="str">
        <f t="shared" ca="1" si="55"/>
        <v/>
      </c>
      <c r="Y52" s="88" t="str">
        <f t="shared" ca="1" si="55"/>
        <v/>
      </c>
      <c r="Z52" s="88" t="str">
        <f t="shared" ca="1" si="55"/>
        <v/>
      </c>
      <c r="AA52" s="88" t="str">
        <f t="shared" ca="1" si="55"/>
        <v/>
      </c>
      <c r="AB52" s="88" t="str">
        <f t="shared" ca="1" si="55"/>
        <v/>
      </c>
      <c r="AC52" s="88" t="str">
        <f t="shared" ca="1" si="55"/>
        <v/>
      </c>
      <c r="AD52" s="88" t="str">
        <f t="shared" ca="1" si="55"/>
        <v/>
      </c>
      <c r="AE52" s="88" t="str">
        <f ca="1">IF(AE$8=TODAY(),CHAR(124),"")</f>
        <v/>
      </c>
      <c r="AF52" s="88" t="str">
        <f t="shared" ca="1" si="52"/>
        <v/>
      </c>
      <c r="AG52" s="88" t="str">
        <f t="shared" ca="1" si="52"/>
        <v/>
      </c>
      <c r="AH52" s="88" t="str">
        <f t="shared" ca="1" si="52"/>
        <v/>
      </c>
      <c r="AI52" s="88" t="str">
        <f t="shared" ca="1" si="52"/>
        <v/>
      </c>
      <c r="AJ52" s="88" t="str">
        <f t="shared" ca="1" si="52"/>
        <v/>
      </c>
      <c r="AK52" s="88" t="str">
        <f t="shared" ca="1" si="52"/>
        <v/>
      </c>
      <c r="AL52" s="88" t="str">
        <f t="shared" ca="1" si="52"/>
        <v/>
      </c>
      <c r="AM52" s="88" t="str">
        <f t="shared" ca="1" si="52"/>
        <v/>
      </c>
      <c r="AN52" s="88" t="str">
        <f t="shared" ca="1" si="52"/>
        <v/>
      </c>
      <c r="AO52" s="88" t="str">
        <f t="shared" ca="1" si="52"/>
        <v/>
      </c>
      <c r="AP52" s="88" t="str">
        <f t="shared" ca="1" si="52"/>
        <v/>
      </c>
      <c r="AQ52" s="88" t="str">
        <f t="shared" ca="1" si="52"/>
        <v/>
      </c>
      <c r="AR52" s="88" t="str">
        <f t="shared" ca="1" si="52"/>
        <v/>
      </c>
      <c r="AS52" s="88" t="str">
        <f t="shared" ca="1" si="52"/>
        <v/>
      </c>
      <c r="AT52" s="88" t="str">
        <f t="shared" ca="1" si="52"/>
        <v/>
      </c>
      <c r="AU52" s="88" t="str">
        <f t="shared" ca="1" si="52"/>
        <v/>
      </c>
      <c r="AV52" s="88" t="str">
        <f t="shared" ca="1" si="53"/>
        <v/>
      </c>
      <c r="AW52" s="88" t="str">
        <f t="shared" ca="1" si="53"/>
        <v/>
      </c>
      <c r="AX52" s="88" t="str">
        <f t="shared" ca="1" si="53"/>
        <v/>
      </c>
      <c r="AY52" s="88" t="str">
        <f t="shared" ca="1" si="53"/>
        <v/>
      </c>
      <c r="AZ52" s="88" t="str">
        <f t="shared" ca="1" si="53"/>
        <v/>
      </c>
      <c r="BA52" s="88" t="str">
        <f t="shared" ca="1" si="53"/>
        <v/>
      </c>
      <c r="BB52" s="88" t="str">
        <f t="shared" ca="1" si="53"/>
        <v/>
      </c>
      <c r="BC52" s="88" t="str">
        <f t="shared" ca="1" si="53"/>
        <v/>
      </c>
      <c r="BD52" s="88" t="str">
        <f t="shared" ca="1" si="53"/>
        <v/>
      </c>
      <c r="BE52" s="88" t="str">
        <f t="shared" ca="1" si="53"/>
        <v/>
      </c>
      <c r="BF52" s="88" t="str">
        <f t="shared" ca="1" si="53"/>
        <v/>
      </c>
      <c r="BG52" s="88" t="str">
        <f t="shared" ca="1" si="53"/>
        <v/>
      </c>
      <c r="BH52" s="88" t="str">
        <f t="shared" ca="1" si="53"/>
        <v/>
      </c>
      <c r="BI52" s="88" t="str">
        <f t="shared" ca="1" si="53"/>
        <v/>
      </c>
      <c r="BJ52" s="88" t="str">
        <f t="shared" ca="1" si="53"/>
        <v/>
      </c>
      <c r="BK52" s="88" t="str">
        <f t="shared" ca="1" si="53"/>
        <v/>
      </c>
      <c r="BL52" s="88" t="str">
        <f t="shared" ca="1" si="54"/>
        <v/>
      </c>
      <c r="BM52" s="88" t="str">
        <f t="shared" ca="1" si="54"/>
        <v/>
      </c>
      <c r="BN52" s="88" t="str">
        <f t="shared" ca="1" si="54"/>
        <v/>
      </c>
      <c r="BO52" s="88" t="str">
        <f t="shared" ca="1" si="54"/>
        <v/>
      </c>
      <c r="BP52" s="88" t="str">
        <f t="shared" ca="1" si="54"/>
        <v/>
      </c>
      <c r="BQ52" s="88" t="str">
        <f t="shared" ca="1" si="54"/>
        <v/>
      </c>
      <c r="BR52" s="88" t="str">
        <f t="shared" ca="1" si="54"/>
        <v/>
      </c>
      <c r="BS52" s="88" t="str">
        <f t="shared" ca="1" si="54"/>
        <v/>
      </c>
      <c r="BT52" s="88" t="str">
        <f t="shared" ca="1" si="54"/>
        <v/>
      </c>
      <c r="BU52" s="88" t="str">
        <f t="shared" ca="1" si="54"/>
        <v/>
      </c>
      <c r="BV52" s="88" t="str">
        <f t="shared" ca="1" si="54"/>
        <v/>
      </c>
      <c r="BW52" s="88" t="str">
        <f t="shared" ca="1" si="54"/>
        <v/>
      </c>
      <c r="BX52" s="88" t="str">
        <f t="shared" ca="1" si="54"/>
        <v/>
      </c>
      <c r="BY52" s="88" t="str">
        <f t="shared" ca="1" si="54"/>
        <v/>
      </c>
      <c r="BZ52" s="88" t="str">
        <f t="shared" ca="1" si="54"/>
        <v/>
      </c>
      <c r="CA52" s="88" t="str">
        <f t="shared" ca="1" si="54"/>
        <v/>
      </c>
      <c r="CB52" s="88" t="str">
        <f t="shared" ca="1" si="48"/>
        <v/>
      </c>
      <c r="CC52" s="88" t="str">
        <f t="shared" ca="1" si="48"/>
        <v/>
      </c>
      <c r="CD52" s="88" t="str">
        <f t="shared" ca="1" si="48"/>
        <v/>
      </c>
      <c r="CE52" s="88" t="str">
        <f t="shared" ca="1" si="48"/>
        <v/>
      </c>
      <c r="CF52" s="88" t="str">
        <f t="shared" ca="1" si="48"/>
        <v/>
      </c>
      <c r="CG52" s="88" t="str">
        <f t="shared" ca="1" si="48"/>
        <v/>
      </c>
      <c r="CH52" s="88" t="str">
        <f t="shared" ca="1" si="48"/>
        <v/>
      </c>
      <c r="CI52" s="88" t="str">
        <f t="shared" ca="1" si="48"/>
        <v/>
      </c>
      <c r="CJ52" s="88" t="str">
        <f t="shared" ca="1" si="48"/>
        <v/>
      </c>
      <c r="CK52" s="88" t="str">
        <f t="shared" ca="1" si="48"/>
        <v/>
      </c>
      <c r="CL52" s="88" t="str">
        <f t="shared" ca="1" si="48"/>
        <v/>
      </c>
      <c r="CM52" s="88" t="str">
        <f t="shared" ca="1" si="48"/>
        <v/>
      </c>
      <c r="CN52" s="88" t="str">
        <f t="shared" ca="1" si="48"/>
        <v/>
      </c>
      <c r="CO52" s="88" t="str">
        <f t="shared" ca="1" si="48"/>
        <v/>
      </c>
      <c r="CP52" s="88" t="str">
        <f t="shared" ca="1" si="48"/>
        <v/>
      </c>
      <c r="CQ52" s="88" t="str">
        <f t="shared" ca="1" si="48"/>
        <v/>
      </c>
      <c r="CR52" s="88" t="str">
        <f t="shared" ca="1" si="49"/>
        <v/>
      </c>
      <c r="CS52" s="88" t="str">
        <f t="shared" ca="1" si="49"/>
        <v/>
      </c>
      <c r="CT52" s="88" t="str">
        <f t="shared" ca="1" si="49"/>
        <v/>
      </c>
      <c r="CU52" s="88" t="str">
        <f t="shared" ca="1" si="49"/>
        <v/>
      </c>
      <c r="CV52" s="88" t="str">
        <f t="shared" ca="1" si="49"/>
        <v/>
      </c>
      <c r="CW52" s="88" t="str">
        <f t="shared" ca="1" si="49"/>
        <v/>
      </c>
      <c r="CX52" s="88" t="str">
        <f t="shared" ca="1" si="49"/>
        <v/>
      </c>
      <c r="CY52" s="88" t="str">
        <f t="shared" ca="1" si="49"/>
        <v/>
      </c>
      <c r="CZ52" s="88" t="str">
        <f t="shared" ca="1" si="49"/>
        <v/>
      </c>
      <c r="DA52" s="88" t="str">
        <f t="shared" ca="1" si="49"/>
        <v/>
      </c>
      <c r="DB52" s="88" t="str">
        <f t="shared" ca="1" si="49"/>
        <v/>
      </c>
      <c r="DC52" s="88" t="str">
        <f t="shared" ca="1" si="49"/>
        <v/>
      </c>
      <c r="DD52" s="88" t="str">
        <f t="shared" ca="1" si="49"/>
        <v/>
      </c>
      <c r="DE52" s="88" t="str">
        <f t="shared" ca="1" si="49"/>
        <v/>
      </c>
      <c r="DF52" s="88" t="str">
        <f t="shared" ca="1" si="49"/>
        <v/>
      </c>
      <c r="DG52" s="88" t="str">
        <f t="shared" ca="1" si="49"/>
        <v/>
      </c>
      <c r="DH52" s="88" t="str">
        <f t="shared" ca="1" si="49"/>
        <v/>
      </c>
      <c r="DI52" s="88" t="str">
        <f t="shared" ca="1" si="50"/>
        <v/>
      </c>
      <c r="DJ52" s="88" t="str">
        <f t="shared" ca="1" si="50"/>
        <v/>
      </c>
      <c r="DK52" s="88" t="str">
        <f t="shared" ca="1" si="50"/>
        <v/>
      </c>
      <c r="DL52" s="88" t="str">
        <f t="shared" ca="1" si="50"/>
        <v/>
      </c>
      <c r="DM52" s="88" t="str">
        <f t="shared" ca="1" si="50"/>
        <v/>
      </c>
      <c r="DN52" s="88" t="str">
        <f t="shared" ca="1" si="50"/>
        <v/>
      </c>
      <c r="DO52" s="88" t="str">
        <f t="shared" ca="1" si="50"/>
        <v/>
      </c>
      <c r="DP52" s="88" t="str">
        <f t="shared" ca="1" si="50"/>
        <v/>
      </c>
      <c r="DQ52" s="88" t="str">
        <f t="shared" ca="1" si="50"/>
        <v/>
      </c>
      <c r="DR52" s="88" t="str">
        <f t="shared" ca="1" si="50"/>
        <v/>
      </c>
      <c r="DS52" s="88" t="str">
        <f t="shared" ca="1" si="50"/>
        <v/>
      </c>
      <c r="DT52" s="88" t="str">
        <f t="shared" ca="1" si="50"/>
        <v/>
      </c>
      <c r="DU52" s="88" t="str">
        <f t="shared" ca="1" si="50"/>
        <v/>
      </c>
      <c r="DV52" s="88" t="str">
        <f t="shared" ca="1" si="50"/>
        <v/>
      </c>
      <c r="DW52" s="88" t="str">
        <f t="shared" ca="1" si="50"/>
        <v/>
      </c>
      <c r="DX52" s="88" t="str">
        <f t="shared" ca="1" si="50"/>
        <v/>
      </c>
      <c r="DY52" s="88" t="str">
        <f t="shared" ca="1" si="47"/>
        <v/>
      </c>
      <c r="DZ52" s="88" t="str">
        <f t="shared" ca="1" si="47"/>
        <v/>
      </c>
      <c r="EA52" s="88" t="str">
        <f t="shared" ca="1" si="47"/>
        <v/>
      </c>
      <c r="EB52" s="88" t="str">
        <f t="shared" ca="1" si="47"/>
        <v/>
      </c>
      <c r="EC52" s="88" t="str">
        <f t="shared" ca="1" si="47"/>
        <v/>
      </c>
      <c r="ED52" s="88" t="str">
        <f t="shared" ca="1" si="47"/>
        <v/>
      </c>
      <c r="EE52" s="88" t="str">
        <f t="shared" ca="1" si="47"/>
        <v/>
      </c>
      <c r="EF52" s="88" t="str">
        <f t="shared" ca="1" si="47"/>
        <v/>
      </c>
      <c r="EG52" s="88" t="str">
        <f t="shared" ca="1" si="47"/>
        <v/>
      </c>
      <c r="EH52" s="88" t="str">
        <f t="shared" ca="1" si="47"/>
        <v/>
      </c>
      <c r="EI52" s="88" t="str">
        <f t="shared" ca="1" si="47"/>
        <v/>
      </c>
      <c r="EJ52" s="9" t="str">
        <f t="shared" ca="1" si="47"/>
        <v/>
      </c>
      <c r="EK52" s="9" t="str">
        <f t="shared" ca="1" si="47"/>
        <v/>
      </c>
      <c r="EL52" s="9" t="str">
        <f t="shared" ca="1" si="47"/>
        <v/>
      </c>
      <c r="EM52" s="9" t="str">
        <f t="shared" ca="1" si="47"/>
        <v/>
      </c>
      <c r="EN52" s="9" t="str">
        <f t="shared" ca="1" si="51"/>
        <v/>
      </c>
      <c r="EO52" s="9" t="str">
        <f t="shared" ca="1" si="51"/>
        <v/>
      </c>
      <c r="EP52" s="9" t="str">
        <f t="shared" ca="1" si="51"/>
        <v/>
      </c>
      <c r="EQ52" s="9" t="str">
        <f t="shared" ca="1" si="51"/>
        <v/>
      </c>
      <c r="ER52" s="9" t="str">
        <f t="shared" ca="1" si="51"/>
        <v/>
      </c>
      <c r="ES52" s="9" t="str">
        <f t="shared" ca="1" si="51"/>
        <v/>
      </c>
      <c r="ET52" s="9" t="str">
        <f t="shared" ca="1" si="51"/>
        <v/>
      </c>
      <c r="EU52" s="9" t="str">
        <f t="shared" ca="1" si="51"/>
        <v/>
      </c>
      <c r="EV52" s="9" t="str">
        <f t="shared" ca="1" si="51"/>
        <v/>
      </c>
      <c r="EW52" s="9" t="str">
        <f t="shared" ca="1" si="51"/>
        <v/>
      </c>
      <c r="EX52" s="9" t="str">
        <f t="shared" ca="1" si="51"/>
        <v/>
      </c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</row>
    <row r="53" spans="2:252" ht="15.75" outlineLevel="1">
      <c r="B53" s="73" t="s">
        <v>74</v>
      </c>
      <c r="C53" s="135" t="s">
        <v>75</v>
      </c>
      <c r="D53" s="59" t="s">
        <v>51</v>
      </c>
      <c r="E53" s="55">
        <v>46167</v>
      </c>
      <c r="F53" s="56">
        <f>NETWORKDAYS(E53,G53,Праздники!$A$1:$A$14)</f>
        <v>18</v>
      </c>
      <c r="G53" s="55">
        <v>46191</v>
      </c>
      <c r="H53" s="57">
        <v>1</v>
      </c>
      <c r="I53" s="59" t="s">
        <v>151</v>
      </c>
      <c r="J53" s="58" t="s">
        <v>149</v>
      </c>
      <c r="K53" s="58"/>
      <c r="L53" s="58"/>
      <c r="M53" s="126" t="s">
        <v>231</v>
      </c>
      <c r="N53" s="58"/>
      <c r="O53" s="58"/>
      <c r="P53" s="87" t="str">
        <f t="shared" ca="1" si="55"/>
        <v/>
      </c>
      <c r="Q53" s="88" t="str">
        <f t="shared" ca="1" si="55"/>
        <v/>
      </c>
      <c r="R53" s="88" t="str">
        <f t="shared" ca="1" si="55"/>
        <v/>
      </c>
      <c r="S53" s="88" t="str">
        <f t="shared" ca="1" si="55"/>
        <v/>
      </c>
      <c r="T53" s="88" t="str">
        <f t="shared" ca="1" si="55"/>
        <v/>
      </c>
      <c r="U53" s="88" t="str">
        <f t="shared" ca="1" si="55"/>
        <v/>
      </c>
      <c r="V53" s="88" t="str">
        <f t="shared" ca="1" si="55"/>
        <v/>
      </c>
      <c r="W53" s="88" t="str">
        <f t="shared" ca="1" si="55"/>
        <v/>
      </c>
      <c r="X53" s="88" t="str">
        <f t="shared" ca="1" si="55"/>
        <v/>
      </c>
      <c r="Y53" s="88" t="str">
        <f t="shared" ca="1" si="55"/>
        <v/>
      </c>
      <c r="Z53" s="88" t="str">
        <f t="shared" ca="1" si="55"/>
        <v/>
      </c>
      <c r="AA53" s="88" t="str">
        <f t="shared" ca="1" si="55"/>
        <v/>
      </c>
      <c r="AB53" s="88" t="str">
        <f t="shared" ca="1" si="55"/>
        <v/>
      </c>
      <c r="AC53" s="88" t="str">
        <f t="shared" ca="1" si="55"/>
        <v/>
      </c>
      <c r="AD53" s="88" t="str">
        <f t="shared" ca="1" si="55"/>
        <v/>
      </c>
      <c r="AE53" s="88" t="str">
        <f ca="1">IF(AE$8=TODAY(),CHAR(124),"")</f>
        <v/>
      </c>
      <c r="AF53" s="88" t="str">
        <f t="shared" ca="1" si="52"/>
        <v/>
      </c>
      <c r="AG53" s="88" t="str">
        <f t="shared" ca="1" si="52"/>
        <v/>
      </c>
      <c r="AH53" s="88" t="str">
        <f t="shared" ca="1" si="52"/>
        <v/>
      </c>
      <c r="AI53" s="88" t="str">
        <f t="shared" ca="1" si="52"/>
        <v/>
      </c>
      <c r="AJ53" s="88" t="str">
        <f t="shared" ca="1" si="52"/>
        <v/>
      </c>
      <c r="AK53" s="88" t="str">
        <f t="shared" ca="1" si="52"/>
        <v/>
      </c>
      <c r="AL53" s="88" t="str">
        <f t="shared" ca="1" si="52"/>
        <v/>
      </c>
      <c r="AM53" s="88" t="str">
        <f t="shared" ca="1" si="52"/>
        <v/>
      </c>
      <c r="AN53" s="88" t="str">
        <f t="shared" ca="1" si="52"/>
        <v/>
      </c>
      <c r="AO53" s="88" t="str">
        <f t="shared" ca="1" si="52"/>
        <v/>
      </c>
      <c r="AP53" s="88" t="str">
        <f t="shared" ca="1" si="52"/>
        <v/>
      </c>
      <c r="AQ53" s="88" t="str">
        <f t="shared" ca="1" si="52"/>
        <v/>
      </c>
      <c r="AR53" s="88" t="str">
        <f t="shared" ca="1" si="52"/>
        <v/>
      </c>
      <c r="AS53" s="88" t="str">
        <f t="shared" ca="1" si="52"/>
        <v/>
      </c>
      <c r="AT53" s="88" t="str">
        <f t="shared" ca="1" si="52"/>
        <v/>
      </c>
      <c r="AU53" s="88" t="str">
        <f t="shared" ca="1" si="52"/>
        <v/>
      </c>
      <c r="AV53" s="88" t="str">
        <f t="shared" ca="1" si="53"/>
        <v/>
      </c>
      <c r="AW53" s="88" t="str">
        <f t="shared" ca="1" si="53"/>
        <v/>
      </c>
      <c r="AX53" s="88" t="str">
        <f t="shared" ca="1" si="53"/>
        <v/>
      </c>
      <c r="AY53" s="88" t="str">
        <f t="shared" ca="1" si="53"/>
        <v/>
      </c>
      <c r="AZ53" s="88" t="str">
        <f t="shared" ca="1" si="53"/>
        <v/>
      </c>
      <c r="BA53" s="88" t="str">
        <f t="shared" ca="1" si="53"/>
        <v/>
      </c>
      <c r="BB53" s="88" t="str">
        <f t="shared" ca="1" si="53"/>
        <v/>
      </c>
      <c r="BC53" s="88" t="str">
        <f t="shared" ca="1" si="53"/>
        <v/>
      </c>
      <c r="BD53" s="88" t="str">
        <f t="shared" ca="1" si="53"/>
        <v/>
      </c>
      <c r="BE53" s="88" t="str">
        <f t="shared" ca="1" si="53"/>
        <v/>
      </c>
      <c r="BF53" s="88" t="str">
        <f t="shared" ca="1" si="53"/>
        <v/>
      </c>
      <c r="BG53" s="88" t="str">
        <f t="shared" ca="1" si="53"/>
        <v/>
      </c>
      <c r="BH53" s="88" t="str">
        <f t="shared" ca="1" si="53"/>
        <v/>
      </c>
      <c r="BI53" s="88" t="str">
        <f t="shared" ca="1" si="53"/>
        <v/>
      </c>
      <c r="BJ53" s="88" t="str">
        <f t="shared" ca="1" si="53"/>
        <v/>
      </c>
      <c r="BK53" s="88" t="str">
        <f t="shared" ca="1" si="53"/>
        <v/>
      </c>
      <c r="BL53" s="88" t="str">
        <f t="shared" ca="1" si="54"/>
        <v/>
      </c>
      <c r="BM53" s="88" t="str">
        <f t="shared" ca="1" si="54"/>
        <v/>
      </c>
      <c r="BN53" s="88" t="str">
        <f t="shared" ca="1" si="54"/>
        <v/>
      </c>
      <c r="BO53" s="88" t="str">
        <f t="shared" ca="1" si="54"/>
        <v/>
      </c>
      <c r="BP53" s="88" t="str">
        <f t="shared" ca="1" si="54"/>
        <v/>
      </c>
      <c r="BQ53" s="88" t="str">
        <f t="shared" ca="1" si="54"/>
        <v/>
      </c>
      <c r="BR53" s="88" t="str">
        <f t="shared" ca="1" si="54"/>
        <v/>
      </c>
      <c r="BS53" s="88" t="str">
        <f t="shared" ca="1" si="54"/>
        <v/>
      </c>
      <c r="BT53" s="88" t="str">
        <f t="shared" ca="1" si="54"/>
        <v/>
      </c>
      <c r="BU53" s="88" t="str">
        <f t="shared" ca="1" si="54"/>
        <v/>
      </c>
      <c r="BV53" s="88" t="str">
        <f t="shared" ca="1" si="54"/>
        <v/>
      </c>
      <c r="BW53" s="88" t="str">
        <f t="shared" ca="1" si="54"/>
        <v/>
      </c>
      <c r="BX53" s="88" t="str">
        <f t="shared" ca="1" si="54"/>
        <v/>
      </c>
      <c r="BY53" s="88" t="str">
        <f t="shared" ca="1" si="54"/>
        <v/>
      </c>
      <c r="BZ53" s="88" t="str">
        <f t="shared" ca="1" si="54"/>
        <v/>
      </c>
      <c r="CA53" s="88" t="str">
        <f t="shared" ca="1" si="54"/>
        <v/>
      </c>
      <c r="CB53" s="88" t="str">
        <f t="shared" ca="1" si="48"/>
        <v/>
      </c>
      <c r="CC53" s="88" t="str">
        <f t="shared" ca="1" si="48"/>
        <v/>
      </c>
      <c r="CD53" s="88" t="str">
        <f t="shared" ca="1" si="48"/>
        <v/>
      </c>
      <c r="CE53" s="88" t="str">
        <f t="shared" ca="1" si="48"/>
        <v/>
      </c>
      <c r="CF53" s="88" t="str">
        <f t="shared" ca="1" si="48"/>
        <v/>
      </c>
      <c r="CG53" s="88" t="str">
        <f t="shared" ca="1" si="48"/>
        <v/>
      </c>
      <c r="CH53" s="88" t="str">
        <f t="shared" ca="1" si="48"/>
        <v/>
      </c>
      <c r="CI53" s="88" t="str">
        <f t="shared" ca="1" si="48"/>
        <v/>
      </c>
      <c r="CJ53" s="88" t="str">
        <f t="shared" ca="1" si="48"/>
        <v/>
      </c>
      <c r="CK53" s="88" t="str">
        <f t="shared" ca="1" si="48"/>
        <v/>
      </c>
      <c r="CL53" s="88" t="str">
        <f t="shared" ca="1" si="48"/>
        <v/>
      </c>
      <c r="CM53" s="88" t="str">
        <f t="shared" ca="1" si="48"/>
        <v/>
      </c>
      <c r="CN53" s="88" t="str">
        <f t="shared" ca="1" si="48"/>
        <v/>
      </c>
      <c r="CO53" s="88" t="str">
        <f t="shared" ca="1" si="48"/>
        <v/>
      </c>
      <c r="CP53" s="88" t="str">
        <f t="shared" ca="1" si="48"/>
        <v/>
      </c>
      <c r="CQ53" s="88" t="str">
        <f t="shared" ca="1" si="48"/>
        <v/>
      </c>
      <c r="CR53" s="88" t="str">
        <f t="shared" ca="1" si="49"/>
        <v/>
      </c>
      <c r="CS53" s="88" t="str">
        <f t="shared" ca="1" si="49"/>
        <v/>
      </c>
      <c r="CT53" s="88" t="str">
        <f t="shared" ca="1" si="49"/>
        <v/>
      </c>
      <c r="CU53" s="88" t="str">
        <f t="shared" ca="1" si="49"/>
        <v/>
      </c>
      <c r="CV53" s="88" t="str">
        <f t="shared" ca="1" si="49"/>
        <v/>
      </c>
      <c r="CW53" s="88" t="str">
        <f t="shared" ca="1" si="49"/>
        <v/>
      </c>
      <c r="CX53" s="88" t="str">
        <f t="shared" ca="1" si="49"/>
        <v/>
      </c>
      <c r="CY53" s="88" t="str">
        <f t="shared" ca="1" si="49"/>
        <v/>
      </c>
      <c r="CZ53" s="88" t="str">
        <f t="shared" ca="1" si="49"/>
        <v/>
      </c>
      <c r="DA53" s="88" t="str">
        <f t="shared" ca="1" si="49"/>
        <v/>
      </c>
      <c r="DB53" s="88" t="str">
        <f t="shared" ca="1" si="49"/>
        <v/>
      </c>
      <c r="DC53" s="88" t="str">
        <f t="shared" ca="1" si="49"/>
        <v/>
      </c>
      <c r="DD53" s="88" t="str">
        <f t="shared" ca="1" si="49"/>
        <v/>
      </c>
      <c r="DE53" s="88" t="str">
        <f t="shared" ca="1" si="49"/>
        <v/>
      </c>
      <c r="DF53" s="88" t="str">
        <f t="shared" ca="1" si="49"/>
        <v/>
      </c>
      <c r="DG53" s="88" t="str">
        <f t="shared" ca="1" si="49"/>
        <v/>
      </c>
      <c r="DH53" s="88" t="str">
        <f t="shared" ca="1" si="49"/>
        <v/>
      </c>
      <c r="DI53" s="88" t="str">
        <f t="shared" ca="1" si="50"/>
        <v/>
      </c>
      <c r="DJ53" s="88" t="str">
        <f t="shared" ca="1" si="50"/>
        <v/>
      </c>
      <c r="DK53" s="88" t="str">
        <f t="shared" ca="1" si="50"/>
        <v/>
      </c>
      <c r="DL53" s="88" t="str">
        <f t="shared" ca="1" si="50"/>
        <v/>
      </c>
      <c r="DM53" s="88" t="str">
        <f t="shared" ca="1" si="50"/>
        <v/>
      </c>
      <c r="DN53" s="88" t="str">
        <f t="shared" ca="1" si="50"/>
        <v/>
      </c>
      <c r="DO53" s="88" t="str">
        <f t="shared" ca="1" si="50"/>
        <v/>
      </c>
      <c r="DP53" s="88" t="str">
        <f t="shared" ca="1" si="50"/>
        <v/>
      </c>
      <c r="DQ53" s="88" t="str">
        <f t="shared" ca="1" si="50"/>
        <v/>
      </c>
      <c r="DR53" s="88" t="str">
        <f t="shared" ca="1" si="50"/>
        <v/>
      </c>
      <c r="DS53" s="88" t="str">
        <f t="shared" ca="1" si="50"/>
        <v/>
      </c>
      <c r="DT53" s="88" t="str">
        <f t="shared" ca="1" si="50"/>
        <v/>
      </c>
      <c r="DU53" s="88" t="str">
        <f t="shared" ca="1" si="50"/>
        <v/>
      </c>
      <c r="DV53" s="88" t="str">
        <f t="shared" ca="1" si="50"/>
        <v/>
      </c>
      <c r="DW53" s="88" t="str">
        <f t="shared" ca="1" si="50"/>
        <v/>
      </c>
      <c r="DX53" s="88" t="str">
        <f t="shared" ca="1" si="50"/>
        <v/>
      </c>
      <c r="DY53" s="88" t="str">
        <f t="shared" ca="1" si="47"/>
        <v/>
      </c>
      <c r="DZ53" s="88" t="str">
        <f t="shared" ca="1" si="47"/>
        <v/>
      </c>
      <c r="EA53" s="88" t="str">
        <f t="shared" ca="1" si="47"/>
        <v/>
      </c>
      <c r="EB53" s="88" t="str">
        <f t="shared" ca="1" si="47"/>
        <v/>
      </c>
      <c r="EC53" s="88" t="str">
        <f t="shared" ca="1" si="47"/>
        <v/>
      </c>
      <c r="ED53" s="88" t="str">
        <f t="shared" ca="1" si="47"/>
        <v/>
      </c>
      <c r="EE53" s="88" t="str">
        <f t="shared" ca="1" si="47"/>
        <v/>
      </c>
      <c r="EF53" s="88" t="str">
        <f t="shared" ca="1" si="47"/>
        <v/>
      </c>
      <c r="EG53" s="88" t="str">
        <f t="shared" ca="1" si="47"/>
        <v/>
      </c>
      <c r="EH53" s="88" t="str">
        <f t="shared" ca="1" si="47"/>
        <v/>
      </c>
      <c r="EI53" s="88" t="str">
        <f t="shared" ca="1" si="47"/>
        <v/>
      </c>
      <c r="EJ53" s="9" t="str">
        <f t="shared" ca="1" si="47"/>
        <v/>
      </c>
      <c r="EK53" s="9" t="str">
        <f t="shared" ca="1" si="47"/>
        <v/>
      </c>
      <c r="EL53" s="9" t="str">
        <f t="shared" ca="1" si="47"/>
        <v/>
      </c>
      <c r="EM53" s="9" t="str">
        <f t="shared" ca="1" si="47"/>
        <v/>
      </c>
      <c r="EN53" s="9" t="str">
        <f t="shared" ca="1" si="51"/>
        <v/>
      </c>
      <c r="EO53" s="9" t="str">
        <f t="shared" ca="1" si="51"/>
        <v/>
      </c>
      <c r="EP53" s="9" t="str">
        <f t="shared" ca="1" si="51"/>
        <v/>
      </c>
      <c r="EQ53" s="9" t="str">
        <f t="shared" ca="1" si="51"/>
        <v/>
      </c>
      <c r="ER53" s="9" t="str">
        <f t="shared" ca="1" si="51"/>
        <v/>
      </c>
      <c r="ES53" s="9" t="str">
        <f t="shared" ca="1" si="51"/>
        <v/>
      </c>
      <c r="ET53" s="9" t="str">
        <f t="shared" ca="1" si="51"/>
        <v/>
      </c>
      <c r="EU53" s="9" t="str">
        <f t="shared" ca="1" si="51"/>
        <v/>
      </c>
      <c r="EV53" s="9" t="str">
        <f t="shared" ca="1" si="51"/>
        <v/>
      </c>
      <c r="EW53" s="9" t="str">
        <f t="shared" ca="1" si="51"/>
        <v/>
      </c>
      <c r="EX53" s="9" t="str">
        <f t="shared" ca="1" si="51"/>
        <v/>
      </c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</row>
    <row r="54" spans="2:252" outlineLevel="1">
      <c r="B54" s="72" t="s">
        <v>76</v>
      </c>
      <c r="C54" s="72" t="s">
        <v>77</v>
      </c>
      <c r="D54" s="54" t="s">
        <v>51</v>
      </c>
      <c r="E54" s="55">
        <v>46167</v>
      </c>
      <c r="F54" s="56">
        <f>NETWORKDAYS(E54,G54,Праздники!$A$1:$A$14)</f>
        <v>18</v>
      </c>
      <c r="G54" s="55">
        <v>46191</v>
      </c>
      <c r="H54" s="57">
        <v>1</v>
      </c>
      <c r="I54" s="54" t="s">
        <v>151</v>
      </c>
      <c r="J54" s="58" t="s">
        <v>149</v>
      </c>
      <c r="K54" s="58"/>
      <c r="L54" s="58"/>
      <c r="M54" s="126" t="s">
        <v>231</v>
      </c>
      <c r="N54" s="58" t="str">
        <f>C72</f>
        <v>Интеграция с HC-трекером (триггер запуска процессинга)</v>
      </c>
      <c r="O54" s="58"/>
      <c r="P54" s="87" t="str">
        <f t="shared" ca="1" si="55"/>
        <v/>
      </c>
      <c r="Q54" s="88" t="str">
        <f t="shared" ca="1" si="55"/>
        <v/>
      </c>
      <c r="R54" s="88" t="str">
        <f t="shared" ca="1" si="55"/>
        <v/>
      </c>
      <c r="S54" s="88" t="str">
        <f t="shared" ca="1" si="55"/>
        <v/>
      </c>
      <c r="T54" s="88" t="str">
        <f t="shared" ca="1" si="55"/>
        <v/>
      </c>
      <c r="U54" s="88" t="str">
        <f t="shared" ca="1" si="55"/>
        <v/>
      </c>
      <c r="V54" s="88" t="str">
        <f t="shared" ca="1" si="55"/>
        <v/>
      </c>
      <c r="W54" s="88" t="str">
        <f t="shared" ca="1" si="55"/>
        <v/>
      </c>
      <c r="X54" s="88" t="str">
        <f t="shared" ca="1" si="55"/>
        <v/>
      </c>
      <c r="Y54" s="88" t="str">
        <f t="shared" ca="1" si="55"/>
        <v/>
      </c>
      <c r="Z54" s="88" t="str">
        <f t="shared" ca="1" si="55"/>
        <v/>
      </c>
      <c r="AA54" s="88" t="str">
        <f t="shared" ca="1" si="55"/>
        <v/>
      </c>
      <c r="AB54" s="88" t="str">
        <f t="shared" ca="1" si="55"/>
        <v/>
      </c>
      <c r="AC54" s="88" t="str">
        <f t="shared" ca="1" si="55"/>
        <v/>
      </c>
      <c r="AD54" s="88" t="str">
        <f t="shared" ca="1" si="55"/>
        <v/>
      </c>
      <c r="AE54" s="88" t="str">
        <f ca="1">IF(AE$8=TODAY(),CHAR(124),"")</f>
        <v/>
      </c>
      <c r="AF54" s="88" t="str">
        <f t="shared" ca="1" si="52"/>
        <v/>
      </c>
      <c r="AG54" s="88" t="str">
        <f t="shared" ca="1" si="52"/>
        <v/>
      </c>
      <c r="AH54" s="88" t="str">
        <f t="shared" ca="1" si="52"/>
        <v/>
      </c>
      <c r="AI54" s="88" t="str">
        <f t="shared" ca="1" si="52"/>
        <v/>
      </c>
      <c r="AJ54" s="88" t="str">
        <f t="shared" ca="1" si="52"/>
        <v/>
      </c>
      <c r="AK54" s="88" t="str">
        <f t="shared" ca="1" si="52"/>
        <v/>
      </c>
      <c r="AL54" s="88" t="str">
        <f t="shared" ca="1" si="52"/>
        <v/>
      </c>
      <c r="AM54" s="88" t="str">
        <f t="shared" ca="1" si="52"/>
        <v/>
      </c>
      <c r="AN54" s="88" t="str">
        <f t="shared" ca="1" si="52"/>
        <v/>
      </c>
      <c r="AO54" s="88" t="str">
        <f t="shared" ca="1" si="52"/>
        <v/>
      </c>
      <c r="AP54" s="88" t="str">
        <f t="shared" ca="1" si="52"/>
        <v/>
      </c>
      <c r="AQ54" s="88" t="str">
        <f t="shared" ca="1" si="52"/>
        <v/>
      </c>
      <c r="AR54" s="88" t="str">
        <f t="shared" ca="1" si="52"/>
        <v/>
      </c>
      <c r="AS54" s="88" t="str">
        <f t="shared" ca="1" si="52"/>
        <v/>
      </c>
      <c r="AT54" s="88" t="str">
        <f t="shared" ca="1" si="52"/>
        <v/>
      </c>
      <c r="AU54" s="88" t="str">
        <f t="shared" ca="1" si="52"/>
        <v/>
      </c>
      <c r="AV54" s="88" t="str">
        <f t="shared" ca="1" si="53"/>
        <v/>
      </c>
      <c r="AW54" s="88" t="str">
        <f t="shared" ca="1" si="53"/>
        <v/>
      </c>
      <c r="AX54" s="88" t="str">
        <f t="shared" ca="1" si="53"/>
        <v/>
      </c>
      <c r="AY54" s="88" t="str">
        <f t="shared" ca="1" si="53"/>
        <v/>
      </c>
      <c r="AZ54" s="88" t="str">
        <f t="shared" ca="1" si="53"/>
        <v/>
      </c>
      <c r="BA54" s="88" t="str">
        <f t="shared" ca="1" si="53"/>
        <v/>
      </c>
      <c r="BB54" s="88" t="str">
        <f t="shared" ca="1" si="53"/>
        <v/>
      </c>
      <c r="BC54" s="88" t="str">
        <f t="shared" ca="1" si="53"/>
        <v/>
      </c>
      <c r="BD54" s="88" t="str">
        <f t="shared" ca="1" si="53"/>
        <v/>
      </c>
      <c r="BE54" s="88" t="str">
        <f t="shared" ca="1" si="53"/>
        <v/>
      </c>
      <c r="BF54" s="88" t="str">
        <f t="shared" ca="1" si="53"/>
        <v/>
      </c>
      <c r="BG54" s="88" t="str">
        <f t="shared" ca="1" si="53"/>
        <v/>
      </c>
      <c r="BH54" s="88" t="str">
        <f t="shared" ca="1" si="53"/>
        <v/>
      </c>
      <c r="BI54" s="88" t="str">
        <f t="shared" ca="1" si="53"/>
        <v/>
      </c>
      <c r="BJ54" s="88" t="str">
        <f t="shared" ca="1" si="53"/>
        <v/>
      </c>
      <c r="BK54" s="88" t="str">
        <f t="shared" ca="1" si="53"/>
        <v/>
      </c>
      <c r="BL54" s="88" t="str">
        <f t="shared" ca="1" si="54"/>
        <v/>
      </c>
      <c r="BM54" s="88" t="str">
        <f t="shared" ca="1" si="54"/>
        <v/>
      </c>
      <c r="BN54" s="88" t="str">
        <f t="shared" ca="1" si="54"/>
        <v/>
      </c>
      <c r="BO54" s="88" t="str">
        <f t="shared" ca="1" si="54"/>
        <v/>
      </c>
      <c r="BP54" s="88" t="str">
        <f t="shared" ca="1" si="54"/>
        <v/>
      </c>
      <c r="BQ54" s="88" t="str">
        <f t="shared" ca="1" si="54"/>
        <v/>
      </c>
      <c r="BR54" s="88" t="str">
        <f t="shared" ca="1" si="54"/>
        <v/>
      </c>
      <c r="BS54" s="88" t="str">
        <f t="shared" ca="1" si="54"/>
        <v/>
      </c>
      <c r="BT54" s="88" t="str">
        <f t="shared" ca="1" si="54"/>
        <v/>
      </c>
      <c r="BU54" s="88" t="str">
        <f t="shared" ca="1" si="54"/>
        <v/>
      </c>
      <c r="BV54" s="88" t="str">
        <f t="shared" ca="1" si="54"/>
        <v/>
      </c>
      <c r="BW54" s="88" t="str">
        <f t="shared" ca="1" si="54"/>
        <v/>
      </c>
      <c r="BX54" s="88" t="str">
        <f t="shared" ca="1" si="54"/>
        <v/>
      </c>
      <c r="BY54" s="88" t="str">
        <f t="shared" ca="1" si="54"/>
        <v/>
      </c>
      <c r="BZ54" s="88" t="str">
        <f t="shared" ca="1" si="54"/>
        <v/>
      </c>
      <c r="CA54" s="88" t="str">
        <f t="shared" ca="1" si="54"/>
        <v/>
      </c>
      <c r="CB54" s="88" t="str">
        <f t="shared" ca="1" si="48"/>
        <v/>
      </c>
      <c r="CC54" s="88" t="str">
        <f t="shared" ca="1" si="48"/>
        <v/>
      </c>
      <c r="CD54" s="88" t="str">
        <f t="shared" ca="1" si="48"/>
        <v/>
      </c>
      <c r="CE54" s="88" t="str">
        <f t="shared" ca="1" si="48"/>
        <v/>
      </c>
      <c r="CF54" s="88" t="str">
        <f t="shared" ca="1" si="48"/>
        <v/>
      </c>
      <c r="CG54" s="88" t="str">
        <f t="shared" ca="1" si="48"/>
        <v/>
      </c>
      <c r="CH54" s="88" t="str">
        <f t="shared" ca="1" si="48"/>
        <v/>
      </c>
      <c r="CI54" s="88" t="str">
        <f t="shared" ca="1" si="48"/>
        <v/>
      </c>
      <c r="CJ54" s="88" t="str">
        <f t="shared" ca="1" si="48"/>
        <v/>
      </c>
      <c r="CK54" s="88" t="str">
        <f t="shared" ca="1" si="48"/>
        <v/>
      </c>
      <c r="CL54" s="88" t="str">
        <f t="shared" ca="1" si="48"/>
        <v/>
      </c>
      <c r="CM54" s="88" t="str">
        <f t="shared" ca="1" si="48"/>
        <v/>
      </c>
      <c r="CN54" s="88" t="str">
        <f t="shared" ca="1" si="48"/>
        <v/>
      </c>
      <c r="CO54" s="88" t="str">
        <f t="shared" ca="1" si="48"/>
        <v/>
      </c>
      <c r="CP54" s="88" t="str">
        <f t="shared" ca="1" si="48"/>
        <v/>
      </c>
      <c r="CQ54" s="88" t="str">
        <f t="shared" ca="1" si="48"/>
        <v/>
      </c>
      <c r="CR54" s="88" t="str">
        <f t="shared" ca="1" si="49"/>
        <v/>
      </c>
      <c r="CS54" s="88" t="str">
        <f t="shared" ca="1" si="49"/>
        <v/>
      </c>
      <c r="CT54" s="88" t="str">
        <f t="shared" ca="1" si="49"/>
        <v/>
      </c>
      <c r="CU54" s="88" t="str">
        <f t="shared" ca="1" si="49"/>
        <v/>
      </c>
      <c r="CV54" s="88" t="str">
        <f t="shared" ca="1" si="49"/>
        <v/>
      </c>
      <c r="CW54" s="88" t="str">
        <f t="shared" ca="1" si="49"/>
        <v/>
      </c>
      <c r="CX54" s="88" t="str">
        <f t="shared" ca="1" si="49"/>
        <v/>
      </c>
      <c r="CY54" s="88" t="str">
        <f t="shared" ca="1" si="49"/>
        <v/>
      </c>
      <c r="CZ54" s="88" t="str">
        <f t="shared" ca="1" si="49"/>
        <v/>
      </c>
      <c r="DA54" s="88" t="str">
        <f t="shared" ca="1" si="49"/>
        <v/>
      </c>
      <c r="DB54" s="88" t="str">
        <f t="shared" ca="1" si="49"/>
        <v/>
      </c>
      <c r="DC54" s="88" t="str">
        <f t="shared" ca="1" si="49"/>
        <v/>
      </c>
      <c r="DD54" s="88" t="str">
        <f t="shared" ca="1" si="49"/>
        <v/>
      </c>
      <c r="DE54" s="88" t="str">
        <f t="shared" ca="1" si="49"/>
        <v/>
      </c>
      <c r="DF54" s="88" t="str">
        <f t="shared" ca="1" si="49"/>
        <v/>
      </c>
      <c r="DG54" s="88" t="str">
        <f t="shared" ca="1" si="49"/>
        <v/>
      </c>
      <c r="DH54" s="88" t="str">
        <f t="shared" ca="1" si="49"/>
        <v/>
      </c>
      <c r="DI54" s="88" t="str">
        <f t="shared" ca="1" si="50"/>
        <v/>
      </c>
      <c r="DJ54" s="88" t="str">
        <f t="shared" ca="1" si="50"/>
        <v/>
      </c>
      <c r="DK54" s="88" t="str">
        <f t="shared" ca="1" si="50"/>
        <v/>
      </c>
      <c r="DL54" s="88" t="str">
        <f t="shared" ca="1" si="50"/>
        <v/>
      </c>
      <c r="DM54" s="88" t="str">
        <f t="shared" ca="1" si="50"/>
        <v/>
      </c>
      <c r="DN54" s="88" t="str">
        <f t="shared" ca="1" si="50"/>
        <v/>
      </c>
      <c r="DO54" s="88" t="str">
        <f t="shared" ca="1" si="50"/>
        <v/>
      </c>
      <c r="DP54" s="88" t="str">
        <f t="shared" ca="1" si="50"/>
        <v/>
      </c>
      <c r="DQ54" s="88" t="str">
        <f t="shared" ca="1" si="50"/>
        <v/>
      </c>
      <c r="DR54" s="88" t="str">
        <f t="shared" ca="1" si="50"/>
        <v/>
      </c>
      <c r="DS54" s="88" t="str">
        <f t="shared" ca="1" si="50"/>
        <v/>
      </c>
      <c r="DT54" s="88" t="str">
        <f t="shared" ca="1" si="50"/>
        <v/>
      </c>
      <c r="DU54" s="88" t="str">
        <f t="shared" ca="1" si="50"/>
        <v/>
      </c>
      <c r="DV54" s="88" t="str">
        <f t="shared" ca="1" si="50"/>
        <v/>
      </c>
      <c r="DW54" s="88" t="str">
        <f t="shared" ca="1" si="50"/>
        <v/>
      </c>
      <c r="DX54" s="88" t="str">
        <f t="shared" ca="1" si="50"/>
        <v/>
      </c>
      <c r="DY54" s="88" t="str">
        <f t="shared" ca="1" si="47"/>
        <v/>
      </c>
      <c r="DZ54" s="88" t="str">
        <f t="shared" ca="1" si="47"/>
        <v/>
      </c>
      <c r="EA54" s="88" t="str">
        <f t="shared" ca="1" si="47"/>
        <v/>
      </c>
      <c r="EB54" s="88" t="str">
        <f t="shared" ca="1" si="47"/>
        <v/>
      </c>
      <c r="EC54" s="88" t="str">
        <f t="shared" ca="1" si="47"/>
        <v/>
      </c>
      <c r="ED54" s="88" t="str">
        <f t="shared" ca="1" si="47"/>
        <v/>
      </c>
      <c r="EE54" s="88" t="str">
        <f t="shared" ca="1" si="47"/>
        <v/>
      </c>
      <c r="EF54" s="88" t="str">
        <f t="shared" ca="1" si="47"/>
        <v/>
      </c>
      <c r="EG54" s="88" t="str">
        <f t="shared" ca="1" si="47"/>
        <v/>
      </c>
      <c r="EH54" s="88" t="str">
        <f t="shared" ca="1" si="47"/>
        <v/>
      </c>
      <c r="EI54" s="88" t="str">
        <f t="shared" ca="1" si="47"/>
        <v/>
      </c>
      <c r="EJ54" s="9" t="str">
        <f t="shared" ca="1" si="47"/>
        <v/>
      </c>
      <c r="EK54" s="9" t="str">
        <f t="shared" ca="1" si="47"/>
        <v/>
      </c>
      <c r="EL54" s="9" t="str">
        <f t="shared" ca="1" si="47"/>
        <v/>
      </c>
      <c r="EM54" s="9" t="str">
        <f t="shared" ca="1" si="47"/>
        <v/>
      </c>
      <c r="EN54" s="9" t="str">
        <f t="shared" ca="1" si="51"/>
        <v/>
      </c>
      <c r="EO54" s="9" t="str">
        <f t="shared" ca="1" si="51"/>
        <v/>
      </c>
      <c r="EP54" s="9" t="str">
        <f t="shared" ca="1" si="51"/>
        <v/>
      </c>
      <c r="EQ54" s="9" t="str">
        <f t="shared" ca="1" si="51"/>
        <v/>
      </c>
      <c r="ER54" s="9" t="str">
        <f t="shared" ca="1" si="51"/>
        <v/>
      </c>
      <c r="ES54" s="9" t="str">
        <f t="shared" ca="1" si="51"/>
        <v/>
      </c>
      <c r="ET54" s="9" t="str">
        <f t="shared" ca="1" si="51"/>
        <v/>
      </c>
      <c r="EU54" s="9" t="str">
        <f t="shared" ca="1" si="51"/>
        <v/>
      </c>
      <c r="EV54" s="9" t="str">
        <f t="shared" ca="1" si="51"/>
        <v/>
      </c>
      <c r="EW54" s="9" t="str">
        <f t="shared" ca="1" si="51"/>
        <v/>
      </c>
      <c r="EX54" s="9" t="str">
        <f t="shared" ca="1" si="51"/>
        <v/>
      </c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</row>
    <row r="55" spans="2:252" ht="15.75" outlineLevel="1">
      <c r="B55" s="74" t="s">
        <v>78</v>
      </c>
      <c r="C55" s="136" t="s">
        <v>79</v>
      </c>
      <c r="D55" s="48" t="s">
        <v>51</v>
      </c>
      <c r="E55" s="55">
        <v>46167</v>
      </c>
      <c r="F55" s="56">
        <f>NETWORKDAYS(E55,G55,Праздники!$A$1:$A$14)</f>
        <v>29</v>
      </c>
      <c r="G55" s="55">
        <v>46208</v>
      </c>
      <c r="H55" s="57">
        <v>0.5</v>
      </c>
      <c r="I55" s="48" t="s">
        <v>151</v>
      </c>
      <c r="J55" s="58"/>
      <c r="K55" s="58"/>
      <c r="L55" s="58"/>
      <c r="M55" s="58"/>
      <c r="N55" s="58"/>
      <c r="O55" s="58"/>
      <c r="P55" s="87" t="str">
        <f t="shared" ca="1" si="55"/>
        <v/>
      </c>
      <c r="Q55" s="88" t="str">
        <f t="shared" ca="1" si="55"/>
        <v/>
      </c>
      <c r="R55" s="88" t="str">
        <f t="shared" ca="1" si="55"/>
        <v/>
      </c>
      <c r="S55" s="88" t="str">
        <f t="shared" ca="1" si="55"/>
        <v/>
      </c>
      <c r="T55" s="88" t="str">
        <f t="shared" ca="1" si="55"/>
        <v/>
      </c>
      <c r="U55" s="88" t="str">
        <f t="shared" ca="1" si="55"/>
        <v/>
      </c>
      <c r="V55" s="88" t="str">
        <f t="shared" ca="1" si="55"/>
        <v/>
      </c>
      <c r="W55" s="88" t="str">
        <f t="shared" ca="1" si="55"/>
        <v/>
      </c>
      <c r="X55" s="88" t="str">
        <f t="shared" ca="1" si="55"/>
        <v/>
      </c>
      <c r="Y55" s="88" t="str">
        <f t="shared" ca="1" si="55"/>
        <v/>
      </c>
      <c r="Z55" s="88" t="str">
        <f t="shared" ca="1" si="55"/>
        <v/>
      </c>
      <c r="AA55" s="88" t="str">
        <f t="shared" ca="1" si="55"/>
        <v/>
      </c>
      <c r="AB55" s="88" t="str">
        <f t="shared" ca="1" si="55"/>
        <v/>
      </c>
      <c r="AC55" s="88" t="str">
        <f t="shared" ca="1" si="55"/>
        <v/>
      </c>
      <c r="AD55" s="88" t="str">
        <f t="shared" ca="1" si="55"/>
        <v/>
      </c>
      <c r="AE55" s="88" t="str">
        <f ca="1">IF(AE$8=TODAY(),CHAR(124),"")</f>
        <v/>
      </c>
      <c r="AF55" s="88" t="str">
        <f t="shared" ca="1" si="52"/>
        <v/>
      </c>
      <c r="AG55" s="88" t="str">
        <f t="shared" ca="1" si="52"/>
        <v/>
      </c>
      <c r="AH55" s="88" t="str">
        <f t="shared" ca="1" si="52"/>
        <v/>
      </c>
      <c r="AI55" s="88" t="str">
        <f t="shared" ca="1" si="52"/>
        <v/>
      </c>
      <c r="AJ55" s="88" t="str">
        <f t="shared" ca="1" si="52"/>
        <v/>
      </c>
      <c r="AK55" s="88" t="str">
        <f t="shared" ca="1" si="52"/>
        <v/>
      </c>
      <c r="AL55" s="88" t="str">
        <f t="shared" ca="1" si="52"/>
        <v/>
      </c>
      <c r="AM55" s="88" t="str">
        <f t="shared" ca="1" si="52"/>
        <v/>
      </c>
      <c r="AN55" s="88" t="str">
        <f t="shared" ca="1" si="52"/>
        <v/>
      </c>
      <c r="AO55" s="88" t="str">
        <f t="shared" ca="1" si="52"/>
        <v/>
      </c>
      <c r="AP55" s="88" t="str">
        <f t="shared" ca="1" si="52"/>
        <v/>
      </c>
      <c r="AQ55" s="88" t="str">
        <f t="shared" ca="1" si="52"/>
        <v/>
      </c>
      <c r="AR55" s="88" t="str">
        <f t="shared" ca="1" si="52"/>
        <v/>
      </c>
      <c r="AS55" s="88" t="str">
        <f t="shared" ca="1" si="52"/>
        <v/>
      </c>
      <c r="AT55" s="88" t="str">
        <f t="shared" ca="1" si="52"/>
        <v/>
      </c>
      <c r="AU55" s="88" t="str">
        <f t="shared" ca="1" si="52"/>
        <v/>
      </c>
      <c r="AV55" s="88" t="str">
        <f t="shared" ca="1" si="53"/>
        <v/>
      </c>
      <c r="AW55" s="88" t="str">
        <f t="shared" ca="1" si="53"/>
        <v/>
      </c>
      <c r="AX55" s="88" t="str">
        <f t="shared" ca="1" si="53"/>
        <v/>
      </c>
      <c r="AY55" s="88" t="str">
        <f t="shared" ca="1" si="53"/>
        <v/>
      </c>
      <c r="AZ55" s="88" t="str">
        <f t="shared" ca="1" si="53"/>
        <v/>
      </c>
      <c r="BA55" s="88" t="str">
        <f t="shared" ca="1" si="53"/>
        <v/>
      </c>
      <c r="BB55" s="88" t="str">
        <f t="shared" ca="1" si="53"/>
        <v/>
      </c>
      <c r="BC55" s="88" t="str">
        <f t="shared" ca="1" si="53"/>
        <v/>
      </c>
      <c r="BD55" s="88" t="str">
        <f t="shared" ca="1" si="53"/>
        <v/>
      </c>
      <c r="BE55" s="88" t="str">
        <f t="shared" ca="1" si="53"/>
        <v/>
      </c>
      <c r="BF55" s="88" t="str">
        <f t="shared" ca="1" si="53"/>
        <v/>
      </c>
      <c r="BG55" s="88" t="str">
        <f t="shared" ca="1" si="53"/>
        <v/>
      </c>
      <c r="BH55" s="88" t="str">
        <f t="shared" ca="1" si="53"/>
        <v/>
      </c>
      <c r="BI55" s="88" t="str">
        <f t="shared" ca="1" si="53"/>
        <v/>
      </c>
      <c r="BJ55" s="88" t="str">
        <f t="shared" ca="1" si="53"/>
        <v/>
      </c>
      <c r="BK55" s="88" t="str">
        <f t="shared" ca="1" si="53"/>
        <v/>
      </c>
      <c r="BL55" s="88" t="str">
        <f t="shared" ca="1" si="54"/>
        <v/>
      </c>
      <c r="BM55" s="88" t="str">
        <f t="shared" ca="1" si="54"/>
        <v/>
      </c>
      <c r="BN55" s="88" t="str">
        <f t="shared" ca="1" si="54"/>
        <v/>
      </c>
      <c r="BO55" s="88" t="str">
        <f t="shared" ca="1" si="54"/>
        <v/>
      </c>
      <c r="BP55" s="88" t="str">
        <f t="shared" ca="1" si="54"/>
        <v/>
      </c>
      <c r="BQ55" s="88" t="str">
        <f t="shared" ca="1" si="54"/>
        <v/>
      </c>
      <c r="BR55" s="88" t="str">
        <f t="shared" ca="1" si="54"/>
        <v/>
      </c>
      <c r="BS55" s="88" t="str">
        <f t="shared" ca="1" si="54"/>
        <v/>
      </c>
      <c r="BT55" s="88" t="str">
        <f t="shared" ca="1" si="54"/>
        <v/>
      </c>
      <c r="BU55" s="88" t="str">
        <f t="shared" ca="1" si="54"/>
        <v/>
      </c>
      <c r="BV55" s="88" t="str">
        <f t="shared" ca="1" si="54"/>
        <v/>
      </c>
      <c r="BW55" s="88" t="str">
        <f t="shared" ca="1" si="54"/>
        <v/>
      </c>
      <c r="BX55" s="88" t="str">
        <f t="shared" ca="1" si="54"/>
        <v/>
      </c>
      <c r="BY55" s="88" t="str">
        <f t="shared" ca="1" si="54"/>
        <v/>
      </c>
      <c r="BZ55" s="88" t="str">
        <f t="shared" ca="1" si="54"/>
        <v/>
      </c>
      <c r="CA55" s="88" t="str">
        <f t="shared" ca="1" si="54"/>
        <v/>
      </c>
      <c r="CB55" s="88" t="str">
        <f t="shared" ca="1" si="48"/>
        <v/>
      </c>
      <c r="CC55" s="88" t="str">
        <f t="shared" ca="1" si="48"/>
        <v/>
      </c>
      <c r="CD55" s="88" t="str">
        <f t="shared" ca="1" si="48"/>
        <v/>
      </c>
      <c r="CE55" s="88" t="str">
        <f t="shared" ca="1" si="48"/>
        <v/>
      </c>
      <c r="CF55" s="88" t="str">
        <f t="shared" ca="1" si="48"/>
        <v/>
      </c>
      <c r="CG55" s="88" t="str">
        <f t="shared" ca="1" si="48"/>
        <v/>
      </c>
      <c r="CH55" s="88" t="str">
        <f t="shared" ca="1" si="48"/>
        <v/>
      </c>
      <c r="CI55" s="88" t="str">
        <f t="shared" ca="1" si="48"/>
        <v/>
      </c>
      <c r="CJ55" s="88" t="str">
        <f t="shared" ca="1" si="48"/>
        <v/>
      </c>
      <c r="CK55" s="88" t="str">
        <f t="shared" ca="1" si="48"/>
        <v/>
      </c>
      <c r="CL55" s="88" t="str">
        <f t="shared" ca="1" si="48"/>
        <v/>
      </c>
      <c r="CM55" s="88" t="str">
        <f t="shared" ca="1" si="48"/>
        <v/>
      </c>
      <c r="CN55" s="88" t="str">
        <f t="shared" ca="1" si="48"/>
        <v/>
      </c>
      <c r="CO55" s="88" t="str">
        <f t="shared" ca="1" si="48"/>
        <v/>
      </c>
      <c r="CP55" s="88" t="str">
        <f t="shared" ca="1" si="48"/>
        <v/>
      </c>
      <c r="CQ55" s="88" t="str">
        <f t="shared" ca="1" si="48"/>
        <v/>
      </c>
      <c r="CR55" s="88" t="str">
        <f t="shared" ca="1" si="49"/>
        <v/>
      </c>
      <c r="CS55" s="88" t="str">
        <f t="shared" ca="1" si="49"/>
        <v/>
      </c>
      <c r="CT55" s="88" t="str">
        <f t="shared" ca="1" si="49"/>
        <v/>
      </c>
      <c r="CU55" s="88" t="str">
        <f t="shared" ca="1" si="49"/>
        <v/>
      </c>
      <c r="CV55" s="88" t="str">
        <f t="shared" ca="1" si="49"/>
        <v/>
      </c>
      <c r="CW55" s="88" t="str">
        <f t="shared" ca="1" si="49"/>
        <v/>
      </c>
      <c r="CX55" s="88" t="str">
        <f t="shared" ca="1" si="49"/>
        <v/>
      </c>
      <c r="CY55" s="88" t="str">
        <f t="shared" ca="1" si="49"/>
        <v/>
      </c>
      <c r="CZ55" s="88" t="str">
        <f t="shared" ca="1" si="49"/>
        <v/>
      </c>
      <c r="DA55" s="88" t="str">
        <f t="shared" ca="1" si="49"/>
        <v/>
      </c>
      <c r="DB55" s="88" t="str">
        <f t="shared" ca="1" si="49"/>
        <v/>
      </c>
      <c r="DC55" s="88" t="str">
        <f t="shared" ca="1" si="49"/>
        <v/>
      </c>
      <c r="DD55" s="88" t="str">
        <f t="shared" ca="1" si="49"/>
        <v/>
      </c>
      <c r="DE55" s="88" t="str">
        <f t="shared" ca="1" si="49"/>
        <v/>
      </c>
      <c r="DF55" s="88" t="str">
        <f t="shared" ca="1" si="49"/>
        <v/>
      </c>
      <c r="DG55" s="88" t="str">
        <f t="shared" ca="1" si="49"/>
        <v/>
      </c>
      <c r="DH55" s="88" t="str">
        <f t="shared" ca="1" si="49"/>
        <v/>
      </c>
      <c r="DI55" s="88" t="str">
        <f t="shared" ca="1" si="50"/>
        <v/>
      </c>
      <c r="DJ55" s="88" t="str">
        <f t="shared" ca="1" si="50"/>
        <v/>
      </c>
      <c r="DK55" s="88" t="str">
        <f t="shared" ca="1" si="50"/>
        <v/>
      </c>
      <c r="DL55" s="88" t="str">
        <f t="shared" ca="1" si="50"/>
        <v/>
      </c>
      <c r="DM55" s="88" t="str">
        <f t="shared" ca="1" si="50"/>
        <v/>
      </c>
      <c r="DN55" s="88" t="str">
        <f t="shared" ca="1" si="50"/>
        <v/>
      </c>
      <c r="DO55" s="88" t="str">
        <f t="shared" ca="1" si="50"/>
        <v/>
      </c>
      <c r="DP55" s="88" t="str">
        <f t="shared" ca="1" si="50"/>
        <v/>
      </c>
      <c r="DQ55" s="88" t="str">
        <f t="shared" ca="1" si="50"/>
        <v/>
      </c>
      <c r="DR55" s="88" t="str">
        <f t="shared" ca="1" si="50"/>
        <v/>
      </c>
      <c r="DS55" s="88" t="str">
        <f t="shared" ca="1" si="50"/>
        <v/>
      </c>
      <c r="DT55" s="88" t="str">
        <f t="shared" ca="1" si="50"/>
        <v/>
      </c>
      <c r="DU55" s="88" t="str">
        <f t="shared" ca="1" si="50"/>
        <v/>
      </c>
      <c r="DV55" s="88" t="str">
        <f t="shared" ca="1" si="50"/>
        <v/>
      </c>
      <c r="DW55" s="88" t="str">
        <f t="shared" ca="1" si="50"/>
        <v/>
      </c>
      <c r="DX55" s="88" t="str">
        <f t="shared" ca="1" si="50"/>
        <v/>
      </c>
      <c r="DY55" s="88" t="str">
        <f t="shared" ca="1" si="47"/>
        <v/>
      </c>
      <c r="DZ55" s="88" t="str">
        <f t="shared" ca="1" si="47"/>
        <v/>
      </c>
      <c r="EA55" s="88" t="str">
        <f t="shared" ca="1" si="47"/>
        <v/>
      </c>
      <c r="EB55" s="88" t="str">
        <f t="shared" ca="1" si="47"/>
        <v/>
      </c>
      <c r="EC55" s="88" t="str">
        <f t="shared" ca="1" si="47"/>
        <v/>
      </c>
      <c r="ED55" s="88" t="str">
        <f t="shared" ca="1" si="47"/>
        <v/>
      </c>
      <c r="EE55" s="88" t="str">
        <f t="shared" ca="1" si="47"/>
        <v/>
      </c>
      <c r="EF55" s="88" t="str">
        <f t="shared" ca="1" si="47"/>
        <v/>
      </c>
      <c r="EG55" s="88" t="str">
        <f t="shared" ca="1" si="47"/>
        <v/>
      </c>
      <c r="EH55" s="88" t="str">
        <f t="shared" ca="1" si="47"/>
        <v/>
      </c>
      <c r="EI55" s="88" t="str">
        <f t="shared" ca="1" si="47"/>
        <v/>
      </c>
      <c r="EJ55" s="9" t="str">
        <f t="shared" ca="1" si="47"/>
        <v/>
      </c>
      <c r="EK55" s="9" t="str">
        <f t="shared" ca="1" si="47"/>
        <v/>
      </c>
      <c r="EL55" s="9" t="str">
        <f t="shared" ca="1" si="47"/>
        <v/>
      </c>
      <c r="EM55" s="9" t="str">
        <f t="shared" ca="1" si="47"/>
        <v/>
      </c>
      <c r="EN55" s="9" t="str">
        <f t="shared" ca="1" si="51"/>
        <v/>
      </c>
      <c r="EO55" s="9" t="str">
        <f t="shared" ca="1" si="51"/>
        <v/>
      </c>
      <c r="EP55" s="9" t="str">
        <f t="shared" ca="1" si="51"/>
        <v/>
      </c>
      <c r="EQ55" s="9" t="str">
        <f t="shared" ca="1" si="51"/>
        <v/>
      </c>
      <c r="ER55" s="9" t="str">
        <f t="shared" ca="1" si="51"/>
        <v/>
      </c>
      <c r="ES55" s="9" t="str">
        <f t="shared" ca="1" si="51"/>
        <v/>
      </c>
      <c r="ET55" s="9" t="str">
        <f t="shared" ca="1" si="51"/>
        <v/>
      </c>
      <c r="EU55" s="9" t="str">
        <f t="shared" ca="1" si="51"/>
        <v/>
      </c>
      <c r="EV55" s="9" t="str">
        <f t="shared" ca="1" si="51"/>
        <v/>
      </c>
      <c r="EW55" s="9" t="str">
        <f t="shared" ca="1" si="51"/>
        <v/>
      </c>
      <c r="EX55" s="9" t="str">
        <f t="shared" ca="1" si="51"/>
        <v/>
      </c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</row>
    <row r="56" spans="2:252" ht="15.75" outlineLevel="1">
      <c r="B56" s="74" t="s">
        <v>137</v>
      </c>
      <c r="C56" s="135" t="s">
        <v>136</v>
      </c>
      <c r="D56" s="59" t="s">
        <v>51</v>
      </c>
      <c r="E56" s="55">
        <v>46167</v>
      </c>
      <c r="F56" s="56">
        <f>NETWORKDAYS(E56,G56,Праздники!$A$1:$A$14)</f>
        <v>22</v>
      </c>
      <c r="G56" s="55">
        <v>46197</v>
      </c>
      <c r="H56" s="57">
        <v>1</v>
      </c>
      <c r="I56" s="59" t="s">
        <v>151</v>
      </c>
      <c r="J56" s="58" t="s">
        <v>149</v>
      </c>
      <c r="K56" s="58"/>
      <c r="L56" s="58"/>
      <c r="M56" s="127" t="s">
        <v>235</v>
      </c>
      <c r="N56" s="58"/>
      <c r="O56" s="58"/>
      <c r="P56" s="87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88"/>
      <c r="CV56" s="88"/>
      <c r="CW56" s="88"/>
      <c r="CX56" s="88"/>
      <c r="CY56" s="88"/>
      <c r="CZ56" s="88"/>
      <c r="DA56" s="88"/>
      <c r="DB56" s="88"/>
      <c r="DC56" s="88"/>
      <c r="DD56" s="88"/>
      <c r="DE56" s="88"/>
      <c r="DF56" s="88"/>
      <c r="DG56" s="88"/>
      <c r="DH56" s="88"/>
      <c r="DI56" s="88"/>
      <c r="DJ56" s="88"/>
      <c r="DK56" s="88"/>
      <c r="DL56" s="88"/>
      <c r="DM56" s="88"/>
      <c r="DN56" s="88"/>
      <c r="DO56" s="88"/>
      <c r="DP56" s="88"/>
      <c r="DQ56" s="88"/>
      <c r="DR56" s="88"/>
      <c r="DS56" s="88"/>
      <c r="DT56" s="88"/>
      <c r="DU56" s="88"/>
      <c r="DV56" s="88"/>
      <c r="DW56" s="88"/>
      <c r="DX56" s="88"/>
      <c r="DY56" s="88"/>
      <c r="DZ56" s="88"/>
      <c r="EA56" s="88"/>
      <c r="EB56" s="88"/>
      <c r="EC56" s="88"/>
      <c r="ED56" s="88"/>
      <c r="EE56" s="88"/>
      <c r="EF56" s="88"/>
      <c r="EG56" s="88"/>
      <c r="EH56" s="88"/>
      <c r="EI56" s="88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</row>
    <row r="57" spans="2:252" ht="15.75" outlineLevel="1">
      <c r="B57" s="74" t="s">
        <v>140</v>
      </c>
      <c r="C57" s="135" t="s">
        <v>138</v>
      </c>
      <c r="D57" s="59" t="s">
        <v>139</v>
      </c>
      <c r="E57" s="55">
        <v>46198</v>
      </c>
      <c r="F57" s="56">
        <f>NETWORKDAYS(E57,G57,Праздники!$A$1:$A$14)</f>
        <v>57</v>
      </c>
      <c r="G57" s="55">
        <v>46276</v>
      </c>
      <c r="H57" s="57">
        <v>0.3</v>
      </c>
      <c r="I57" s="59" t="s">
        <v>236</v>
      </c>
      <c r="J57" s="58" t="s">
        <v>149</v>
      </c>
      <c r="K57" s="58" t="s">
        <v>151</v>
      </c>
      <c r="L57" s="58"/>
      <c r="M57" s="58"/>
      <c r="N57" s="58"/>
      <c r="O57" s="58"/>
      <c r="P57" s="87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Q57" s="88"/>
      <c r="DR57" s="88"/>
      <c r="DS57" s="88"/>
      <c r="DT57" s="88"/>
      <c r="DU57" s="88"/>
      <c r="DV57" s="88"/>
      <c r="DW57" s="88"/>
      <c r="DX57" s="88"/>
      <c r="DY57" s="88"/>
      <c r="DZ57" s="88"/>
      <c r="EA57" s="88"/>
      <c r="EB57" s="88"/>
      <c r="EC57" s="88"/>
      <c r="ED57" s="88"/>
      <c r="EE57" s="88"/>
      <c r="EF57" s="88"/>
      <c r="EG57" s="88"/>
      <c r="EH57" s="88"/>
      <c r="EI57" s="88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</row>
    <row r="58" spans="2:252" outlineLevel="1">
      <c r="B58" s="75" t="s">
        <v>80</v>
      </c>
      <c r="C58" s="77" t="s">
        <v>115</v>
      </c>
      <c r="D58" s="78" t="s">
        <v>117</v>
      </c>
      <c r="E58" s="79">
        <v>46193</v>
      </c>
      <c r="F58" s="78">
        <f>NETWORKDAYS(E58,G58,Праздники!$A$1:$A$14)</f>
        <v>50</v>
      </c>
      <c r="G58" s="79">
        <v>46264</v>
      </c>
      <c r="H58" s="80">
        <v>1</v>
      </c>
      <c r="I58" s="78" t="s">
        <v>236</v>
      </c>
      <c r="J58" s="58" t="s">
        <v>149</v>
      </c>
      <c r="K58" s="81"/>
      <c r="L58" s="81"/>
      <c r="M58" s="81"/>
      <c r="N58" s="81"/>
      <c r="O58" s="81"/>
      <c r="P58" s="87" t="str">
        <f t="shared" ca="1" si="55"/>
        <v/>
      </c>
      <c r="Q58" s="88" t="str">
        <f t="shared" ca="1" si="55"/>
        <v/>
      </c>
      <c r="R58" s="88" t="str">
        <f t="shared" ca="1" si="55"/>
        <v/>
      </c>
      <c r="S58" s="88" t="str">
        <f t="shared" ca="1" si="55"/>
        <v/>
      </c>
      <c r="T58" s="88" t="str">
        <f t="shared" ca="1" si="55"/>
        <v/>
      </c>
      <c r="U58" s="88" t="str">
        <f t="shared" ca="1" si="55"/>
        <v/>
      </c>
      <c r="V58" s="88" t="str">
        <f t="shared" ca="1" si="55"/>
        <v/>
      </c>
      <c r="W58" s="88" t="str">
        <f t="shared" ca="1" si="55"/>
        <v/>
      </c>
      <c r="X58" s="88" t="str">
        <f t="shared" ca="1" si="55"/>
        <v/>
      </c>
      <c r="Y58" s="88" t="str">
        <f t="shared" ca="1" si="55"/>
        <v/>
      </c>
      <c r="Z58" s="88" t="str">
        <f t="shared" ca="1" si="55"/>
        <v/>
      </c>
      <c r="AA58" s="88" t="str">
        <f t="shared" ca="1" si="55"/>
        <v/>
      </c>
      <c r="AB58" s="88" t="str">
        <f t="shared" ca="1" si="55"/>
        <v/>
      </c>
      <c r="AC58" s="88" t="str">
        <f t="shared" ca="1" si="55"/>
        <v/>
      </c>
      <c r="AD58" s="88" t="str">
        <f t="shared" ca="1" si="55"/>
        <v/>
      </c>
      <c r="AE58" s="88" t="str">
        <f ca="1">IF(AE$8=TODAY(),CHAR(124),"")</f>
        <v/>
      </c>
      <c r="AF58" s="88" t="str">
        <f t="shared" ca="1" si="52"/>
        <v/>
      </c>
      <c r="AG58" s="88" t="str">
        <f t="shared" ca="1" si="52"/>
        <v/>
      </c>
      <c r="AH58" s="88" t="str">
        <f t="shared" ca="1" si="52"/>
        <v/>
      </c>
      <c r="AI58" s="88" t="str">
        <f t="shared" ca="1" si="52"/>
        <v/>
      </c>
      <c r="AJ58" s="88" t="str">
        <f t="shared" ca="1" si="52"/>
        <v/>
      </c>
      <c r="AK58" s="88" t="str">
        <f t="shared" ca="1" si="52"/>
        <v/>
      </c>
      <c r="AL58" s="88" t="str">
        <f t="shared" ca="1" si="52"/>
        <v/>
      </c>
      <c r="AM58" s="88" t="str">
        <f t="shared" ca="1" si="52"/>
        <v/>
      </c>
      <c r="AN58" s="88" t="str">
        <f t="shared" ca="1" si="52"/>
        <v/>
      </c>
      <c r="AO58" s="88" t="str">
        <f t="shared" ca="1" si="52"/>
        <v/>
      </c>
      <c r="AP58" s="88" t="str">
        <f t="shared" ca="1" si="52"/>
        <v/>
      </c>
      <c r="AQ58" s="88" t="str">
        <f t="shared" ca="1" si="52"/>
        <v/>
      </c>
      <c r="AR58" s="88" t="str">
        <f t="shared" ca="1" si="52"/>
        <v/>
      </c>
      <c r="AS58" s="88" t="str">
        <f t="shared" ca="1" si="52"/>
        <v/>
      </c>
      <c r="AT58" s="88" t="str">
        <f t="shared" ca="1" si="52"/>
        <v/>
      </c>
      <c r="AU58" s="88" t="str">
        <f t="shared" ca="1" si="52"/>
        <v/>
      </c>
      <c r="AV58" s="88" t="str">
        <f t="shared" ca="1" si="53"/>
        <v/>
      </c>
      <c r="AW58" s="88" t="str">
        <f t="shared" ca="1" si="53"/>
        <v/>
      </c>
      <c r="AX58" s="88" t="str">
        <f t="shared" ca="1" si="53"/>
        <v/>
      </c>
      <c r="AY58" s="88" t="str">
        <f t="shared" ca="1" si="53"/>
        <v/>
      </c>
      <c r="AZ58" s="88" t="str">
        <f t="shared" ca="1" si="53"/>
        <v/>
      </c>
      <c r="BA58" s="88" t="str">
        <f t="shared" ca="1" si="53"/>
        <v/>
      </c>
      <c r="BB58" s="88" t="str">
        <f t="shared" ca="1" si="53"/>
        <v/>
      </c>
      <c r="BC58" s="88" t="str">
        <f t="shared" ca="1" si="53"/>
        <v/>
      </c>
      <c r="BD58" s="88" t="str">
        <f t="shared" ca="1" si="53"/>
        <v/>
      </c>
      <c r="BE58" s="88" t="str">
        <f t="shared" ca="1" si="53"/>
        <v/>
      </c>
      <c r="BF58" s="88" t="str">
        <f t="shared" ca="1" si="53"/>
        <v/>
      </c>
      <c r="BG58" s="88" t="str">
        <f t="shared" ca="1" si="53"/>
        <v/>
      </c>
      <c r="BH58" s="88" t="str">
        <f t="shared" ca="1" si="53"/>
        <v/>
      </c>
      <c r="BI58" s="88" t="str">
        <f t="shared" ca="1" si="53"/>
        <v/>
      </c>
      <c r="BJ58" s="88" t="str">
        <f t="shared" ca="1" si="53"/>
        <v/>
      </c>
      <c r="BK58" s="88" t="str">
        <f t="shared" ca="1" si="53"/>
        <v/>
      </c>
      <c r="BL58" s="88" t="str">
        <f t="shared" ca="1" si="54"/>
        <v/>
      </c>
      <c r="BM58" s="88" t="str">
        <f t="shared" ca="1" si="54"/>
        <v/>
      </c>
      <c r="BN58" s="88" t="str">
        <f t="shared" ca="1" si="54"/>
        <v/>
      </c>
      <c r="BO58" s="88" t="str">
        <f t="shared" ca="1" si="54"/>
        <v/>
      </c>
      <c r="BP58" s="88" t="str">
        <f t="shared" ca="1" si="54"/>
        <v/>
      </c>
      <c r="BQ58" s="88" t="str">
        <f t="shared" ca="1" si="54"/>
        <v/>
      </c>
      <c r="BR58" s="88" t="str">
        <f t="shared" ca="1" si="54"/>
        <v/>
      </c>
      <c r="BS58" s="88" t="str">
        <f t="shared" ca="1" si="54"/>
        <v/>
      </c>
      <c r="BT58" s="88" t="str">
        <f t="shared" ca="1" si="54"/>
        <v/>
      </c>
      <c r="BU58" s="88" t="str">
        <f t="shared" ca="1" si="54"/>
        <v/>
      </c>
      <c r="BV58" s="88" t="str">
        <f t="shared" ca="1" si="54"/>
        <v/>
      </c>
      <c r="BW58" s="88" t="str">
        <f t="shared" ca="1" si="54"/>
        <v/>
      </c>
      <c r="BX58" s="88" t="str">
        <f t="shared" ca="1" si="54"/>
        <v/>
      </c>
      <c r="BY58" s="88" t="str">
        <f t="shared" ca="1" si="54"/>
        <v/>
      </c>
      <c r="BZ58" s="88" t="str">
        <f t="shared" ca="1" si="54"/>
        <v/>
      </c>
      <c r="CA58" s="88" t="str">
        <f t="shared" ca="1" si="54"/>
        <v/>
      </c>
      <c r="CB58" s="88" t="str">
        <f t="shared" ref="CB58:CQ82" ca="1" si="56">IF(CB$8=TODAY(),CHAR(124),"")</f>
        <v/>
      </c>
      <c r="CC58" s="88" t="str">
        <f t="shared" ca="1" si="56"/>
        <v/>
      </c>
      <c r="CD58" s="88" t="str">
        <f t="shared" ca="1" si="56"/>
        <v/>
      </c>
      <c r="CE58" s="88" t="str">
        <f t="shared" ca="1" si="56"/>
        <v/>
      </c>
      <c r="CF58" s="88" t="str">
        <f t="shared" ca="1" si="56"/>
        <v/>
      </c>
      <c r="CG58" s="88" t="str">
        <f t="shared" ca="1" si="56"/>
        <v/>
      </c>
      <c r="CH58" s="88" t="str">
        <f t="shared" ca="1" si="56"/>
        <v/>
      </c>
      <c r="CI58" s="88" t="str">
        <f t="shared" ca="1" si="56"/>
        <v/>
      </c>
      <c r="CJ58" s="88" t="str">
        <f t="shared" ca="1" si="56"/>
        <v/>
      </c>
      <c r="CK58" s="88" t="str">
        <f t="shared" ca="1" si="56"/>
        <v/>
      </c>
      <c r="CL58" s="88" t="str">
        <f t="shared" ca="1" si="56"/>
        <v/>
      </c>
      <c r="CM58" s="88" t="str">
        <f t="shared" ca="1" si="56"/>
        <v/>
      </c>
      <c r="CN58" s="88" t="str">
        <f t="shared" ca="1" si="56"/>
        <v/>
      </c>
      <c r="CO58" s="88" t="str">
        <f t="shared" ca="1" si="56"/>
        <v/>
      </c>
      <c r="CP58" s="88" t="str">
        <f t="shared" ca="1" si="56"/>
        <v/>
      </c>
      <c r="CQ58" s="88" t="str">
        <f t="shared" ca="1" si="56"/>
        <v/>
      </c>
      <c r="CR58" s="88" t="str">
        <f t="shared" ref="CR58:DW58" ca="1" si="57">IF(CR$8=TODAY(),CHAR(124),"")</f>
        <v/>
      </c>
      <c r="CS58" s="88" t="str">
        <f t="shared" ca="1" si="57"/>
        <v/>
      </c>
      <c r="CT58" s="88" t="str">
        <f t="shared" ca="1" si="57"/>
        <v/>
      </c>
      <c r="CU58" s="88" t="str">
        <f t="shared" ca="1" si="57"/>
        <v/>
      </c>
      <c r="CV58" s="88" t="str">
        <f t="shared" ca="1" si="57"/>
        <v/>
      </c>
      <c r="CW58" s="88" t="str">
        <f t="shared" ca="1" si="57"/>
        <v/>
      </c>
      <c r="CX58" s="88" t="str">
        <f t="shared" ca="1" si="57"/>
        <v/>
      </c>
      <c r="CY58" s="88" t="str">
        <f t="shared" ca="1" si="57"/>
        <v/>
      </c>
      <c r="CZ58" s="88" t="str">
        <f t="shared" ca="1" si="57"/>
        <v/>
      </c>
      <c r="DA58" s="88" t="str">
        <f t="shared" ca="1" si="57"/>
        <v/>
      </c>
      <c r="DB58" s="88" t="str">
        <f t="shared" ca="1" si="57"/>
        <v/>
      </c>
      <c r="DC58" s="88" t="str">
        <f t="shared" ca="1" si="57"/>
        <v/>
      </c>
      <c r="DD58" s="88" t="str">
        <f t="shared" ca="1" si="57"/>
        <v/>
      </c>
      <c r="DE58" s="88" t="str">
        <f t="shared" ca="1" si="57"/>
        <v/>
      </c>
      <c r="DF58" s="88" t="str">
        <f t="shared" ca="1" si="57"/>
        <v/>
      </c>
      <c r="DG58" s="88" t="str">
        <f t="shared" ca="1" si="57"/>
        <v/>
      </c>
      <c r="DH58" s="88" t="str">
        <f t="shared" ca="1" si="57"/>
        <v/>
      </c>
      <c r="DI58" s="88" t="str">
        <f t="shared" ca="1" si="57"/>
        <v/>
      </c>
      <c r="DJ58" s="88" t="str">
        <f t="shared" ca="1" si="57"/>
        <v/>
      </c>
      <c r="DK58" s="88" t="str">
        <f t="shared" ca="1" si="57"/>
        <v/>
      </c>
      <c r="DL58" s="88" t="str">
        <f t="shared" ca="1" si="57"/>
        <v/>
      </c>
      <c r="DM58" s="88" t="str">
        <f t="shared" ca="1" si="57"/>
        <v/>
      </c>
      <c r="DN58" s="88" t="str">
        <f t="shared" ca="1" si="57"/>
        <v/>
      </c>
      <c r="DO58" s="88" t="str">
        <f t="shared" ca="1" si="57"/>
        <v/>
      </c>
      <c r="DP58" s="88" t="str">
        <f t="shared" ca="1" si="57"/>
        <v/>
      </c>
      <c r="DQ58" s="88" t="str">
        <f t="shared" ca="1" si="57"/>
        <v/>
      </c>
      <c r="DR58" s="88" t="str">
        <f t="shared" ca="1" si="57"/>
        <v/>
      </c>
      <c r="DS58" s="88" t="str">
        <f t="shared" ca="1" si="57"/>
        <v/>
      </c>
      <c r="DT58" s="88" t="str">
        <f t="shared" ca="1" si="57"/>
        <v/>
      </c>
      <c r="DU58" s="88" t="str">
        <f t="shared" ca="1" si="57"/>
        <v/>
      </c>
      <c r="DV58" s="88" t="str">
        <f t="shared" ca="1" si="57"/>
        <v/>
      </c>
      <c r="DW58" s="88" t="str">
        <f t="shared" ca="1" si="57"/>
        <v/>
      </c>
      <c r="DX58" s="88" t="str">
        <f t="shared" ref="DX58:EX58" ca="1" si="58">IF(DX$8=TODAY(),CHAR(124),"")</f>
        <v/>
      </c>
      <c r="DY58" s="88" t="str">
        <f t="shared" ca="1" si="58"/>
        <v/>
      </c>
      <c r="DZ58" s="88" t="str">
        <f t="shared" ca="1" si="58"/>
        <v/>
      </c>
      <c r="EA58" s="88" t="str">
        <f t="shared" ca="1" si="58"/>
        <v/>
      </c>
      <c r="EB58" s="88" t="str">
        <f t="shared" ca="1" si="58"/>
        <v/>
      </c>
      <c r="EC58" s="88" t="str">
        <f t="shared" ca="1" si="58"/>
        <v/>
      </c>
      <c r="ED58" s="88" t="str">
        <f t="shared" ca="1" si="58"/>
        <v/>
      </c>
      <c r="EE58" s="88" t="str">
        <f t="shared" ca="1" si="58"/>
        <v/>
      </c>
      <c r="EF58" s="88" t="str">
        <f t="shared" ca="1" si="58"/>
        <v/>
      </c>
      <c r="EG58" s="88" t="str">
        <f t="shared" ca="1" si="58"/>
        <v/>
      </c>
      <c r="EH58" s="88" t="str">
        <f t="shared" ca="1" si="58"/>
        <v/>
      </c>
      <c r="EI58" s="88" t="str">
        <f t="shared" ca="1" si="58"/>
        <v/>
      </c>
      <c r="EJ58" s="9" t="str">
        <f t="shared" ca="1" si="58"/>
        <v/>
      </c>
      <c r="EK58" s="9" t="str">
        <f t="shared" ca="1" si="58"/>
        <v/>
      </c>
      <c r="EL58" s="9" t="str">
        <f t="shared" ca="1" si="58"/>
        <v/>
      </c>
      <c r="EM58" s="9" t="str">
        <f t="shared" ca="1" si="58"/>
        <v/>
      </c>
      <c r="EN58" s="9" t="str">
        <f t="shared" ca="1" si="58"/>
        <v/>
      </c>
      <c r="EO58" s="9" t="str">
        <f t="shared" ca="1" si="58"/>
        <v/>
      </c>
      <c r="EP58" s="9" t="str">
        <f t="shared" ca="1" si="58"/>
        <v/>
      </c>
      <c r="EQ58" s="9" t="str">
        <f t="shared" ca="1" si="58"/>
        <v/>
      </c>
      <c r="ER58" s="9" t="str">
        <f t="shared" ca="1" si="58"/>
        <v/>
      </c>
      <c r="ES58" s="9" t="str">
        <f t="shared" ca="1" si="58"/>
        <v/>
      </c>
      <c r="ET58" s="9" t="str">
        <f t="shared" ca="1" si="58"/>
        <v/>
      </c>
      <c r="EU58" s="9" t="str">
        <f t="shared" ca="1" si="58"/>
        <v/>
      </c>
      <c r="EV58" s="9" t="str">
        <f t="shared" ca="1" si="58"/>
        <v/>
      </c>
      <c r="EW58" s="9" t="str">
        <f t="shared" ca="1" si="58"/>
        <v/>
      </c>
      <c r="EX58" s="9" t="str">
        <f t="shared" ca="1" si="58"/>
        <v/>
      </c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</row>
    <row r="59" spans="2:252" outlineLevel="1">
      <c r="B59" s="75" t="s">
        <v>232</v>
      </c>
      <c r="C59" s="135" t="s">
        <v>321</v>
      </c>
      <c r="D59" s="78"/>
      <c r="E59" s="79">
        <v>46193</v>
      </c>
      <c r="F59" s="78">
        <f>NETWORKDAYS(E59,G59,Праздники!$A$1:$A$14)</f>
        <v>5</v>
      </c>
      <c r="G59" s="79">
        <v>46199</v>
      </c>
      <c r="H59" s="80">
        <v>1</v>
      </c>
      <c r="I59" s="78" t="s">
        <v>145</v>
      </c>
      <c r="J59" s="78" t="s">
        <v>150</v>
      </c>
      <c r="K59" s="81"/>
      <c r="L59" s="81" t="s">
        <v>266</v>
      </c>
      <c r="M59" s="123" t="s">
        <v>311</v>
      </c>
      <c r="N59" s="81"/>
      <c r="O59" s="81"/>
      <c r="P59" s="87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88"/>
      <c r="DB59" s="88"/>
      <c r="DC59" s="88"/>
      <c r="DD59" s="88"/>
      <c r="DE59" s="88"/>
      <c r="DF59" s="88"/>
      <c r="DG59" s="88"/>
      <c r="DH59" s="88"/>
      <c r="DI59" s="88"/>
      <c r="DJ59" s="88"/>
      <c r="DK59" s="88"/>
      <c r="DL59" s="88"/>
      <c r="DM59" s="88"/>
      <c r="DN59" s="88"/>
      <c r="DO59" s="88"/>
      <c r="DP59" s="88"/>
      <c r="DQ59" s="88"/>
      <c r="DR59" s="88"/>
      <c r="DS59" s="88"/>
      <c r="DT59" s="88"/>
      <c r="DU59" s="88"/>
      <c r="DV59" s="88"/>
      <c r="DW59" s="88"/>
      <c r="DX59" s="88"/>
      <c r="DY59" s="88"/>
      <c r="DZ59" s="88"/>
      <c r="EA59" s="88"/>
      <c r="EB59" s="88"/>
      <c r="EC59" s="88"/>
      <c r="ED59" s="88"/>
      <c r="EE59" s="88"/>
      <c r="EF59" s="88"/>
      <c r="EG59" s="88"/>
      <c r="EH59" s="88"/>
      <c r="EI59" s="88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</row>
    <row r="60" spans="2:252" outlineLevel="1">
      <c r="B60" s="75" t="s">
        <v>320</v>
      </c>
      <c r="C60" s="135" t="s">
        <v>233</v>
      </c>
      <c r="D60" s="78"/>
      <c r="E60" s="79">
        <v>46259</v>
      </c>
      <c r="F60" s="56">
        <f>NETWORKDAYS(E60,G60,Праздники!$A$1:$A$14)</f>
        <v>14</v>
      </c>
      <c r="G60" s="79">
        <v>46276</v>
      </c>
      <c r="H60" s="80">
        <v>0.4</v>
      </c>
      <c r="I60" s="78" t="s">
        <v>151</v>
      </c>
      <c r="J60" s="81" t="s">
        <v>149</v>
      </c>
      <c r="K60" s="81"/>
      <c r="L60" s="81"/>
      <c r="M60" s="81"/>
      <c r="N60" s="81"/>
      <c r="O60" s="81"/>
      <c r="P60" s="87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88"/>
      <c r="DL60" s="88"/>
      <c r="DM60" s="88"/>
      <c r="DN60" s="88"/>
      <c r="DO60" s="88"/>
      <c r="DP60" s="88"/>
      <c r="DQ60" s="88"/>
      <c r="DR60" s="88"/>
      <c r="DS60" s="88"/>
      <c r="DT60" s="88"/>
      <c r="DU60" s="88"/>
      <c r="DV60" s="88"/>
      <c r="DW60" s="88"/>
      <c r="DX60" s="88"/>
      <c r="DY60" s="88"/>
      <c r="DZ60" s="88"/>
      <c r="EA60" s="88"/>
      <c r="EB60" s="88"/>
      <c r="EC60" s="88"/>
      <c r="ED60" s="88"/>
      <c r="EE60" s="88"/>
      <c r="EF60" s="88"/>
      <c r="EG60" s="88"/>
      <c r="EH60" s="88"/>
      <c r="EI60" s="88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</row>
    <row r="61" spans="2:252" outlineLevel="1">
      <c r="B61" s="75" t="s">
        <v>141</v>
      </c>
      <c r="C61" s="77" t="s">
        <v>116</v>
      </c>
      <c r="D61" s="78" t="s">
        <v>118</v>
      </c>
      <c r="E61" s="79">
        <v>46276</v>
      </c>
      <c r="F61" s="78">
        <f>NETWORKDAYS(E61,G61,Праздники!$A$1:$A$14)</f>
        <v>6</v>
      </c>
      <c r="G61" s="79">
        <v>46283</v>
      </c>
      <c r="H61" s="80">
        <v>0</v>
      </c>
      <c r="I61" s="78" t="s">
        <v>157</v>
      </c>
      <c r="J61" s="78" t="s">
        <v>150</v>
      </c>
      <c r="K61" s="81" t="s">
        <v>237</v>
      </c>
      <c r="L61" s="81"/>
      <c r="M61" s="81"/>
      <c r="N61" s="81" t="s">
        <v>287</v>
      </c>
      <c r="O61" s="81"/>
      <c r="P61" s="87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88"/>
      <c r="DL61" s="88"/>
      <c r="DM61" s="88"/>
      <c r="DN61" s="88"/>
      <c r="DO61" s="88"/>
      <c r="DP61" s="88"/>
      <c r="DQ61" s="88"/>
      <c r="DR61" s="88"/>
      <c r="DS61" s="88"/>
      <c r="DT61" s="88"/>
      <c r="DU61" s="88"/>
      <c r="DV61" s="88"/>
      <c r="DW61" s="88"/>
      <c r="DX61" s="88"/>
      <c r="DY61" s="88"/>
      <c r="DZ61" s="88"/>
      <c r="EA61" s="88"/>
      <c r="EB61" s="88"/>
      <c r="EC61" s="88"/>
      <c r="ED61" s="88"/>
      <c r="EE61" s="88"/>
      <c r="EF61" s="88"/>
      <c r="EG61" s="88"/>
      <c r="EH61" s="88"/>
      <c r="EI61" s="88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</row>
    <row r="62" spans="2:252" outlineLevel="1">
      <c r="B62" s="75" t="s">
        <v>234</v>
      </c>
      <c r="C62" s="135" t="s">
        <v>233</v>
      </c>
      <c r="D62" s="78"/>
      <c r="E62" s="79">
        <v>46276</v>
      </c>
      <c r="F62" s="56">
        <f>NETWORKDAYS(E62,G62,Праздники!$A$1:$A$14)</f>
        <v>6</v>
      </c>
      <c r="G62" s="79">
        <v>46283</v>
      </c>
      <c r="H62" s="80">
        <v>0</v>
      </c>
      <c r="I62" s="78" t="s">
        <v>151</v>
      </c>
      <c r="J62" s="78" t="s">
        <v>157</v>
      </c>
      <c r="K62" s="81"/>
      <c r="L62" s="81"/>
      <c r="M62" s="81"/>
      <c r="N62" s="81"/>
      <c r="O62" s="81"/>
      <c r="P62" s="87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88"/>
      <c r="DF62" s="88"/>
      <c r="DG62" s="88"/>
      <c r="DH62" s="88"/>
      <c r="DI62" s="88"/>
      <c r="DJ62" s="88"/>
      <c r="DK62" s="88"/>
      <c r="DL62" s="88"/>
      <c r="DM62" s="88"/>
      <c r="DN62" s="88"/>
      <c r="DO62" s="88"/>
      <c r="DP62" s="88"/>
      <c r="DQ62" s="88"/>
      <c r="DR62" s="88"/>
      <c r="DS62" s="88"/>
      <c r="DT62" s="88"/>
      <c r="DU62" s="88"/>
      <c r="DV62" s="88"/>
      <c r="DW62" s="88"/>
      <c r="DX62" s="88"/>
      <c r="DY62" s="88"/>
      <c r="DZ62" s="88"/>
      <c r="EA62" s="88"/>
      <c r="EB62" s="88"/>
      <c r="EC62" s="88"/>
      <c r="ED62" s="88"/>
      <c r="EE62" s="88"/>
      <c r="EF62" s="88"/>
      <c r="EG62" s="88"/>
      <c r="EH62" s="88"/>
      <c r="EI62" s="88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</row>
    <row r="63" spans="2:252" outlineLevel="1">
      <c r="B63" s="131" t="s">
        <v>289</v>
      </c>
      <c r="C63" s="135" t="s">
        <v>288</v>
      </c>
      <c r="D63" s="78"/>
      <c r="E63" s="79">
        <v>46283</v>
      </c>
      <c r="F63" s="56">
        <f>NETWORKDAYS(E63,G63,Праздники!$A$1:$A$14)</f>
        <v>21</v>
      </c>
      <c r="G63" s="79">
        <v>46313</v>
      </c>
      <c r="H63" s="80">
        <v>0</v>
      </c>
      <c r="I63" s="78" t="s">
        <v>149</v>
      </c>
      <c r="J63" s="81" t="s">
        <v>150</v>
      </c>
      <c r="K63" s="81" t="s">
        <v>290</v>
      </c>
      <c r="L63" s="81" t="s">
        <v>290</v>
      </c>
      <c r="M63" s="81"/>
      <c r="N63" s="81"/>
      <c r="O63" s="81"/>
      <c r="P63" s="87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88"/>
      <c r="DJ63" s="88"/>
      <c r="DK63" s="88"/>
      <c r="DL63" s="88"/>
      <c r="DM63" s="88"/>
      <c r="DN63" s="88"/>
      <c r="DO63" s="88"/>
      <c r="DP63" s="88"/>
      <c r="DQ63" s="88"/>
      <c r="DR63" s="88"/>
      <c r="DS63" s="88"/>
      <c r="DT63" s="88"/>
      <c r="DU63" s="88"/>
      <c r="DV63" s="88"/>
      <c r="DW63" s="88"/>
      <c r="DX63" s="88"/>
      <c r="DY63" s="88"/>
      <c r="DZ63" s="88"/>
      <c r="EA63" s="88"/>
      <c r="EB63" s="88"/>
      <c r="EC63" s="88"/>
      <c r="ED63" s="88"/>
      <c r="EE63" s="88"/>
      <c r="EF63" s="88"/>
      <c r="EG63" s="88"/>
      <c r="EH63" s="88"/>
      <c r="EI63" s="88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</row>
    <row r="64" spans="2:252" outlineLevel="1">
      <c r="B64" s="76" t="s">
        <v>59</v>
      </c>
      <c r="C64" s="77" t="s">
        <v>81</v>
      </c>
      <c r="D64" s="78" t="s">
        <v>98</v>
      </c>
      <c r="E64" s="79">
        <v>46185</v>
      </c>
      <c r="F64" s="56">
        <f>NETWORKDAYS(E64,G64,Праздники!$A$1:$A$14)</f>
        <v>25</v>
      </c>
      <c r="G64" s="79">
        <v>46222</v>
      </c>
      <c r="H64" s="80">
        <v>0.8</v>
      </c>
      <c r="I64" s="78" t="s">
        <v>149</v>
      </c>
      <c r="J64" s="81" t="s">
        <v>172</v>
      </c>
      <c r="K64" s="81" t="s">
        <v>291</v>
      </c>
      <c r="L64" s="81"/>
      <c r="M64" s="81"/>
      <c r="N64" s="81"/>
      <c r="O64" s="81"/>
      <c r="P64" s="87" t="str">
        <f t="shared" ca="1" si="55"/>
        <v/>
      </c>
      <c r="Q64" s="88" t="str">
        <f t="shared" ca="1" si="55"/>
        <v/>
      </c>
      <c r="R64" s="88" t="str">
        <f t="shared" ca="1" si="55"/>
        <v/>
      </c>
      <c r="S64" s="88" t="str">
        <f t="shared" ca="1" si="55"/>
        <v/>
      </c>
      <c r="T64" s="88" t="str">
        <f t="shared" ca="1" si="55"/>
        <v/>
      </c>
      <c r="U64" s="88" t="str">
        <f t="shared" ca="1" si="55"/>
        <v/>
      </c>
      <c r="V64" s="88" t="str">
        <f t="shared" ca="1" si="55"/>
        <v/>
      </c>
      <c r="W64" s="88" t="str">
        <f t="shared" ca="1" si="55"/>
        <v/>
      </c>
      <c r="X64" s="88" t="str">
        <f t="shared" ca="1" si="55"/>
        <v/>
      </c>
      <c r="Y64" s="88" t="str">
        <f t="shared" ca="1" si="55"/>
        <v/>
      </c>
      <c r="Z64" s="88" t="str">
        <f t="shared" ca="1" si="55"/>
        <v/>
      </c>
      <c r="AA64" s="88" t="str">
        <f t="shared" ca="1" si="55"/>
        <v/>
      </c>
      <c r="AB64" s="88" t="str">
        <f t="shared" ca="1" si="55"/>
        <v/>
      </c>
      <c r="AC64" s="88" t="str">
        <f t="shared" ca="1" si="55"/>
        <v/>
      </c>
      <c r="AD64" s="88" t="str">
        <f t="shared" ca="1" si="55"/>
        <v/>
      </c>
      <c r="AE64" s="88" t="str">
        <f t="shared" ref="AE64:AE70" ca="1" si="59">IF(AE$8=TODAY(),CHAR(124),"")</f>
        <v/>
      </c>
      <c r="AF64" s="88" t="str">
        <f t="shared" ca="1" si="52"/>
        <v/>
      </c>
      <c r="AG64" s="88" t="str">
        <f t="shared" ca="1" si="52"/>
        <v/>
      </c>
      <c r="AH64" s="88" t="str">
        <f t="shared" ca="1" si="52"/>
        <v/>
      </c>
      <c r="AI64" s="88" t="str">
        <f t="shared" ca="1" si="52"/>
        <v/>
      </c>
      <c r="AJ64" s="88" t="str">
        <f t="shared" ca="1" si="52"/>
        <v/>
      </c>
      <c r="AK64" s="88" t="str">
        <f t="shared" ca="1" si="52"/>
        <v/>
      </c>
      <c r="AL64" s="88" t="str">
        <f t="shared" ca="1" si="52"/>
        <v/>
      </c>
      <c r="AM64" s="88" t="str">
        <f t="shared" ca="1" si="52"/>
        <v/>
      </c>
      <c r="AN64" s="88" t="str">
        <f t="shared" ca="1" si="52"/>
        <v/>
      </c>
      <c r="AO64" s="88" t="str">
        <f t="shared" ca="1" si="52"/>
        <v/>
      </c>
      <c r="AP64" s="88" t="str">
        <f t="shared" ca="1" si="52"/>
        <v/>
      </c>
      <c r="AQ64" s="88" t="str">
        <f t="shared" ca="1" si="52"/>
        <v/>
      </c>
      <c r="AR64" s="88" t="str">
        <f t="shared" ca="1" si="52"/>
        <v/>
      </c>
      <c r="AS64" s="88" t="str">
        <f t="shared" ca="1" si="52"/>
        <v/>
      </c>
      <c r="AT64" s="88" t="str">
        <f t="shared" ca="1" si="52"/>
        <v/>
      </c>
      <c r="AU64" s="88" t="str">
        <f t="shared" ca="1" si="52"/>
        <v/>
      </c>
      <c r="AV64" s="88" t="str">
        <f t="shared" ca="1" si="53"/>
        <v/>
      </c>
      <c r="AW64" s="88" t="str">
        <f t="shared" ca="1" si="53"/>
        <v/>
      </c>
      <c r="AX64" s="88" t="str">
        <f t="shared" ca="1" si="53"/>
        <v/>
      </c>
      <c r="AY64" s="88" t="str">
        <f t="shared" ca="1" si="53"/>
        <v/>
      </c>
      <c r="AZ64" s="88" t="str">
        <f t="shared" ca="1" si="53"/>
        <v/>
      </c>
      <c r="BA64" s="88" t="str">
        <f t="shared" ca="1" si="53"/>
        <v/>
      </c>
      <c r="BB64" s="88" t="str">
        <f t="shared" ca="1" si="53"/>
        <v/>
      </c>
      <c r="BC64" s="88" t="str">
        <f t="shared" ca="1" si="53"/>
        <v/>
      </c>
      <c r="BD64" s="88" t="str">
        <f t="shared" ca="1" si="53"/>
        <v/>
      </c>
      <c r="BE64" s="88" t="str">
        <f t="shared" ca="1" si="53"/>
        <v/>
      </c>
      <c r="BF64" s="88" t="str">
        <f t="shared" ca="1" si="53"/>
        <v/>
      </c>
      <c r="BG64" s="88" t="str">
        <f t="shared" ca="1" si="53"/>
        <v/>
      </c>
      <c r="BH64" s="88" t="str">
        <f t="shared" ca="1" si="53"/>
        <v/>
      </c>
      <c r="BI64" s="88" t="str">
        <f t="shared" ca="1" si="53"/>
        <v/>
      </c>
      <c r="BJ64" s="88" t="str">
        <f t="shared" ca="1" si="53"/>
        <v/>
      </c>
      <c r="BK64" s="88" t="str">
        <f t="shared" ca="1" si="53"/>
        <v/>
      </c>
      <c r="BL64" s="88" t="str">
        <f t="shared" ca="1" si="54"/>
        <v/>
      </c>
      <c r="BM64" s="88" t="str">
        <f t="shared" ca="1" si="54"/>
        <v/>
      </c>
      <c r="BN64" s="88" t="str">
        <f t="shared" ca="1" si="54"/>
        <v/>
      </c>
      <c r="BO64" s="88" t="str">
        <f t="shared" ca="1" si="54"/>
        <v/>
      </c>
      <c r="BP64" s="88" t="str">
        <f t="shared" ca="1" si="54"/>
        <v/>
      </c>
      <c r="BQ64" s="88" t="str">
        <f t="shared" ca="1" si="54"/>
        <v/>
      </c>
      <c r="BR64" s="88" t="str">
        <f t="shared" ca="1" si="54"/>
        <v/>
      </c>
      <c r="BS64" s="88" t="str">
        <f t="shared" ca="1" si="54"/>
        <v/>
      </c>
      <c r="BT64" s="88" t="str">
        <f t="shared" ca="1" si="54"/>
        <v/>
      </c>
      <c r="BU64" s="88" t="str">
        <f t="shared" ca="1" si="54"/>
        <v/>
      </c>
      <c r="BV64" s="88" t="str">
        <f t="shared" ca="1" si="54"/>
        <v/>
      </c>
      <c r="BW64" s="88" t="str">
        <f t="shared" ca="1" si="54"/>
        <v/>
      </c>
      <c r="BX64" s="88" t="str">
        <f t="shared" ca="1" si="54"/>
        <v/>
      </c>
      <c r="BY64" s="88" t="str">
        <f t="shared" ca="1" si="54"/>
        <v/>
      </c>
      <c r="BZ64" s="88" t="str">
        <f t="shared" ca="1" si="54"/>
        <v/>
      </c>
      <c r="CA64" s="88" t="str">
        <f t="shared" ca="1" si="54"/>
        <v/>
      </c>
      <c r="CB64" s="88" t="str">
        <f t="shared" ca="1" si="56"/>
        <v/>
      </c>
      <c r="CC64" s="88" t="str">
        <f t="shared" ca="1" si="56"/>
        <v/>
      </c>
      <c r="CD64" s="88" t="str">
        <f t="shared" ca="1" si="56"/>
        <v/>
      </c>
      <c r="CE64" s="88" t="str">
        <f t="shared" ca="1" si="56"/>
        <v/>
      </c>
      <c r="CF64" s="88" t="str">
        <f t="shared" ca="1" si="56"/>
        <v/>
      </c>
      <c r="CG64" s="88" t="str">
        <f t="shared" ca="1" si="56"/>
        <v/>
      </c>
      <c r="CH64" s="88" t="str">
        <f t="shared" ca="1" si="56"/>
        <v/>
      </c>
      <c r="CI64" s="88" t="str">
        <f t="shared" ca="1" si="56"/>
        <v/>
      </c>
      <c r="CJ64" s="88" t="str">
        <f t="shared" ca="1" si="56"/>
        <v/>
      </c>
      <c r="CK64" s="88" t="str">
        <f t="shared" ca="1" si="56"/>
        <v/>
      </c>
      <c r="CL64" s="88" t="str">
        <f t="shared" ca="1" si="56"/>
        <v/>
      </c>
      <c r="CM64" s="88" t="str">
        <f t="shared" ca="1" si="56"/>
        <v/>
      </c>
      <c r="CN64" s="88" t="str">
        <f t="shared" ca="1" si="56"/>
        <v/>
      </c>
      <c r="CO64" s="88" t="str">
        <f t="shared" ca="1" si="56"/>
        <v/>
      </c>
      <c r="CP64" s="88" t="str">
        <f t="shared" ca="1" si="56"/>
        <v/>
      </c>
      <c r="CQ64" s="88" t="str">
        <f t="shared" ca="1" si="56"/>
        <v/>
      </c>
      <c r="CR64" s="88" t="str">
        <f t="shared" ref="CR64:DH70" ca="1" si="60">IF(CR$8=TODAY(),CHAR(124),"")</f>
        <v/>
      </c>
      <c r="CS64" s="88" t="str">
        <f t="shared" ca="1" si="60"/>
        <v/>
      </c>
      <c r="CT64" s="88" t="str">
        <f t="shared" ca="1" si="60"/>
        <v/>
      </c>
      <c r="CU64" s="88" t="str">
        <f t="shared" ca="1" si="60"/>
        <v/>
      </c>
      <c r="CV64" s="88" t="str">
        <f t="shared" ca="1" si="60"/>
        <v/>
      </c>
      <c r="CW64" s="88" t="str">
        <f t="shared" ca="1" si="60"/>
        <v/>
      </c>
      <c r="CX64" s="88" t="str">
        <f t="shared" ca="1" si="60"/>
        <v/>
      </c>
      <c r="CY64" s="88" t="str">
        <f t="shared" ca="1" si="60"/>
        <v/>
      </c>
      <c r="CZ64" s="88" t="str">
        <f t="shared" ca="1" si="60"/>
        <v/>
      </c>
      <c r="DA64" s="88" t="str">
        <f t="shared" ca="1" si="60"/>
        <v/>
      </c>
      <c r="DB64" s="88" t="str">
        <f t="shared" ca="1" si="60"/>
        <v/>
      </c>
      <c r="DC64" s="88" t="str">
        <f t="shared" ca="1" si="60"/>
        <v/>
      </c>
      <c r="DD64" s="88" t="str">
        <f t="shared" ca="1" si="60"/>
        <v/>
      </c>
      <c r="DE64" s="88" t="str">
        <f t="shared" ca="1" si="60"/>
        <v/>
      </c>
      <c r="DF64" s="88" t="str">
        <f t="shared" ca="1" si="60"/>
        <v/>
      </c>
      <c r="DG64" s="88" t="str">
        <f t="shared" ca="1" si="60"/>
        <v/>
      </c>
      <c r="DH64" s="88" t="str">
        <f t="shared" ca="1" si="60"/>
        <v/>
      </c>
      <c r="DI64" s="88" t="str">
        <f t="shared" ref="DI64:DR70" ca="1" si="61">IF(DI$8=TODAY(),CHAR(124),"")</f>
        <v/>
      </c>
      <c r="DJ64" s="88" t="str">
        <f t="shared" ca="1" si="61"/>
        <v/>
      </c>
      <c r="DK64" s="88" t="str">
        <f t="shared" ca="1" si="61"/>
        <v/>
      </c>
      <c r="DL64" s="88" t="str">
        <f t="shared" ca="1" si="61"/>
        <v/>
      </c>
      <c r="DM64" s="88" t="str">
        <f t="shared" ca="1" si="61"/>
        <v/>
      </c>
      <c r="DN64" s="88" t="str">
        <f t="shared" ca="1" si="61"/>
        <v/>
      </c>
      <c r="DO64" s="88" t="str">
        <f t="shared" ca="1" si="61"/>
        <v/>
      </c>
      <c r="DP64" s="88" t="str">
        <f t="shared" ca="1" si="61"/>
        <v/>
      </c>
      <c r="DQ64" s="88" t="str">
        <f t="shared" ca="1" si="61"/>
        <v/>
      </c>
      <c r="DR64" s="88" t="str">
        <f t="shared" ca="1" si="61"/>
        <v/>
      </c>
      <c r="DS64" s="88" t="str">
        <f t="shared" ref="DS64:EB70" ca="1" si="62">IF(DS$8=TODAY(),CHAR(124),"")</f>
        <v/>
      </c>
      <c r="DT64" s="88" t="str">
        <f t="shared" ca="1" si="62"/>
        <v/>
      </c>
      <c r="DU64" s="88" t="str">
        <f t="shared" ca="1" si="62"/>
        <v/>
      </c>
      <c r="DV64" s="88" t="str">
        <f t="shared" ca="1" si="62"/>
        <v/>
      </c>
      <c r="DW64" s="88" t="str">
        <f t="shared" ca="1" si="62"/>
        <v/>
      </c>
      <c r="DX64" s="88" t="str">
        <f t="shared" ca="1" si="62"/>
        <v/>
      </c>
      <c r="DY64" s="88" t="str">
        <f t="shared" ca="1" si="62"/>
        <v/>
      </c>
      <c r="DZ64" s="88" t="str">
        <f t="shared" ca="1" si="62"/>
        <v/>
      </c>
      <c r="EA64" s="88" t="str">
        <f t="shared" ca="1" si="62"/>
        <v/>
      </c>
      <c r="EB64" s="88" t="str">
        <f t="shared" ca="1" si="62"/>
        <v/>
      </c>
      <c r="EC64" s="88" t="str">
        <f t="shared" ref="EC64:EL70" ca="1" si="63">IF(EC$8=TODAY(),CHAR(124),"")</f>
        <v/>
      </c>
      <c r="ED64" s="88" t="str">
        <f t="shared" ca="1" si="63"/>
        <v/>
      </c>
      <c r="EE64" s="88" t="str">
        <f t="shared" ca="1" si="63"/>
        <v/>
      </c>
      <c r="EF64" s="88" t="str">
        <f t="shared" ca="1" si="63"/>
        <v/>
      </c>
      <c r="EG64" s="88" t="str">
        <f t="shared" ca="1" si="63"/>
        <v/>
      </c>
      <c r="EH64" s="88" t="str">
        <f t="shared" ca="1" si="63"/>
        <v/>
      </c>
      <c r="EI64" s="88" t="str">
        <f t="shared" ca="1" si="63"/>
        <v/>
      </c>
      <c r="EJ64" s="9" t="str">
        <f t="shared" ca="1" si="63"/>
        <v/>
      </c>
      <c r="EK64" s="9" t="str">
        <f t="shared" ca="1" si="63"/>
        <v/>
      </c>
      <c r="EL64" s="9" t="str">
        <f t="shared" ca="1" si="63"/>
        <v/>
      </c>
      <c r="EM64" s="9" t="str">
        <f t="shared" ref="EM64:EX70" ca="1" si="64">IF(EM$8=TODAY(),CHAR(124),"")</f>
        <v/>
      </c>
      <c r="EN64" s="9" t="str">
        <f t="shared" ca="1" si="64"/>
        <v/>
      </c>
      <c r="EO64" s="9" t="str">
        <f t="shared" ca="1" si="64"/>
        <v/>
      </c>
      <c r="EP64" s="9" t="str">
        <f t="shared" ca="1" si="64"/>
        <v/>
      </c>
      <c r="EQ64" s="9" t="str">
        <f t="shared" ca="1" si="64"/>
        <v/>
      </c>
      <c r="ER64" s="9" t="str">
        <f t="shared" ca="1" si="64"/>
        <v/>
      </c>
      <c r="ES64" s="9" t="str">
        <f t="shared" ca="1" si="64"/>
        <v/>
      </c>
      <c r="ET64" s="9" t="str">
        <f t="shared" ca="1" si="64"/>
        <v/>
      </c>
      <c r="EU64" s="9" t="str">
        <f t="shared" ca="1" si="64"/>
        <v/>
      </c>
      <c r="EV64" s="9" t="str">
        <f t="shared" ca="1" si="64"/>
        <v/>
      </c>
      <c r="EW64" s="9" t="str">
        <f t="shared" ca="1" si="64"/>
        <v/>
      </c>
      <c r="EX64" s="9" t="str">
        <f t="shared" ca="1" si="64"/>
        <v/>
      </c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</row>
    <row r="65" spans="2:252">
      <c r="B65" s="71" t="s">
        <v>60</v>
      </c>
      <c r="C65" s="71" t="s">
        <v>23</v>
      </c>
      <c r="D65" s="49"/>
      <c r="E65" s="50">
        <v>46153</v>
      </c>
      <c r="F65" s="51">
        <f>NETWORKDAYS(E65,G65,Праздники!$A$1:$A$14)</f>
        <v>48</v>
      </c>
      <c r="G65" s="50">
        <v>46222</v>
      </c>
      <c r="H65" s="52"/>
      <c r="I65" s="49"/>
      <c r="J65" s="53"/>
      <c r="K65" s="53"/>
      <c r="L65" s="53"/>
      <c r="M65" s="53"/>
      <c r="N65" s="53"/>
      <c r="O65" s="53"/>
      <c r="P65" s="87" t="str">
        <f t="shared" ca="1" si="55"/>
        <v/>
      </c>
      <c r="Q65" s="88" t="str">
        <f t="shared" ca="1" si="55"/>
        <v/>
      </c>
      <c r="R65" s="88" t="str">
        <f t="shared" ca="1" si="55"/>
        <v/>
      </c>
      <c r="S65" s="88" t="str">
        <f t="shared" ca="1" si="55"/>
        <v/>
      </c>
      <c r="T65" s="88" t="str">
        <f t="shared" ca="1" si="55"/>
        <v/>
      </c>
      <c r="U65" s="88" t="str">
        <f t="shared" ca="1" si="55"/>
        <v/>
      </c>
      <c r="V65" s="88" t="str">
        <f t="shared" ca="1" si="55"/>
        <v/>
      </c>
      <c r="W65" s="88" t="str">
        <f t="shared" ca="1" si="55"/>
        <v/>
      </c>
      <c r="X65" s="88" t="str">
        <f t="shared" ca="1" si="55"/>
        <v/>
      </c>
      <c r="Y65" s="88" t="str">
        <f t="shared" ca="1" si="55"/>
        <v/>
      </c>
      <c r="Z65" s="88" t="str">
        <f t="shared" ca="1" si="55"/>
        <v/>
      </c>
      <c r="AA65" s="88" t="str">
        <f t="shared" ca="1" si="55"/>
        <v/>
      </c>
      <c r="AB65" s="88" t="str">
        <f t="shared" ca="1" si="55"/>
        <v/>
      </c>
      <c r="AC65" s="88" t="str">
        <f t="shared" ca="1" si="55"/>
        <v/>
      </c>
      <c r="AD65" s="88" t="str">
        <f t="shared" ca="1" si="55"/>
        <v/>
      </c>
      <c r="AE65" s="88" t="str">
        <f t="shared" ca="1" si="59"/>
        <v/>
      </c>
      <c r="AF65" s="88" t="str">
        <f t="shared" ca="1" si="52"/>
        <v/>
      </c>
      <c r="AG65" s="88" t="str">
        <f t="shared" ca="1" si="52"/>
        <v/>
      </c>
      <c r="AH65" s="88" t="str">
        <f t="shared" ca="1" si="52"/>
        <v/>
      </c>
      <c r="AI65" s="88" t="str">
        <f t="shared" ca="1" si="52"/>
        <v/>
      </c>
      <c r="AJ65" s="88" t="str">
        <f t="shared" ca="1" si="52"/>
        <v/>
      </c>
      <c r="AK65" s="88" t="str">
        <f t="shared" ca="1" si="52"/>
        <v/>
      </c>
      <c r="AL65" s="88" t="str">
        <f t="shared" ca="1" si="52"/>
        <v/>
      </c>
      <c r="AM65" s="88" t="str">
        <f t="shared" ca="1" si="52"/>
        <v/>
      </c>
      <c r="AN65" s="88" t="str">
        <f t="shared" ca="1" si="52"/>
        <v/>
      </c>
      <c r="AO65" s="88" t="str">
        <f t="shared" ca="1" si="52"/>
        <v/>
      </c>
      <c r="AP65" s="88" t="str">
        <f t="shared" ca="1" si="52"/>
        <v/>
      </c>
      <c r="AQ65" s="88" t="str">
        <f t="shared" ca="1" si="52"/>
        <v/>
      </c>
      <c r="AR65" s="88" t="str">
        <f t="shared" ca="1" si="52"/>
        <v/>
      </c>
      <c r="AS65" s="88" t="str">
        <f t="shared" ca="1" si="52"/>
        <v/>
      </c>
      <c r="AT65" s="88" t="str">
        <f t="shared" ca="1" si="52"/>
        <v/>
      </c>
      <c r="AU65" s="88" t="str">
        <f t="shared" ca="1" si="52"/>
        <v/>
      </c>
      <c r="AV65" s="88" t="str">
        <f t="shared" ca="1" si="53"/>
        <v/>
      </c>
      <c r="AW65" s="88" t="str">
        <f t="shared" ca="1" si="53"/>
        <v/>
      </c>
      <c r="AX65" s="88" t="str">
        <f t="shared" ca="1" si="53"/>
        <v/>
      </c>
      <c r="AY65" s="88" t="str">
        <f t="shared" ca="1" si="53"/>
        <v/>
      </c>
      <c r="AZ65" s="88" t="str">
        <f t="shared" ca="1" si="53"/>
        <v/>
      </c>
      <c r="BA65" s="88" t="str">
        <f t="shared" ca="1" si="53"/>
        <v/>
      </c>
      <c r="BB65" s="88" t="str">
        <f t="shared" ca="1" si="53"/>
        <v/>
      </c>
      <c r="BC65" s="88" t="str">
        <f t="shared" ca="1" si="53"/>
        <v/>
      </c>
      <c r="BD65" s="88" t="str">
        <f t="shared" ca="1" si="53"/>
        <v/>
      </c>
      <c r="BE65" s="88" t="str">
        <f t="shared" ca="1" si="53"/>
        <v/>
      </c>
      <c r="BF65" s="88" t="str">
        <f t="shared" ca="1" si="53"/>
        <v/>
      </c>
      <c r="BG65" s="88" t="str">
        <f t="shared" ca="1" si="53"/>
        <v/>
      </c>
      <c r="BH65" s="88" t="str">
        <f t="shared" ca="1" si="53"/>
        <v/>
      </c>
      <c r="BI65" s="88" t="str">
        <f t="shared" ca="1" si="53"/>
        <v/>
      </c>
      <c r="BJ65" s="88" t="str">
        <f t="shared" ca="1" si="53"/>
        <v/>
      </c>
      <c r="BK65" s="88" t="str">
        <f t="shared" ca="1" si="53"/>
        <v/>
      </c>
      <c r="BL65" s="88" t="str">
        <f t="shared" ca="1" si="54"/>
        <v/>
      </c>
      <c r="BM65" s="88" t="str">
        <f t="shared" ca="1" si="54"/>
        <v/>
      </c>
      <c r="BN65" s="88" t="str">
        <f t="shared" ca="1" si="54"/>
        <v/>
      </c>
      <c r="BO65" s="88" t="str">
        <f t="shared" ca="1" si="54"/>
        <v/>
      </c>
      <c r="BP65" s="88" t="str">
        <f t="shared" ca="1" si="54"/>
        <v/>
      </c>
      <c r="BQ65" s="88" t="str">
        <f t="shared" ca="1" si="54"/>
        <v/>
      </c>
      <c r="BR65" s="88" t="str">
        <f t="shared" ca="1" si="54"/>
        <v/>
      </c>
      <c r="BS65" s="88" t="str">
        <f t="shared" ca="1" si="54"/>
        <v/>
      </c>
      <c r="BT65" s="88" t="str">
        <f t="shared" ca="1" si="54"/>
        <v/>
      </c>
      <c r="BU65" s="88" t="str">
        <f t="shared" ca="1" si="54"/>
        <v/>
      </c>
      <c r="BV65" s="88" t="str">
        <f t="shared" ca="1" si="54"/>
        <v/>
      </c>
      <c r="BW65" s="88" t="str">
        <f t="shared" ca="1" si="54"/>
        <v/>
      </c>
      <c r="BX65" s="88" t="str">
        <f t="shared" ca="1" si="54"/>
        <v/>
      </c>
      <c r="BY65" s="88" t="str">
        <f t="shared" ca="1" si="54"/>
        <v/>
      </c>
      <c r="BZ65" s="88" t="str">
        <f t="shared" ca="1" si="54"/>
        <v/>
      </c>
      <c r="CA65" s="88" t="str">
        <f t="shared" ca="1" si="54"/>
        <v/>
      </c>
      <c r="CB65" s="88" t="str">
        <f t="shared" ca="1" si="56"/>
        <v/>
      </c>
      <c r="CC65" s="88" t="str">
        <f t="shared" ca="1" si="56"/>
        <v/>
      </c>
      <c r="CD65" s="88" t="str">
        <f t="shared" ca="1" si="56"/>
        <v/>
      </c>
      <c r="CE65" s="88" t="str">
        <f t="shared" ca="1" si="56"/>
        <v/>
      </c>
      <c r="CF65" s="88" t="str">
        <f t="shared" ca="1" si="56"/>
        <v/>
      </c>
      <c r="CG65" s="88" t="str">
        <f t="shared" ca="1" si="56"/>
        <v/>
      </c>
      <c r="CH65" s="88" t="str">
        <f t="shared" ca="1" si="56"/>
        <v/>
      </c>
      <c r="CI65" s="88" t="str">
        <f t="shared" ca="1" si="56"/>
        <v/>
      </c>
      <c r="CJ65" s="88" t="str">
        <f t="shared" ca="1" si="56"/>
        <v/>
      </c>
      <c r="CK65" s="88" t="str">
        <f t="shared" ca="1" si="56"/>
        <v/>
      </c>
      <c r="CL65" s="88" t="str">
        <f t="shared" ca="1" si="56"/>
        <v/>
      </c>
      <c r="CM65" s="88" t="str">
        <f t="shared" ca="1" si="56"/>
        <v/>
      </c>
      <c r="CN65" s="88" t="str">
        <f t="shared" ca="1" si="56"/>
        <v/>
      </c>
      <c r="CO65" s="88" t="str">
        <f t="shared" ca="1" si="56"/>
        <v/>
      </c>
      <c r="CP65" s="88" t="str">
        <f t="shared" ca="1" si="56"/>
        <v/>
      </c>
      <c r="CQ65" s="88" t="str">
        <f t="shared" ca="1" si="56"/>
        <v/>
      </c>
      <c r="CR65" s="88" t="str">
        <f t="shared" ca="1" si="60"/>
        <v/>
      </c>
      <c r="CS65" s="88" t="str">
        <f t="shared" ca="1" si="60"/>
        <v/>
      </c>
      <c r="CT65" s="88" t="str">
        <f t="shared" ca="1" si="60"/>
        <v/>
      </c>
      <c r="CU65" s="88" t="str">
        <f t="shared" ca="1" si="60"/>
        <v/>
      </c>
      <c r="CV65" s="88" t="str">
        <f t="shared" ca="1" si="60"/>
        <v/>
      </c>
      <c r="CW65" s="88" t="str">
        <f t="shared" ca="1" si="60"/>
        <v/>
      </c>
      <c r="CX65" s="88" t="str">
        <f t="shared" ca="1" si="60"/>
        <v/>
      </c>
      <c r="CY65" s="88" t="str">
        <f t="shared" ca="1" si="60"/>
        <v/>
      </c>
      <c r="CZ65" s="88" t="str">
        <f t="shared" ca="1" si="60"/>
        <v/>
      </c>
      <c r="DA65" s="88" t="str">
        <f t="shared" ca="1" si="60"/>
        <v/>
      </c>
      <c r="DB65" s="88" t="str">
        <f t="shared" ca="1" si="60"/>
        <v/>
      </c>
      <c r="DC65" s="88" t="str">
        <f t="shared" ca="1" si="60"/>
        <v/>
      </c>
      <c r="DD65" s="88" t="str">
        <f t="shared" ca="1" si="60"/>
        <v/>
      </c>
      <c r="DE65" s="88" t="str">
        <f t="shared" ca="1" si="60"/>
        <v/>
      </c>
      <c r="DF65" s="88" t="str">
        <f t="shared" ca="1" si="60"/>
        <v/>
      </c>
      <c r="DG65" s="88" t="str">
        <f t="shared" ca="1" si="60"/>
        <v/>
      </c>
      <c r="DH65" s="88" t="str">
        <f t="shared" ca="1" si="60"/>
        <v/>
      </c>
      <c r="DI65" s="88" t="str">
        <f t="shared" ca="1" si="61"/>
        <v/>
      </c>
      <c r="DJ65" s="88" t="str">
        <f t="shared" ca="1" si="61"/>
        <v/>
      </c>
      <c r="DK65" s="88" t="str">
        <f t="shared" ca="1" si="61"/>
        <v/>
      </c>
      <c r="DL65" s="88" t="str">
        <f t="shared" ca="1" si="61"/>
        <v/>
      </c>
      <c r="DM65" s="88" t="str">
        <f t="shared" ca="1" si="61"/>
        <v/>
      </c>
      <c r="DN65" s="88" t="str">
        <f t="shared" ca="1" si="61"/>
        <v/>
      </c>
      <c r="DO65" s="88" t="str">
        <f t="shared" ca="1" si="61"/>
        <v/>
      </c>
      <c r="DP65" s="88" t="str">
        <f t="shared" ca="1" si="61"/>
        <v/>
      </c>
      <c r="DQ65" s="88" t="str">
        <f t="shared" ca="1" si="61"/>
        <v/>
      </c>
      <c r="DR65" s="88" t="str">
        <f t="shared" ca="1" si="61"/>
        <v/>
      </c>
      <c r="DS65" s="88" t="str">
        <f t="shared" ca="1" si="62"/>
        <v/>
      </c>
      <c r="DT65" s="88" t="str">
        <f t="shared" ca="1" si="62"/>
        <v/>
      </c>
      <c r="DU65" s="88" t="str">
        <f t="shared" ca="1" si="62"/>
        <v/>
      </c>
      <c r="DV65" s="88" t="str">
        <f t="shared" ca="1" si="62"/>
        <v/>
      </c>
      <c r="DW65" s="88" t="str">
        <f t="shared" ca="1" si="62"/>
        <v/>
      </c>
      <c r="DX65" s="88" t="str">
        <f t="shared" ca="1" si="62"/>
        <v/>
      </c>
      <c r="DY65" s="88" t="str">
        <f t="shared" ca="1" si="62"/>
        <v/>
      </c>
      <c r="DZ65" s="88" t="str">
        <f t="shared" ca="1" si="62"/>
        <v/>
      </c>
      <c r="EA65" s="88" t="str">
        <f t="shared" ca="1" si="62"/>
        <v/>
      </c>
      <c r="EB65" s="88" t="str">
        <f t="shared" ca="1" si="62"/>
        <v/>
      </c>
      <c r="EC65" s="88" t="str">
        <f t="shared" ca="1" si="63"/>
        <v/>
      </c>
      <c r="ED65" s="88" t="str">
        <f t="shared" ca="1" si="63"/>
        <v/>
      </c>
      <c r="EE65" s="88" t="str">
        <f t="shared" ca="1" si="63"/>
        <v/>
      </c>
      <c r="EF65" s="88" t="str">
        <f t="shared" ca="1" si="63"/>
        <v/>
      </c>
      <c r="EG65" s="88" t="str">
        <f t="shared" ca="1" si="63"/>
        <v/>
      </c>
      <c r="EH65" s="88" t="str">
        <f t="shared" ca="1" si="63"/>
        <v/>
      </c>
      <c r="EI65" s="88" t="str">
        <f t="shared" ca="1" si="63"/>
        <v/>
      </c>
      <c r="EJ65" s="9" t="str">
        <f t="shared" ca="1" si="63"/>
        <v/>
      </c>
      <c r="EK65" s="9" t="str">
        <f t="shared" ca="1" si="63"/>
        <v/>
      </c>
      <c r="EL65" s="9" t="str">
        <f t="shared" ca="1" si="63"/>
        <v/>
      </c>
      <c r="EM65" s="9" t="str">
        <f t="shared" ca="1" si="64"/>
        <v/>
      </c>
      <c r="EN65" s="9" t="str">
        <f t="shared" ca="1" si="64"/>
        <v/>
      </c>
      <c r="EO65" s="9" t="str">
        <f t="shared" ca="1" si="64"/>
        <v/>
      </c>
      <c r="EP65" s="9" t="str">
        <f t="shared" ca="1" si="64"/>
        <v/>
      </c>
      <c r="EQ65" s="9" t="str">
        <f t="shared" ca="1" si="64"/>
        <v/>
      </c>
      <c r="ER65" s="9" t="str">
        <f t="shared" ca="1" si="64"/>
        <v/>
      </c>
      <c r="ES65" s="9" t="str">
        <f t="shared" ca="1" si="64"/>
        <v/>
      </c>
      <c r="ET65" s="9" t="str">
        <f t="shared" ca="1" si="64"/>
        <v/>
      </c>
      <c r="EU65" s="9" t="str">
        <f t="shared" ca="1" si="64"/>
        <v/>
      </c>
      <c r="EV65" s="9" t="str">
        <f t="shared" ca="1" si="64"/>
        <v/>
      </c>
      <c r="EW65" s="9" t="str">
        <f t="shared" ca="1" si="64"/>
        <v/>
      </c>
      <c r="EX65" s="9" t="str">
        <f t="shared" ca="1" si="64"/>
        <v/>
      </c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</row>
    <row r="66" spans="2:252" outlineLevel="1">
      <c r="B66" s="72" t="s">
        <v>61</v>
      </c>
      <c r="C66" s="72" t="s">
        <v>103</v>
      </c>
      <c r="D66" s="54" t="s">
        <v>16</v>
      </c>
      <c r="E66" s="55">
        <v>46153</v>
      </c>
      <c r="F66" s="56">
        <f>NETWORKDAYS(E66,G66,Праздники!$A$1:$A$14)</f>
        <v>10</v>
      </c>
      <c r="G66" s="55">
        <v>46167</v>
      </c>
      <c r="H66" s="57">
        <v>1</v>
      </c>
      <c r="I66" s="54" t="s">
        <v>146</v>
      </c>
      <c r="J66" s="58"/>
      <c r="K66" s="58"/>
      <c r="L66" s="58"/>
      <c r="M66" s="58"/>
      <c r="N66" s="58"/>
      <c r="O66" s="58"/>
      <c r="P66" s="87" t="str">
        <f t="shared" ca="1" si="55"/>
        <v/>
      </c>
      <c r="Q66" s="88" t="str">
        <f t="shared" ca="1" si="55"/>
        <v/>
      </c>
      <c r="R66" s="88" t="str">
        <f t="shared" ca="1" si="55"/>
        <v/>
      </c>
      <c r="S66" s="88" t="str">
        <f t="shared" ca="1" si="55"/>
        <v/>
      </c>
      <c r="T66" s="88" t="str">
        <f t="shared" ca="1" si="55"/>
        <v/>
      </c>
      <c r="U66" s="88" t="str">
        <f t="shared" ca="1" si="55"/>
        <v/>
      </c>
      <c r="V66" s="88" t="str">
        <f t="shared" ca="1" si="55"/>
        <v/>
      </c>
      <c r="W66" s="88" t="str">
        <f t="shared" ca="1" si="55"/>
        <v/>
      </c>
      <c r="X66" s="88" t="str">
        <f t="shared" ca="1" si="55"/>
        <v/>
      </c>
      <c r="Y66" s="88" t="str">
        <f t="shared" ca="1" si="55"/>
        <v/>
      </c>
      <c r="Z66" s="88" t="str">
        <f t="shared" ca="1" si="55"/>
        <v/>
      </c>
      <c r="AA66" s="88" t="str">
        <f t="shared" ca="1" si="55"/>
        <v/>
      </c>
      <c r="AB66" s="88" t="str">
        <f t="shared" ca="1" si="55"/>
        <v/>
      </c>
      <c r="AC66" s="88" t="str">
        <f t="shared" ca="1" si="55"/>
        <v/>
      </c>
      <c r="AD66" s="88" t="str">
        <f t="shared" ca="1" si="55"/>
        <v/>
      </c>
      <c r="AE66" s="88" t="str">
        <f t="shared" ca="1" si="59"/>
        <v/>
      </c>
      <c r="AF66" s="88" t="str">
        <f t="shared" ref="AF66:AO70" ca="1" si="65">IF(AF$8=TODAY(),CHAR(124),"")</f>
        <v/>
      </c>
      <c r="AG66" s="88" t="str">
        <f t="shared" ca="1" si="65"/>
        <v/>
      </c>
      <c r="AH66" s="88" t="str">
        <f t="shared" ca="1" si="65"/>
        <v/>
      </c>
      <c r="AI66" s="88" t="str">
        <f t="shared" ca="1" si="65"/>
        <v/>
      </c>
      <c r="AJ66" s="88" t="str">
        <f t="shared" ca="1" si="65"/>
        <v/>
      </c>
      <c r="AK66" s="88" t="str">
        <f t="shared" ca="1" si="65"/>
        <v/>
      </c>
      <c r="AL66" s="88" t="str">
        <f t="shared" ca="1" si="65"/>
        <v/>
      </c>
      <c r="AM66" s="88" t="str">
        <f t="shared" ca="1" si="65"/>
        <v/>
      </c>
      <c r="AN66" s="88" t="str">
        <f t="shared" ca="1" si="65"/>
        <v/>
      </c>
      <c r="AO66" s="88" t="str">
        <f t="shared" ca="1" si="65"/>
        <v/>
      </c>
      <c r="AP66" s="88" t="str">
        <f t="shared" ref="AP66:AY70" ca="1" si="66">IF(AP$8=TODAY(),CHAR(124),"")</f>
        <v/>
      </c>
      <c r="AQ66" s="88" t="str">
        <f t="shared" ca="1" si="66"/>
        <v/>
      </c>
      <c r="AR66" s="88" t="str">
        <f t="shared" ca="1" si="66"/>
        <v/>
      </c>
      <c r="AS66" s="88" t="str">
        <f t="shared" ca="1" si="66"/>
        <v/>
      </c>
      <c r="AT66" s="88" t="str">
        <f t="shared" ca="1" si="66"/>
        <v/>
      </c>
      <c r="AU66" s="88" t="str">
        <f t="shared" ca="1" si="66"/>
        <v/>
      </c>
      <c r="AV66" s="88" t="str">
        <f t="shared" ca="1" si="66"/>
        <v/>
      </c>
      <c r="AW66" s="88" t="str">
        <f t="shared" ca="1" si="66"/>
        <v/>
      </c>
      <c r="AX66" s="88" t="str">
        <f t="shared" ca="1" si="66"/>
        <v/>
      </c>
      <c r="AY66" s="88" t="str">
        <f t="shared" ca="1" si="66"/>
        <v/>
      </c>
      <c r="AZ66" s="88" t="str">
        <f t="shared" ref="AZ66:BI70" ca="1" si="67">IF(AZ$8=TODAY(),CHAR(124),"")</f>
        <v/>
      </c>
      <c r="BA66" s="88" t="str">
        <f t="shared" ca="1" si="67"/>
        <v/>
      </c>
      <c r="BB66" s="88" t="str">
        <f t="shared" ca="1" si="67"/>
        <v/>
      </c>
      <c r="BC66" s="88" t="str">
        <f t="shared" ca="1" si="67"/>
        <v/>
      </c>
      <c r="BD66" s="88" t="str">
        <f t="shared" ca="1" si="67"/>
        <v/>
      </c>
      <c r="BE66" s="88" t="str">
        <f t="shared" ca="1" si="67"/>
        <v/>
      </c>
      <c r="BF66" s="88" t="str">
        <f t="shared" ca="1" si="67"/>
        <v/>
      </c>
      <c r="BG66" s="88" t="str">
        <f t="shared" ca="1" si="67"/>
        <v/>
      </c>
      <c r="BH66" s="88" t="str">
        <f t="shared" ca="1" si="67"/>
        <v/>
      </c>
      <c r="BI66" s="88" t="str">
        <f t="shared" ca="1" si="67"/>
        <v/>
      </c>
      <c r="BJ66" s="88" t="str">
        <f t="shared" ref="BJ66:BS70" ca="1" si="68">IF(BJ$8=TODAY(),CHAR(124),"")</f>
        <v/>
      </c>
      <c r="BK66" s="88" t="str">
        <f t="shared" ca="1" si="68"/>
        <v/>
      </c>
      <c r="BL66" s="88" t="str">
        <f t="shared" ca="1" si="68"/>
        <v/>
      </c>
      <c r="BM66" s="88" t="str">
        <f t="shared" ca="1" si="68"/>
        <v/>
      </c>
      <c r="BN66" s="88" t="str">
        <f t="shared" ca="1" si="68"/>
        <v/>
      </c>
      <c r="BO66" s="88" t="str">
        <f t="shared" ca="1" si="68"/>
        <v/>
      </c>
      <c r="BP66" s="88" t="str">
        <f t="shared" ca="1" si="68"/>
        <v/>
      </c>
      <c r="BQ66" s="88" t="str">
        <f t="shared" ca="1" si="68"/>
        <v/>
      </c>
      <c r="BR66" s="88" t="str">
        <f t="shared" ca="1" si="68"/>
        <v/>
      </c>
      <c r="BS66" s="88" t="str">
        <f t="shared" ca="1" si="68"/>
        <v/>
      </c>
      <c r="BT66" s="88" t="str">
        <f t="shared" ref="BT66:CA70" ca="1" si="69">IF(BT$8=TODAY(),CHAR(124),"")</f>
        <v/>
      </c>
      <c r="BU66" s="88" t="str">
        <f t="shared" ca="1" si="69"/>
        <v/>
      </c>
      <c r="BV66" s="88" t="str">
        <f t="shared" ca="1" si="69"/>
        <v/>
      </c>
      <c r="BW66" s="88" t="str">
        <f t="shared" ca="1" si="69"/>
        <v/>
      </c>
      <c r="BX66" s="88" t="str">
        <f t="shared" ca="1" si="69"/>
        <v/>
      </c>
      <c r="BY66" s="88" t="str">
        <f t="shared" ca="1" si="69"/>
        <v/>
      </c>
      <c r="BZ66" s="88" t="str">
        <f t="shared" ca="1" si="69"/>
        <v/>
      </c>
      <c r="CA66" s="88" t="str">
        <f t="shared" ca="1" si="69"/>
        <v/>
      </c>
      <c r="CB66" s="88" t="str">
        <f t="shared" ca="1" si="56"/>
        <v/>
      </c>
      <c r="CC66" s="88" t="str">
        <f t="shared" ca="1" si="56"/>
        <v/>
      </c>
      <c r="CD66" s="88" t="str">
        <f t="shared" ca="1" si="56"/>
        <v/>
      </c>
      <c r="CE66" s="88" t="str">
        <f t="shared" ca="1" si="56"/>
        <v/>
      </c>
      <c r="CF66" s="88" t="str">
        <f t="shared" ca="1" si="56"/>
        <v/>
      </c>
      <c r="CG66" s="88" t="str">
        <f t="shared" ca="1" si="56"/>
        <v/>
      </c>
      <c r="CH66" s="88" t="str">
        <f t="shared" ca="1" si="56"/>
        <v/>
      </c>
      <c r="CI66" s="88" t="str">
        <f t="shared" ca="1" si="56"/>
        <v/>
      </c>
      <c r="CJ66" s="88" t="str">
        <f t="shared" ca="1" si="56"/>
        <v/>
      </c>
      <c r="CK66" s="88" t="str">
        <f t="shared" ca="1" si="56"/>
        <v/>
      </c>
      <c r="CL66" s="88" t="str">
        <f t="shared" ca="1" si="56"/>
        <v/>
      </c>
      <c r="CM66" s="88" t="str">
        <f t="shared" ca="1" si="56"/>
        <v/>
      </c>
      <c r="CN66" s="88" t="str">
        <f t="shared" ca="1" si="56"/>
        <v/>
      </c>
      <c r="CO66" s="88" t="str">
        <f t="shared" ca="1" si="56"/>
        <v/>
      </c>
      <c r="CP66" s="88" t="str">
        <f t="shared" ca="1" si="56"/>
        <v/>
      </c>
      <c r="CQ66" s="88" t="str">
        <f t="shared" ca="1" si="56"/>
        <v/>
      </c>
      <c r="CR66" s="88" t="str">
        <f t="shared" ca="1" si="60"/>
        <v/>
      </c>
      <c r="CS66" s="88" t="str">
        <f t="shared" ca="1" si="60"/>
        <v/>
      </c>
      <c r="CT66" s="88" t="str">
        <f t="shared" ca="1" si="60"/>
        <v/>
      </c>
      <c r="CU66" s="88" t="str">
        <f t="shared" ca="1" si="60"/>
        <v/>
      </c>
      <c r="CV66" s="88" t="str">
        <f t="shared" ca="1" si="60"/>
        <v/>
      </c>
      <c r="CW66" s="88" t="str">
        <f t="shared" ca="1" si="60"/>
        <v/>
      </c>
      <c r="CX66" s="88" t="str">
        <f t="shared" ca="1" si="60"/>
        <v/>
      </c>
      <c r="CY66" s="88" t="str">
        <f t="shared" ca="1" si="60"/>
        <v/>
      </c>
      <c r="CZ66" s="88" t="str">
        <f t="shared" ca="1" si="60"/>
        <v/>
      </c>
      <c r="DA66" s="88" t="str">
        <f t="shared" ca="1" si="60"/>
        <v/>
      </c>
      <c r="DB66" s="88" t="str">
        <f t="shared" ca="1" si="60"/>
        <v/>
      </c>
      <c r="DC66" s="88" t="str">
        <f t="shared" ca="1" si="60"/>
        <v/>
      </c>
      <c r="DD66" s="88" t="str">
        <f t="shared" ca="1" si="60"/>
        <v/>
      </c>
      <c r="DE66" s="88" t="str">
        <f t="shared" ca="1" si="60"/>
        <v/>
      </c>
      <c r="DF66" s="88" t="str">
        <f t="shared" ca="1" si="60"/>
        <v/>
      </c>
      <c r="DG66" s="88" t="str">
        <f t="shared" ca="1" si="60"/>
        <v/>
      </c>
      <c r="DH66" s="88" t="str">
        <f t="shared" ca="1" si="60"/>
        <v/>
      </c>
      <c r="DI66" s="88" t="str">
        <f t="shared" ca="1" si="61"/>
        <v/>
      </c>
      <c r="DJ66" s="88" t="str">
        <f t="shared" ca="1" si="61"/>
        <v/>
      </c>
      <c r="DK66" s="88" t="str">
        <f t="shared" ca="1" si="61"/>
        <v/>
      </c>
      <c r="DL66" s="88" t="str">
        <f t="shared" ca="1" si="61"/>
        <v/>
      </c>
      <c r="DM66" s="88" t="str">
        <f t="shared" ca="1" si="61"/>
        <v/>
      </c>
      <c r="DN66" s="88" t="str">
        <f t="shared" ca="1" si="61"/>
        <v/>
      </c>
      <c r="DO66" s="88" t="str">
        <f t="shared" ca="1" si="61"/>
        <v/>
      </c>
      <c r="DP66" s="88" t="str">
        <f t="shared" ca="1" si="61"/>
        <v/>
      </c>
      <c r="DQ66" s="88" t="str">
        <f t="shared" ca="1" si="61"/>
        <v/>
      </c>
      <c r="DR66" s="88" t="str">
        <f t="shared" ca="1" si="61"/>
        <v/>
      </c>
      <c r="DS66" s="88" t="str">
        <f t="shared" ca="1" si="62"/>
        <v/>
      </c>
      <c r="DT66" s="88" t="str">
        <f t="shared" ca="1" si="62"/>
        <v/>
      </c>
      <c r="DU66" s="88" t="str">
        <f t="shared" ca="1" si="62"/>
        <v/>
      </c>
      <c r="DV66" s="88" t="str">
        <f t="shared" ca="1" si="62"/>
        <v/>
      </c>
      <c r="DW66" s="88" t="str">
        <f t="shared" ca="1" si="62"/>
        <v/>
      </c>
      <c r="DX66" s="88" t="str">
        <f t="shared" ca="1" si="62"/>
        <v/>
      </c>
      <c r="DY66" s="88" t="str">
        <f t="shared" ca="1" si="62"/>
        <v/>
      </c>
      <c r="DZ66" s="88" t="str">
        <f t="shared" ca="1" si="62"/>
        <v/>
      </c>
      <c r="EA66" s="88" t="str">
        <f t="shared" ca="1" si="62"/>
        <v/>
      </c>
      <c r="EB66" s="88" t="str">
        <f t="shared" ca="1" si="62"/>
        <v/>
      </c>
      <c r="EC66" s="88" t="str">
        <f t="shared" ca="1" si="63"/>
        <v/>
      </c>
      <c r="ED66" s="88" t="str">
        <f t="shared" ca="1" si="63"/>
        <v/>
      </c>
      <c r="EE66" s="88" t="str">
        <f t="shared" ca="1" si="63"/>
        <v/>
      </c>
      <c r="EF66" s="88" t="str">
        <f t="shared" ca="1" si="63"/>
        <v/>
      </c>
      <c r="EG66" s="88" t="str">
        <f t="shared" ca="1" si="63"/>
        <v/>
      </c>
      <c r="EH66" s="88" t="str">
        <f t="shared" ca="1" si="63"/>
        <v/>
      </c>
      <c r="EI66" s="88" t="str">
        <f t="shared" ca="1" si="63"/>
        <v/>
      </c>
      <c r="EJ66" s="9" t="str">
        <f t="shared" ca="1" si="63"/>
        <v/>
      </c>
      <c r="EK66" s="9" t="str">
        <f t="shared" ca="1" si="63"/>
        <v/>
      </c>
      <c r="EL66" s="9" t="str">
        <f t="shared" ca="1" si="63"/>
        <v/>
      </c>
      <c r="EM66" s="9" t="str">
        <f t="shared" ca="1" si="64"/>
        <v/>
      </c>
      <c r="EN66" s="9" t="str">
        <f t="shared" ca="1" si="64"/>
        <v/>
      </c>
      <c r="EO66" s="9" t="str">
        <f t="shared" ca="1" si="64"/>
        <v/>
      </c>
      <c r="EP66" s="9" t="str">
        <f t="shared" ca="1" si="64"/>
        <v/>
      </c>
      <c r="EQ66" s="9" t="str">
        <f t="shared" ca="1" si="64"/>
        <v/>
      </c>
      <c r="ER66" s="9" t="str">
        <f t="shared" ca="1" si="64"/>
        <v/>
      </c>
      <c r="ES66" s="9" t="str">
        <f t="shared" ca="1" si="64"/>
        <v/>
      </c>
      <c r="ET66" s="9" t="str">
        <f t="shared" ca="1" si="64"/>
        <v/>
      </c>
      <c r="EU66" s="9" t="str">
        <f t="shared" ca="1" si="64"/>
        <v/>
      </c>
      <c r="EV66" s="9" t="str">
        <f t="shared" ca="1" si="64"/>
        <v/>
      </c>
      <c r="EW66" s="9" t="str">
        <f t="shared" ca="1" si="64"/>
        <v/>
      </c>
      <c r="EX66" s="9" t="str">
        <f t="shared" ca="1" si="64"/>
        <v/>
      </c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</row>
    <row r="67" spans="2:252" outlineLevel="1">
      <c r="B67" s="95" t="s">
        <v>63</v>
      </c>
      <c r="C67" s="95" t="s">
        <v>104</v>
      </c>
      <c r="D67" s="96" t="s">
        <v>16</v>
      </c>
      <c r="E67" s="97">
        <v>46167</v>
      </c>
      <c r="F67" s="98">
        <f>NETWORKDAYS(E67,G67,Праздники!$A$1:$A$14)</f>
        <v>14</v>
      </c>
      <c r="G67" s="97">
        <v>46184</v>
      </c>
      <c r="H67" s="99"/>
      <c r="I67" s="96" t="s">
        <v>146</v>
      </c>
      <c r="J67" s="100"/>
      <c r="K67" s="100" t="s">
        <v>149</v>
      </c>
      <c r="L67" s="100"/>
      <c r="M67" s="100"/>
      <c r="N67" s="100"/>
      <c r="O67" s="100"/>
      <c r="P67" s="87" t="str">
        <f t="shared" ca="1" si="55"/>
        <v/>
      </c>
      <c r="Q67" s="88" t="str">
        <f t="shared" ca="1" si="55"/>
        <v/>
      </c>
      <c r="R67" s="88" t="str">
        <f t="shared" ca="1" si="55"/>
        <v/>
      </c>
      <c r="S67" s="88" t="str">
        <f t="shared" ca="1" si="55"/>
        <v/>
      </c>
      <c r="T67" s="88" t="str">
        <f t="shared" ca="1" si="55"/>
        <v/>
      </c>
      <c r="U67" s="88" t="str">
        <f t="shared" ca="1" si="55"/>
        <v/>
      </c>
      <c r="V67" s="88" t="str">
        <f t="shared" ca="1" si="55"/>
        <v/>
      </c>
      <c r="W67" s="88" t="str">
        <f t="shared" ca="1" si="55"/>
        <v/>
      </c>
      <c r="X67" s="88" t="str">
        <f t="shared" ca="1" si="55"/>
        <v/>
      </c>
      <c r="Y67" s="88" t="str">
        <f t="shared" ca="1" si="55"/>
        <v/>
      </c>
      <c r="Z67" s="88" t="str">
        <f t="shared" ca="1" si="55"/>
        <v/>
      </c>
      <c r="AA67" s="88" t="str">
        <f t="shared" ca="1" si="55"/>
        <v/>
      </c>
      <c r="AB67" s="88" t="str">
        <f t="shared" ca="1" si="55"/>
        <v/>
      </c>
      <c r="AC67" s="88" t="str">
        <f t="shared" ca="1" si="55"/>
        <v/>
      </c>
      <c r="AD67" s="88" t="str">
        <f t="shared" ca="1" si="55"/>
        <v/>
      </c>
      <c r="AE67" s="88" t="str">
        <f t="shared" ca="1" si="59"/>
        <v/>
      </c>
      <c r="AF67" s="88" t="str">
        <f t="shared" ca="1" si="65"/>
        <v/>
      </c>
      <c r="AG67" s="88" t="str">
        <f t="shared" ca="1" si="65"/>
        <v/>
      </c>
      <c r="AH67" s="88" t="str">
        <f t="shared" ca="1" si="65"/>
        <v/>
      </c>
      <c r="AI67" s="88" t="str">
        <f t="shared" ca="1" si="65"/>
        <v/>
      </c>
      <c r="AJ67" s="88" t="str">
        <f t="shared" ca="1" si="65"/>
        <v/>
      </c>
      <c r="AK67" s="88" t="str">
        <f t="shared" ca="1" si="65"/>
        <v/>
      </c>
      <c r="AL67" s="88" t="str">
        <f t="shared" ca="1" si="65"/>
        <v/>
      </c>
      <c r="AM67" s="88" t="str">
        <f t="shared" ca="1" si="65"/>
        <v/>
      </c>
      <c r="AN67" s="88" t="str">
        <f t="shared" ca="1" si="65"/>
        <v/>
      </c>
      <c r="AO67" s="88" t="str">
        <f t="shared" ca="1" si="65"/>
        <v/>
      </c>
      <c r="AP67" s="88" t="str">
        <f t="shared" ca="1" si="66"/>
        <v/>
      </c>
      <c r="AQ67" s="88" t="str">
        <f t="shared" ca="1" si="66"/>
        <v/>
      </c>
      <c r="AR67" s="88" t="str">
        <f t="shared" ca="1" si="66"/>
        <v/>
      </c>
      <c r="AS67" s="88" t="str">
        <f t="shared" ca="1" si="66"/>
        <v/>
      </c>
      <c r="AT67" s="88" t="str">
        <f t="shared" ca="1" si="66"/>
        <v/>
      </c>
      <c r="AU67" s="88" t="str">
        <f t="shared" ca="1" si="66"/>
        <v/>
      </c>
      <c r="AV67" s="88" t="str">
        <f t="shared" ca="1" si="66"/>
        <v/>
      </c>
      <c r="AW67" s="88" t="str">
        <f t="shared" ca="1" si="66"/>
        <v/>
      </c>
      <c r="AX67" s="88" t="str">
        <f t="shared" ca="1" si="66"/>
        <v/>
      </c>
      <c r="AY67" s="88" t="str">
        <f t="shared" ca="1" si="66"/>
        <v/>
      </c>
      <c r="AZ67" s="88" t="str">
        <f t="shared" ca="1" si="67"/>
        <v/>
      </c>
      <c r="BA67" s="88" t="str">
        <f t="shared" ca="1" si="67"/>
        <v/>
      </c>
      <c r="BB67" s="88" t="str">
        <f t="shared" ca="1" si="67"/>
        <v/>
      </c>
      <c r="BC67" s="88" t="str">
        <f t="shared" ca="1" si="67"/>
        <v/>
      </c>
      <c r="BD67" s="88" t="str">
        <f t="shared" ca="1" si="67"/>
        <v/>
      </c>
      <c r="BE67" s="88" t="str">
        <f t="shared" ca="1" si="67"/>
        <v/>
      </c>
      <c r="BF67" s="88" t="str">
        <f t="shared" ca="1" si="67"/>
        <v/>
      </c>
      <c r="BG67" s="88" t="str">
        <f t="shared" ca="1" si="67"/>
        <v/>
      </c>
      <c r="BH67" s="88" t="str">
        <f t="shared" ca="1" si="67"/>
        <v/>
      </c>
      <c r="BI67" s="88" t="str">
        <f t="shared" ca="1" si="67"/>
        <v/>
      </c>
      <c r="BJ67" s="88" t="str">
        <f t="shared" ca="1" si="68"/>
        <v/>
      </c>
      <c r="BK67" s="88" t="str">
        <f t="shared" ca="1" si="68"/>
        <v/>
      </c>
      <c r="BL67" s="88" t="str">
        <f t="shared" ca="1" si="68"/>
        <v/>
      </c>
      <c r="BM67" s="88" t="str">
        <f t="shared" ca="1" si="68"/>
        <v/>
      </c>
      <c r="BN67" s="88" t="str">
        <f t="shared" ca="1" si="68"/>
        <v/>
      </c>
      <c r="BO67" s="88" t="str">
        <f t="shared" ca="1" si="68"/>
        <v/>
      </c>
      <c r="BP67" s="88" t="str">
        <f t="shared" ca="1" si="68"/>
        <v/>
      </c>
      <c r="BQ67" s="88" t="str">
        <f t="shared" ca="1" si="68"/>
        <v/>
      </c>
      <c r="BR67" s="88" t="str">
        <f t="shared" ca="1" si="68"/>
        <v/>
      </c>
      <c r="BS67" s="88" t="str">
        <f t="shared" ca="1" si="68"/>
        <v/>
      </c>
      <c r="BT67" s="88" t="str">
        <f t="shared" ca="1" si="69"/>
        <v/>
      </c>
      <c r="BU67" s="88" t="str">
        <f t="shared" ca="1" si="69"/>
        <v/>
      </c>
      <c r="BV67" s="88" t="str">
        <f t="shared" ca="1" si="69"/>
        <v/>
      </c>
      <c r="BW67" s="88" t="str">
        <f t="shared" ca="1" si="69"/>
        <v/>
      </c>
      <c r="BX67" s="88" t="str">
        <f t="shared" ca="1" si="69"/>
        <v/>
      </c>
      <c r="BY67" s="88" t="str">
        <f t="shared" ca="1" si="69"/>
        <v/>
      </c>
      <c r="BZ67" s="88" t="str">
        <f t="shared" ca="1" si="69"/>
        <v/>
      </c>
      <c r="CA67" s="88" t="str">
        <f t="shared" ca="1" si="69"/>
        <v/>
      </c>
      <c r="CB67" s="88" t="str">
        <f t="shared" ca="1" si="56"/>
        <v/>
      </c>
      <c r="CC67" s="88" t="str">
        <f t="shared" ca="1" si="56"/>
        <v/>
      </c>
      <c r="CD67" s="88" t="str">
        <f t="shared" ca="1" si="56"/>
        <v/>
      </c>
      <c r="CE67" s="88" t="str">
        <f t="shared" ca="1" si="56"/>
        <v/>
      </c>
      <c r="CF67" s="88" t="str">
        <f t="shared" ca="1" si="56"/>
        <v/>
      </c>
      <c r="CG67" s="88" t="str">
        <f t="shared" ca="1" si="56"/>
        <v/>
      </c>
      <c r="CH67" s="88" t="str">
        <f t="shared" ca="1" si="56"/>
        <v/>
      </c>
      <c r="CI67" s="88" t="str">
        <f t="shared" ca="1" si="56"/>
        <v/>
      </c>
      <c r="CJ67" s="88" t="str">
        <f t="shared" ca="1" si="56"/>
        <v/>
      </c>
      <c r="CK67" s="88" t="str">
        <f t="shared" ca="1" si="56"/>
        <v/>
      </c>
      <c r="CL67" s="88" t="str">
        <f t="shared" ca="1" si="56"/>
        <v/>
      </c>
      <c r="CM67" s="88" t="str">
        <f t="shared" ca="1" si="56"/>
        <v/>
      </c>
      <c r="CN67" s="88" t="str">
        <f t="shared" ca="1" si="56"/>
        <v/>
      </c>
      <c r="CO67" s="88" t="str">
        <f t="shared" ca="1" si="56"/>
        <v/>
      </c>
      <c r="CP67" s="88" t="str">
        <f t="shared" ca="1" si="56"/>
        <v/>
      </c>
      <c r="CQ67" s="88" t="str">
        <f t="shared" ca="1" si="56"/>
        <v/>
      </c>
      <c r="CR67" s="88" t="str">
        <f t="shared" ca="1" si="60"/>
        <v/>
      </c>
      <c r="CS67" s="88" t="str">
        <f t="shared" ca="1" si="60"/>
        <v/>
      </c>
      <c r="CT67" s="88" t="str">
        <f t="shared" ca="1" si="60"/>
        <v/>
      </c>
      <c r="CU67" s="88" t="str">
        <f t="shared" ca="1" si="60"/>
        <v/>
      </c>
      <c r="CV67" s="88" t="str">
        <f t="shared" ca="1" si="60"/>
        <v/>
      </c>
      <c r="CW67" s="88" t="str">
        <f t="shared" ca="1" si="60"/>
        <v/>
      </c>
      <c r="CX67" s="88" t="str">
        <f t="shared" ca="1" si="60"/>
        <v/>
      </c>
      <c r="CY67" s="88" t="str">
        <f t="shared" ca="1" si="60"/>
        <v/>
      </c>
      <c r="CZ67" s="88" t="str">
        <f t="shared" ca="1" si="60"/>
        <v/>
      </c>
      <c r="DA67" s="88" t="str">
        <f t="shared" ca="1" si="60"/>
        <v/>
      </c>
      <c r="DB67" s="88" t="str">
        <f t="shared" ca="1" si="60"/>
        <v/>
      </c>
      <c r="DC67" s="88" t="str">
        <f t="shared" ca="1" si="60"/>
        <v/>
      </c>
      <c r="DD67" s="88" t="str">
        <f t="shared" ca="1" si="60"/>
        <v/>
      </c>
      <c r="DE67" s="88" t="str">
        <f t="shared" ca="1" si="60"/>
        <v/>
      </c>
      <c r="DF67" s="88" t="str">
        <f t="shared" ca="1" si="60"/>
        <v/>
      </c>
      <c r="DG67" s="88" t="str">
        <f t="shared" ca="1" si="60"/>
        <v/>
      </c>
      <c r="DH67" s="88" t="str">
        <f t="shared" ca="1" si="60"/>
        <v/>
      </c>
      <c r="DI67" s="88" t="str">
        <f t="shared" ca="1" si="61"/>
        <v/>
      </c>
      <c r="DJ67" s="88" t="str">
        <f t="shared" ca="1" si="61"/>
        <v/>
      </c>
      <c r="DK67" s="88" t="str">
        <f t="shared" ca="1" si="61"/>
        <v/>
      </c>
      <c r="DL67" s="88" t="str">
        <f t="shared" ca="1" si="61"/>
        <v/>
      </c>
      <c r="DM67" s="88" t="str">
        <f t="shared" ca="1" si="61"/>
        <v/>
      </c>
      <c r="DN67" s="88" t="str">
        <f t="shared" ca="1" si="61"/>
        <v/>
      </c>
      <c r="DO67" s="88" t="str">
        <f t="shared" ca="1" si="61"/>
        <v/>
      </c>
      <c r="DP67" s="88" t="str">
        <f t="shared" ca="1" si="61"/>
        <v/>
      </c>
      <c r="DQ67" s="88" t="str">
        <f t="shared" ca="1" si="61"/>
        <v/>
      </c>
      <c r="DR67" s="88" t="str">
        <f t="shared" ca="1" si="61"/>
        <v/>
      </c>
      <c r="DS67" s="88" t="str">
        <f t="shared" ca="1" si="62"/>
        <v/>
      </c>
      <c r="DT67" s="88" t="str">
        <f t="shared" ca="1" si="62"/>
        <v/>
      </c>
      <c r="DU67" s="88" t="str">
        <f t="shared" ca="1" si="62"/>
        <v/>
      </c>
      <c r="DV67" s="88" t="str">
        <f t="shared" ca="1" si="62"/>
        <v/>
      </c>
      <c r="DW67" s="88" t="str">
        <f t="shared" ca="1" si="62"/>
        <v/>
      </c>
      <c r="DX67" s="88" t="str">
        <f t="shared" ca="1" si="62"/>
        <v/>
      </c>
      <c r="DY67" s="88" t="str">
        <f t="shared" ca="1" si="62"/>
        <v/>
      </c>
      <c r="DZ67" s="88" t="str">
        <f t="shared" ca="1" si="62"/>
        <v/>
      </c>
      <c r="EA67" s="88" t="str">
        <f t="shared" ca="1" si="62"/>
        <v/>
      </c>
      <c r="EB67" s="88" t="str">
        <f t="shared" ca="1" si="62"/>
        <v/>
      </c>
      <c r="EC67" s="88" t="str">
        <f t="shared" ca="1" si="63"/>
        <v/>
      </c>
      <c r="ED67" s="88" t="str">
        <f t="shared" ca="1" si="63"/>
        <v/>
      </c>
      <c r="EE67" s="88" t="str">
        <f t="shared" ca="1" si="63"/>
        <v/>
      </c>
      <c r="EF67" s="88" t="str">
        <f t="shared" ca="1" si="63"/>
        <v/>
      </c>
      <c r="EG67" s="88" t="str">
        <f t="shared" ca="1" si="63"/>
        <v/>
      </c>
      <c r="EH67" s="88" t="str">
        <f t="shared" ca="1" si="63"/>
        <v/>
      </c>
      <c r="EI67" s="88" t="str">
        <f t="shared" ca="1" si="63"/>
        <v/>
      </c>
      <c r="EJ67" s="9" t="str">
        <f t="shared" ca="1" si="63"/>
        <v/>
      </c>
      <c r="EK67" s="9" t="str">
        <f t="shared" ca="1" si="63"/>
        <v/>
      </c>
      <c r="EL67" s="9" t="str">
        <f t="shared" ca="1" si="63"/>
        <v/>
      </c>
      <c r="EM67" s="9" t="str">
        <f t="shared" ca="1" si="64"/>
        <v/>
      </c>
      <c r="EN67" s="9" t="str">
        <f t="shared" ca="1" si="64"/>
        <v/>
      </c>
      <c r="EO67" s="9" t="str">
        <f t="shared" ca="1" si="64"/>
        <v/>
      </c>
      <c r="EP67" s="9" t="str">
        <f t="shared" ca="1" si="64"/>
        <v/>
      </c>
      <c r="EQ67" s="9" t="str">
        <f t="shared" ca="1" si="64"/>
        <v/>
      </c>
      <c r="ER67" s="9" t="str">
        <f t="shared" ca="1" si="64"/>
        <v/>
      </c>
      <c r="ES67" s="9" t="str">
        <f t="shared" ca="1" si="64"/>
        <v/>
      </c>
      <c r="ET67" s="9" t="str">
        <f t="shared" ca="1" si="64"/>
        <v/>
      </c>
      <c r="EU67" s="9" t="str">
        <f t="shared" ca="1" si="64"/>
        <v/>
      </c>
      <c r="EV67" s="9" t="str">
        <f t="shared" ca="1" si="64"/>
        <v/>
      </c>
      <c r="EW67" s="9" t="str">
        <f t="shared" ca="1" si="64"/>
        <v/>
      </c>
      <c r="EX67" s="9" t="str">
        <f t="shared" ca="1" si="64"/>
        <v/>
      </c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</row>
    <row r="68" spans="2:252" outlineLevel="2">
      <c r="B68" s="72" t="s">
        <v>105</v>
      </c>
      <c r="C68" s="72" t="s">
        <v>62</v>
      </c>
      <c r="D68" s="54" t="s">
        <v>16</v>
      </c>
      <c r="E68" s="55">
        <v>46167</v>
      </c>
      <c r="F68" s="56">
        <f>NETWORKDAYS(E68,G68,Праздники!$A$1:$A$14)</f>
        <v>5</v>
      </c>
      <c r="G68" s="55">
        <v>46171</v>
      </c>
      <c r="H68" s="57">
        <v>1</v>
      </c>
      <c r="I68" s="54" t="s">
        <v>146</v>
      </c>
      <c r="J68" s="58"/>
      <c r="K68" s="58" t="s">
        <v>149</v>
      </c>
      <c r="L68" s="58"/>
      <c r="M68" s="58"/>
      <c r="N68" s="58"/>
      <c r="O68" s="107"/>
      <c r="P68" s="87" t="str">
        <f t="shared" ca="1" si="55"/>
        <v/>
      </c>
      <c r="Q68" s="88" t="str">
        <f t="shared" ca="1" si="55"/>
        <v/>
      </c>
      <c r="R68" s="88" t="str">
        <f t="shared" ca="1" si="55"/>
        <v/>
      </c>
      <c r="S68" s="88" t="str">
        <f t="shared" ca="1" si="55"/>
        <v/>
      </c>
      <c r="T68" s="88" t="str">
        <f t="shared" ca="1" si="55"/>
        <v/>
      </c>
      <c r="U68" s="88" t="str">
        <f t="shared" ca="1" si="55"/>
        <v/>
      </c>
      <c r="V68" s="88" t="str">
        <f t="shared" ca="1" si="55"/>
        <v/>
      </c>
      <c r="W68" s="88" t="str">
        <f t="shared" ca="1" si="55"/>
        <v/>
      </c>
      <c r="X68" s="88" t="str">
        <f t="shared" ca="1" si="55"/>
        <v/>
      </c>
      <c r="Y68" s="88" t="str">
        <f t="shared" ca="1" si="55"/>
        <v/>
      </c>
      <c r="Z68" s="88" t="str">
        <f t="shared" ca="1" si="55"/>
        <v/>
      </c>
      <c r="AA68" s="88" t="str">
        <f t="shared" ca="1" si="55"/>
        <v/>
      </c>
      <c r="AB68" s="88" t="str">
        <f t="shared" ca="1" si="55"/>
        <v/>
      </c>
      <c r="AC68" s="88" t="str">
        <f t="shared" ca="1" si="55"/>
        <v/>
      </c>
      <c r="AD68" s="88" t="str">
        <f t="shared" ca="1" si="55"/>
        <v/>
      </c>
      <c r="AE68" s="88" t="str">
        <f t="shared" ca="1" si="59"/>
        <v/>
      </c>
      <c r="AF68" s="88" t="str">
        <f t="shared" ca="1" si="65"/>
        <v/>
      </c>
      <c r="AG68" s="88" t="str">
        <f t="shared" ca="1" si="65"/>
        <v/>
      </c>
      <c r="AH68" s="88" t="str">
        <f t="shared" ca="1" si="65"/>
        <v/>
      </c>
      <c r="AI68" s="88" t="str">
        <f t="shared" ca="1" si="65"/>
        <v/>
      </c>
      <c r="AJ68" s="88" t="str">
        <f t="shared" ca="1" si="65"/>
        <v/>
      </c>
      <c r="AK68" s="88" t="str">
        <f t="shared" ca="1" si="65"/>
        <v/>
      </c>
      <c r="AL68" s="88" t="str">
        <f t="shared" ca="1" si="65"/>
        <v/>
      </c>
      <c r="AM68" s="88" t="str">
        <f t="shared" ca="1" si="65"/>
        <v/>
      </c>
      <c r="AN68" s="88" t="str">
        <f t="shared" ca="1" si="65"/>
        <v/>
      </c>
      <c r="AO68" s="88" t="str">
        <f t="shared" ca="1" si="65"/>
        <v/>
      </c>
      <c r="AP68" s="88" t="str">
        <f t="shared" ca="1" si="66"/>
        <v/>
      </c>
      <c r="AQ68" s="88" t="str">
        <f t="shared" ca="1" si="66"/>
        <v/>
      </c>
      <c r="AR68" s="88" t="str">
        <f t="shared" ca="1" si="66"/>
        <v/>
      </c>
      <c r="AS68" s="88" t="str">
        <f t="shared" ca="1" si="66"/>
        <v/>
      </c>
      <c r="AT68" s="88" t="str">
        <f t="shared" ca="1" si="66"/>
        <v/>
      </c>
      <c r="AU68" s="88" t="str">
        <f t="shared" ca="1" si="66"/>
        <v/>
      </c>
      <c r="AV68" s="88" t="str">
        <f t="shared" ca="1" si="66"/>
        <v/>
      </c>
      <c r="AW68" s="88" t="str">
        <f t="shared" ca="1" si="66"/>
        <v/>
      </c>
      <c r="AX68" s="88" t="str">
        <f t="shared" ca="1" si="66"/>
        <v/>
      </c>
      <c r="AY68" s="88" t="str">
        <f t="shared" ca="1" si="66"/>
        <v/>
      </c>
      <c r="AZ68" s="88" t="str">
        <f t="shared" ca="1" si="67"/>
        <v/>
      </c>
      <c r="BA68" s="88" t="str">
        <f t="shared" ca="1" si="67"/>
        <v/>
      </c>
      <c r="BB68" s="88" t="str">
        <f t="shared" ca="1" si="67"/>
        <v/>
      </c>
      <c r="BC68" s="88" t="str">
        <f t="shared" ca="1" si="67"/>
        <v/>
      </c>
      <c r="BD68" s="88" t="str">
        <f t="shared" ca="1" si="67"/>
        <v/>
      </c>
      <c r="BE68" s="88" t="str">
        <f t="shared" ca="1" si="67"/>
        <v/>
      </c>
      <c r="BF68" s="88" t="str">
        <f t="shared" ca="1" si="67"/>
        <v/>
      </c>
      <c r="BG68" s="88" t="str">
        <f t="shared" ca="1" si="67"/>
        <v/>
      </c>
      <c r="BH68" s="88" t="str">
        <f t="shared" ca="1" si="67"/>
        <v/>
      </c>
      <c r="BI68" s="88" t="str">
        <f t="shared" ca="1" si="67"/>
        <v/>
      </c>
      <c r="BJ68" s="88" t="str">
        <f t="shared" ca="1" si="68"/>
        <v/>
      </c>
      <c r="BK68" s="88" t="str">
        <f t="shared" ca="1" si="68"/>
        <v/>
      </c>
      <c r="BL68" s="88" t="str">
        <f t="shared" ca="1" si="68"/>
        <v/>
      </c>
      <c r="BM68" s="88" t="str">
        <f t="shared" ca="1" si="68"/>
        <v/>
      </c>
      <c r="BN68" s="88" t="str">
        <f t="shared" ca="1" si="68"/>
        <v/>
      </c>
      <c r="BO68" s="88" t="str">
        <f t="shared" ca="1" si="68"/>
        <v/>
      </c>
      <c r="BP68" s="88" t="str">
        <f t="shared" ca="1" si="68"/>
        <v/>
      </c>
      <c r="BQ68" s="88" t="str">
        <f t="shared" ca="1" si="68"/>
        <v/>
      </c>
      <c r="BR68" s="88" t="str">
        <f t="shared" ca="1" si="68"/>
        <v/>
      </c>
      <c r="BS68" s="88" t="str">
        <f t="shared" ca="1" si="68"/>
        <v/>
      </c>
      <c r="BT68" s="88" t="str">
        <f t="shared" ca="1" si="69"/>
        <v/>
      </c>
      <c r="BU68" s="88" t="str">
        <f t="shared" ca="1" si="69"/>
        <v/>
      </c>
      <c r="BV68" s="88" t="str">
        <f t="shared" ca="1" si="69"/>
        <v/>
      </c>
      <c r="BW68" s="88" t="str">
        <f t="shared" ca="1" si="69"/>
        <v/>
      </c>
      <c r="BX68" s="88" t="str">
        <f t="shared" ca="1" si="69"/>
        <v/>
      </c>
      <c r="BY68" s="88" t="str">
        <f t="shared" ca="1" si="69"/>
        <v/>
      </c>
      <c r="BZ68" s="88" t="str">
        <f t="shared" ca="1" si="69"/>
        <v/>
      </c>
      <c r="CA68" s="88" t="str">
        <f t="shared" ca="1" si="69"/>
        <v/>
      </c>
      <c r="CB68" s="88" t="str">
        <f t="shared" ca="1" si="56"/>
        <v/>
      </c>
      <c r="CC68" s="88" t="str">
        <f t="shared" ca="1" si="56"/>
        <v/>
      </c>
      <c r="CD68" s="88" t="str">
        <f t="shared" ca="1" si="56"/>
        <v/>
      </c>
      <c r="CE68" s="88" t="str">
        <f t="shared" ca="1" si="56"/>
        <v/>
      </c>
      <c r="CF68" s="88" t="str">
        <f t="shared" ca="1" si="56"/>
        <v/>
      </c>
      <c r="CG68" s="88" t="str">
        <f t="shared" ca="1" si="56"/>
        <v/>
      </c>
      <c r="CH68" s="88" t="str">
        <f t="shared" ca="1" si="56"/>
        <v/>
      </c>
      <c r="CI68" s="88" t="str">
        <f t="shared" ca="1" si="56"/>
        <v/>
      </c>
      <c r="CJ68" s="88" t="str">
        <f t="shared" ca="1" si="56"/>
        <v/>
      </c>
      <c r="CK68" s="88" t="str">
        <f t="shared" ca="1" si="56"/>
        <v/>
      </c>
      <c r="CL68" s="88" t="str">
        <f t="shared" ca="1" si="56"/>
        <v/>
      </c>
      <c r="CM68" s="88" t="str">
        <f t="shared" ca="1" si="56"/>
        <v/>
      </c>
      <c r="CN68" s="88" t="str">
        <f t="shared" ca="1" si="56"/>
        <v/>
      </c>
      <c r="CO68" s="88" t="str">
        <f t="shared" ca="1" si="56"/>
        <v/>
      </c>
      <c r="CP68" s="88" t="str">
        <f t="shared" ca="1" si="56"/>
        <v/>
      </c>
      <c r="CQ68" s="88" t="str">
        <f t="shared" ca="1" si="56"/>
        <v/>
      </c>
      <c r="CR68" s="88" t="str">
        <f t="shared" ca="1" si="60"/>
        <v/>
      </c>
      <c r="CS68" s="88" t="str">
        <f t="shared" ca="1" si="60"/>
        <v/>
      </c>
      <c r="CT68" s="88" t="str">
        <f t="shared" ca="1" si="60"/>
        <v/>
      </c>
      <c r="CU68" s="88" t="str">
        <f t="shared" ca="1" si="60"/>
        <v/>
      </c>
      <c r="CV68" s="88" t="str">
        <f t="shared" ca="1" si="60"/>
        <v/>
      </c>
      <c r="CW68" s="88" t="str">
        <f t="shared" ca="1" si="60"/>
        <v/>
      </c>
      <c r="CX68" s="88" t="str">
        <f t="shared" ca="1" si="60"/>
        <v/>
      </c>
      <c r="CY68" s="88" t="str">
        <f t="shared" ca="1" si="60"/>
        <v/>
      </c>
      <c r="CZ68" s="88" t="str">
        <f t="shared" ca="1" si="60"/>
        <v/>
      </c>
      <c r="DA68" s="88" t="str">
        <f t="shared" ca="1" si="60"/>
        <v/>
      </c>
      <c r="DB68" s="88" t="str">
        <f t="shared" ca="1" si="60"/>
        <v/>
      </c>
      <c r="DC68" s="88" t="str">
        <f t="shared" ca="1" si="60"/>
        <v/>
      </c>
      <c r="DD68" s="88" t="str">
        <f t="shared" ca="1" si="60"/>
        <v/>
      </c>
      <c r="DE68" s="88" t="str">
        <f t="shared" ca="1" si="60"/>
        <v/>
      </c>
      <c r="DF68" s="88" t="str">
        <f t="shared" ca="1" si="60"/>
        <v/>
      </c>
      <c r="DG68" s="88" t="str">
        <f t="shared" ca="1" si="60"/>
        <v/>
      </c>
      <c r="DH68" s="88" t="str">
        <f t="shared" ca="1" si="60"/>
        <v/>
      </c>
      <c r="DI68" s="88" t="str">
        <f t="shared" ca="1" si="61"/>
        <v/>
      </c>
      <c r="DJ68" s="88" t="str">
        <f t="shared" ca="1" si="61"/>
        <v/>
      </c>
      <c r="DK68" s="88" t="str">
        <f t="shared" ca="1" si="61"/>
        <v/>
      </c>
      <c r="DL68" s="88" t="str">
        <f t="shared" ca="1" si="61"/>
        <v/>
      </c>
      <c r="DM68" s="88" t="str">
        <f t="shared" ca="1" si="61"/>
        <v/>
      </c>
      <c r="DN68" s="88" t="str">
        <f t="shared" ca="1" si="61"/>
        <v/>
      </c>
      <c r="DO68" s="88" t="str">
        <f t="shared" ca="1" si="61"/>
        <v/>
      </c>
      <c r="DP68" s="88" t="str">
        <f t="shared" ca="1" si="61"/>
        <v/>
      </c>
      <c r="DQ68" s="88" t="str">
        <f t="shared" ca="1" si="61"/>
        <v/>
      </c>
      <c r="DR68" s="88" t="str">
        <f t="shared" ca="1" si="61"/>
        <v/>
      </c>
      <c r="DS68" s="88" t="str">
        <f t="shared" ca="1" si="62"/>
        <v/>
      </c>
      <c r="DT68" s="88" t="str">
        <f t="shared" ca="1" si="62"/>
        <v/>
      </c>
      <c r="DU68" s="88" t="str">
        <f t="shared" ca="1" si="62"/>
        <v/>
      </c>
      <c r="DV68" s="88" t="str">
        <f t="shared" ca="1" si="62"/>
        <v/>
      </c>
      <c r="DW68" s="88" t="str">
        <f t="shared" ca="1" si="62"/>
        <v/>
      </c>
      <c r="DX68" s="88" t="str">
        <f t="shared" ca="1" si="62"/>
        <v/>
      </c>
      <c r="DY68" s="88" t="str">
        <f t="shared" ca="1" si="62"/>
        <v/>
      </c>
      <c r="DZ68" s="88" t="str">
        <f t="shared" ca="1" si="62"/>
        <v/>
      </c>
      <c r="EA68" s="88" t="str">
        <f t="shared" ca="1" si="62"/>
        <v/>
      </c>
      <c r="EB68" s="88" t="str">
        <f t="shared" ca="1" si="62"/>
        <v/>
      </c>
      <c r="EC68" s="88" t="str">
        <f t="shared" ca="1" si="63"/>
        <v/>
      </c>
      <c r="ED68" s="88" t="str">
        <f t="shared" ca="1" si="63"/>
        <v/>
      </c>
      <c r="EE68" s="88" t="str">
        <f t="shared" ca="1" si="63"/>
        <v/>
      </c>
      <c r="EF68" s="88" t="str">
        <f t="shared" ca="1" si="63"/>
        <v/>
      </c>
      <c r="EG68" s="88" t="str">
        <f t="shared" ca="1" si="63"/>
        <v/>
      </c>
      <c r="EH68" s="88" t="str">
        <f t="shared" ca="1" si="63"/>
        <v/>
      </c>
      <c r="EI68" s="88" t="str">
        <f t="shared" ca="1" si="63"/>
        <v/>
      </c>
      <c r="EJ68" s="9" t="str">
        <f t="shared" ca="1" si="63"/>
        <v/>
      </c>
      <c r="EK68" s="9" t="str">
        <f t="shared" ca="1" si="63"/>
        <v/>
      </c>
      <c r="EL68" s="9" t="str">
        <f t="shared" ca="1" si="63"/>
        <v/>
      </c>
      <c r="EM68" s="9" t="str">
        <f t="shared" ca="1" si="64"/>
        <v/>
      </c>
      <c r="EN68" s="9" t="str">
        <f t="shared" ca="1" si="64"/>
        <v/>
      </c>
      <c r="EO68" s="9" t="str">
        <f t="shared" ca="1" si="64"/>
        <v/>
      </c>
      <c r="EP68" s="9" t="str">
        <f t="shared" ca="1" si="64"/>
        <v/>
      </c>
      <c r="EQ68" s="9" t="str">
        <f t="shared" ca="1" si="64"/>
        <v/>
      </c>
      <c r="ER68" s="9" t="str">
        <f t="shared" ca="1" si="64"/>
        <v/>
      </c>
      <c r="ES68" s="9" t="str">
        <f t="shared" ca="1" si="64"/>
        <v/>
      </c>
      <c r="ET68" s="9" t="str">
        <f t="shared" ca="1" si="64"/>
        <v/>
      </c>
      <c r="EU68" s="9" t="str">
        <f t="shared" ca="1" si="64"/>
        <v/>
      </c>
      <c r="EV68" s="9" t="str">
        <f t="shared" ca="1" si="64"/>
        <v/>
      </c>
      <c r="EW68" s="9" t="str">
        <f t="shared" ca="1" si="64"/>
        <v/>
      </c>
      <c r="EX68" s="9" t="str">
        <f t="shared" ca="1" si="64"/>
        <v/>
      </c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</row>
    <row r="69" spans="2:252" outlineLevel="2">
      <c r="B69" s="72" t="s">
        <v>106</v>
      </c>
      <c r="C69" s="72" t="s">
        <v>66</v>
      </c>
      <c r="D69" s="54" t="s">
        <v>16</v>
      </c>
      <c r="E69" s="55">
        <v>46167</v>
      </c>
      <c r="F69" s="56">
        <f>NETWORKDAYS(E69,G69,Праздники!$A$1:$A$14)</f>
        <v>14</v>
      </c>
      <c r="G69" s="55">
        <v>46184</v>
      </c>
      <c r="H69" s="57">
        <v>1</v>
      </c>
      <c r="I69" s="54" t="s">
        <v>146</v>
      </c>
      <c r="J69" s="58"/>
      <c r="K69" s="58" t="s">
        <v>149</v>
      </c>
      <c r="L69" s="58"/>
      <c r="M69" s="58"/>
      <c r="N69" s="58"/>
      <c r="O69" s="107"/>
      <c r="P69" s="87" t="str">
        <f t="shared" ca="1" si="55"/>
        <v/>
      </c>
      <c r="Q69" s="88" t="str">
        <f t="shared" ca="1" si="55"/>
        <v/>
      </c>
      <c r="R69" s="88" t="str">
        <f t="shared" ca="1" si="55"/>
        <v/>
      </c>
      <c r="S69" s="88" t="str">
        <f t="shared" ca="1" si="55"/>
        <v/>
      </c>
      <c r="T69" s="88" t="str">
        <f t="shared" ca="1" si="55"/>
        <v/>
      </c>
      <c r="U69" s="88" t="str">
        <f t="shared" ca="1" si="55"/>
        <v/>
      </c>
      <c r="V69" s="88" t="str">
        <f t="shared" ca="1" si="55"/>
        <v/>
      </c>
      <c r="W69" s="88" t="str">
        <f t="shared" ca="1" si="55"/>
        <v/>
      </c>
      <c r="X69" s="88" t="str">
        <f t="shared" ca="1" si="55"/>
        <v/>
      </c>
      <c r="Y69" s="88" t="str">
        <f t="shared" ca="1" si="55"/>
        <v/>
      </c>
      <c r="Z69" s="88" t="str">
        <f t="shared" ca="1" si="55"/>
        <v/>
      </c>
      <c r="AA69" s="88" t="str">
        <f t="shared" ca="1" si="55"/>
        <v/>
      </c>
      <c r="AB69" s="88" t="str">
        <f t="shared" ca="1" si="55"/>
        <v/>
      </c>
      <c r="AC69" s="88" t="str">
        <f t="shared" ca="1" si="55"/>
        <v/>
      </c>
      <c r="AD69" s="88" t="str">
        <f t="shared" ca="1" si="55"/>
        <v/>
      </c>
      <c r="AE69" s="88" t="str">
        <f t="shared" ca="1" si="59"/>
        <v/>
      </c>
      <c r="AF69" s="88" t="str">
        <f t="shared" ca="1" si="65"/>
        <v/>
      </c>
      <c r="AG69" s="88" t="str">
        <f t="shared" ca="1" si="65"/>
        <v/>
      </c>
      <c r="AH69" s="88" t="str">
        <f t="shared" ca="1" si="65"/>
        <v/>
      </c>
      <c r="AI69" s="88" t="str">
        <f t="shared" ca="1" si="65"/>
        <v/>
      </c>
      <c r="AJ69" s="88" t="str">
        <f t="shared" ca="1" si="65"/>
        <v/>
      </c>
      <c r="AK69" s="88" t="str">
        <f t="shared" ca="1" si="65"/>
        <v/>
      </c>
      <c r="AL69" s="88" t="str">
        <f t="shared" ca="1" si="65"/>
        <v/>
      </c>
      <c r="AM69" s="88" t="str">
        <f t="shared" ca="1" si="65"/>
        <v/>
      </c>
      <c r="AN69" s="88" t="str">
        <f t="shared" ca="1" si="65"/>
        <v/>
      </c>
      <c r="AO69" s="88" t="str">
        <f t="shared" ca="1" si="65"/>
        <v/>
      </c>
      <c r="AP69" s="88" t="str">
        <f t="shared" ca="1" si="66"/>
        <v/>
      </c>
      <c r="AQ69" s="88" t="str">
        <f t="shared" ca="1" si="66"/>
        <v/>
      </c>
      <c r="AR69" s="88" t="str">
        <f t="shared" ca="1" si="66"/>
        <v/>
      </c>
      <c r="AS69" s="88" t="str">
        <f t="shared" ca="1" si="66"/>
        <v/>
      </c>
      <c r="AT69" s="88" t="str">
        <f t="shared" ca="1" si="66"/>
        <v/>
      </c>
      <c r="AU69" s="88" t="str">
        <f t="shared" ca="1" si="66"/>
        <v/>
      </c>
      <c r="AV69" s="88" t="str">
        <f t="shared" ca="1" si="66"/>
        <v/>
      </c>
      <c r="AW69" s="88" t="str">
        <f t="shared" ca="1" si="66"/>
        <v/>
      </c>
      <c r="AX69" s="88" t="str">
        <f t="shared" ca="1" si="66"/>
        <v/>
      </c>
      <c r="AY69" s="88" t="str">
        <f t="shared" ca="1" si="66"/>
        <v/>
      </c>
      <c r="AZ69" s="88" t="str">
        <f t="shared" ca="1" si="67"/>
        <v/>
      </c>
      <c r="BA69" s="88" t="str">
        <f t="shared" ca="1" si="67"/>
        <v/>
      </c>
      <c r="BB69" s="88" t="str">
        <f t="shared" ca="1" si="67"/>
        <v/>
      </c>
      <c r="BC69" s="88" t="str">
        <f t="shared" ca="1" si="67"/>
        <v/>
      </c>
      <c r="BD69" s="88" t="str">
        <f t="shared" ca="1" si="67"/>
        <v/>
      </c>
      <c r="BE69" s="88" t="str">
        <f t="shared" ca="1" si="67"/>
        <v/>
      </c>
      <c r="BF69" s="88" t="str">
        <f t="shared" ca="1" si="67"/>
        <v/>
      </c>
      <c r="BG69" s="88" t="str">
        <f t="shared" ca="1" si="67"/>
        <v/>
      </c>
      <c r="BH69" s="88" t="str">
        <f t="shared" ca="1" si="67"/>
        <v/>
      </c>
      <c r="BI69" s="88" t="str">
        <f t="shared" ca="1" si="67"/>
        <v/>
      </c>
      <c r="BJ69" s="88" t="str">
        <f t="shared" ca="1" si="68"/>
        <v/>
      </c>
      <c r="BK69" s="88" t="str">
        <f t="shared" ca="1" si="68"/>
        <v/>
      </c>
      <c r="BL69" s="88" t="str">
        <f t="shared" ca="1" si="68"/>
        <v/>
      </c>
      <c r="BM69" s="88" t="str">
        <f t="shared" ca="1" si="68"/>
        <v/>
      </c>
      <c r="BN69" s="88" t="str">
        <f t="shared" ca="1" si="68"/>
        <v/>
      </c>
      <c r="BO69" s="88" t="str">
        <f t="shared" ca="1" si="68"/>
        <v/>
      </c>
      <c r="BP69" s="88" t="str">
        <f t="shared" ca="1" si="68"/>
        <v/>
      </c>
      <c r="BQ69" s="88" t="str">
        <f t="shared" ca="1" si="68"/>
        <v/>
      </c>
      <c r="BR69" s="88" t="str">
        <f t="shared" ca="1" si="68"/>
        <v/>
      </c>
      <c r="BS69" s="88" t="str">
        <f t="shared" ca="1" si="68"/>
        <v/>
      </c>
      <c r="BT69" s="88" t="str">
        <f t="shared" ca="1" si="69"/>
        <v/>
      </c>
      <c r="BU69" s="88" t="str">
        <f t="shared" ca="1" si="69"/>
        <v/>
      </c>
      <c r="BV69" s="88" t="str">
        <f t="shared" ca="1" si="69"/>
        <v/>
      </c>
      <c r="BW69" s="88" t="str">
        <f t="shared" ca="1" si="69"/>
        <v/>
      </c>
      <c r="BX69" s="88" t="str">
        <f t="shared" ca="1" si="69"/>
        <v/>
      </c>
      <c r="BY69" s="88" t="str">
        <f t="shared" ca="1" si="69"/>
        <v/>
      </c>
      <c r="BZ69" s="88" t="str">
        <f t="shared" ca="1" si="69"/>
        <v/>
      </c>
      <c r="CA69" s="88" t="str">
        <f t="shared" ca="1" si="69"/>
        <v/>
      </c>
      <c r="CB69" s="88" t="str">
        <f t="shared" ca="1" si="56"/>
        <v/>
      </c>
      <c r="CC69" s="88" t="str">
        <f t="shared" ca="1" si="56"/>
        <v/>
      </c>
      <c r="CD69" s="88" t="str">
        <f t="shared" ca="1" si="56"/>
        <v/>
      </c>
      <c r="CE69" s="88" t="str">
        <f t="shared" ca="1" si="56"/>
        <v/>
      </c>
      <c r="CF69" s="88" t="str">
        <f t="shared" ca="1" si="56"/>
        <v/>
      </c>
      <c r="CG69" s="88" t="str">
        <f t="shared" ca="1" si="56"/>
        <v/>
      </c>
      <c r="CH69" s="88" t="str">
        <f t="shared" ca="1" si="56"/>
        <v/>
      </c>
      <c r="CI69" s="88" t="str">
        <f t="shared" ca="1" si="56"/>
        <v/>
      </c>
      <c r="CJ69" s="88" t="str">
        <f t="shared" ca="1" si="56"/>
        <v/>
      </c>
      <c r="CK69" s="88" t="str">
        <f t="shared" ca="1" si="56"/>
        <v/>
      </c>
      <c r="CL69" s="88" t="str">
        <f t="shared" ca="1" si="56"/>
        <v/>
      </c>
      <c r="CM69" s="88" t="str">
        <f t="shared" ca="1" si="56"/>
        <v/>
      </c>
      <c r="CN69" s="88" t="str">
        <f t="shared" ca="1" si="56"/>
        <v/>
      </c>
      <c r="CO69" s="88" t="str">
        <f t="shared" ca="1" si="56"/>
        <v/>
      </c>
      <c r="CP69" s="88" t="str">
        <f t="shared" ca="1" si="56"/>
        <v/>
      </c>
      <c r="CQ69" s="88" t="str">
        <f t="shared" ca="1" si="56"/>
        <v/>
      </c>
      <c r="CR69" s="88" t="str">
        <f t="shared" ca="1" si="60"/>
        <v/>
      </c>
      <c r="CS69" s="88" t="str">
        <f t="shared" ca="1" si="60"/>
        <v/>
      </c>
      <c r="CT69" s="88" t="str">
        <f t="shared" ca="1" si="60"/>
        <v/>
      </c>
      <c r="CU69" s="88" t="str">
        <f t="shared" ca="1" si="60"/>
        <v/>
      </c>
      <c r="CV69" s="88" t="str">
        <f t="shared" ca="1" si="60"/>
        <v/>
      </c>
      <c r="CW69" s="88" t="str">
        <f t="shared" ca="1" si="60"/>
        <v/>
      </c>
      <c r="CX69" s="88" t="str">
        <f t="shared" ca="1" si="60"/>
        <v/>
      </c>
      <c r="CY69" s="88" t="str">
        <f t="shared" ca="1" si="60"/>
        <v/>
      </c>
      <c r="CZ69" s="88" t="str">
        <f t="shared" ca="1" si="60"/>
        <v/>
      </c>
      <c r="DA69" s="88" t="str">
        <f t="shared" ca="1" si="60"/>
        <v/>
      </c>
      <c r="DB69" s="88" t="str">
        <f t="shared" ca="1" si="60"/>
        <v/>
      </c>
      <c r="DC69" s="88" t="str">
        <f t="shared" ca="1" si="60"/>
        <v/>
      </c>
      <c r="DD69" s="88" t="str">
        <f t="shared" ca="1" si="60"/>
        <v/>
      </c>
      <c r="DE69" s="88" t="str">
        <f t="shared" ca="1" si="60"/>
        <v/>
      </c>
      <c r="DF69" s="88" t="str">
        <f t="shared" ca="1" si="60"/>
        <v/>
      </c>
      <c r="DG69" s="88" t="str">
        <f t="shared" ca="1" si="60"/>
        <v/>
      </c>
      <c r="DH69" s="88" t="str">
        <f t="shared" ca="1" si="60"/>
        <v/>
      </c>
      <c r="DI69" s="88" t="str">
        <f t="shared" ca="1" si="61"/>
        <v/>
      </c>
      <c r="DJ69" s="88" t="str">
        <f t="shared" ca="1" si="61"/>
        <v/>
      </c>
      <c r="DK69" s="88" t="str">
        <f t="shared" ca="1" si="61"/>
        <v/>
      </c>
      <c r="DL69" s="88" t="str">
        <f t="shared" ca="1" si="61"/>
        <v/>
      </c>
      <c r="DM69" s="88" t="str">
        <f t="shared" ca="1" si="61"/>
        <v/>
      </c>
      <c r="DN69" s="88" t="str">
        <f t="shared" ca="1" si="61"/>
        <v/>
      </c>
      <c r="DO69" s="88" t="str">
        <f t="shared" ca="1" si="61"/>
        <v/>
      </c>
      <c r="DP69" s="88" t="str">
        <f t="shared" ca="1" si="61"/>
        <v/>
      </c>
      <c r="DQ69" s="88" t="str">
        <f t="shared" ca="1" si="61"/>
        <v/>
      </c>
      <c r="DR69" s="88" t="str">
        <f t="shared" ca="1" si="61"/>
        <v/>
      </c>
      <c r="DS69" s="88" t="str">
        <f t="shared" ca="1" si="62"/>
        <v/>
      </c>
      <c r="DT69" s="88" t="str">
        <f t="shared" ca="1" si="62"/>
        <v/>
      </c>
      <c r="DU69" s="88" t="str">
        <f t="shared" ca="1" si="62"/>
        <v/>
      </c>
      <c r="DV69" s="88" t="str">
        <f t="shared" ca="1" si="62"/>
        <v/>
      </c>
      <c r="DW69" s="88" t="str">
        <f t="shared" ca="1" si="62"/>
        <v/>
      </c>
      <c r="DX69" s="88" t="str">
        <f t="shared" ca="1" si="62"/>
        <v/>
      </c>
      <c r="DY69" s="88" t="str">
        <f t="shared" ca="1" si="62"/>
        <v/>
      </c>
      <c r="DZ69" s="88" t="str">
        <f t="shared" ca="1" si="62"/>
        <v/>
      </c>
      <c r="EA69" s="88" t="str">
        <f t="shared" ca="1" si="62"/>
        <v/>
      </c>
      <c r="EB69" s="88" t="str">
        <f t="shared" ca="1" si="62"/>
        <v/>
      </c>
      <c r="EC69" s="88" t="str">
        <f t="shared" ca="1" si="63"/>
        <v/>
      </c>
      <c r="ED69" s="88" t="str">
        <f t="shared" ca="1" si="63"/>
        <v/>
      </c>
      <c r="EE69" s="88" t="str">
        <f t="shared" ca="1" si="63"/>
        <v/>
      </c>
      <c r="EF69" s="88" t="str">
        <f t="shared" ca="1" si="63"/>
        <v/>
      </c>
      <c r="EG69" s="88" t="str">
        <f t="shared" ca="1" si="63"/>
        <v/>
      </c>
      <c r="EH69" s="88" t="str">
        <f t="shared" ca="1" si="63"/>
        <v/>
      </c>
      <c r="EI69" s="88" t="str">
        <f t="shared" ca="1" si="63"/>
        <v/>
      </c>
      <c r="EJ69" s="9" t="str">
        <f t="shared" ca="1" si="63"/>
        <v/>
      </c>
      <c r="EK69" s="9" t="str">
        <f t="shared" ca="1" si="63"/>
        <v/>
      </c>
      <c r="EL69" s="9" t="str">
        <f t="shared" ca="1" si="63"/>
        <v/>
      </c>
      <c r="EM69" s="9" t="str">
        <f t="shared" ca="1" si="64"/>
        <v/>
      </c>
      <c r="EN69" s="9" t="str">
        <f t="shared" ca="1" si="64"/>
        <v/>
      </c>
      <c r="EO69" s="9" t="str">
        <f t="shared" ca="1" si="64"/>
        <v/>
      </c>
      <c r="EP69" s="9" t="str">
        <f t="shared" ca="1" si="64"/>
        <v/>
      </c>
      <c r="EQ69" s="9" t="str">
        <f t="shared" ca="1" si="64"/>
        <v/>
      </c>
      <c r="ER69" s="9" t="str">
        <f t="shared" ca="1" si="64"/>
        <v/>
      </c>
      <c r="ES69" s="9" t="str">
        <f t="shared" ca="1" si="64"/>
        <v/>
      </c>
      <c r="ET69" s="9" t="str">
        <f t="shared" ca="1" si="64"/>
        <v/>
      </c>
      <c r="EU69" s="9" t="str">
        <f t="shared" ca="1" si="64"/>
        <v/>
      </c>
      <c r="EV69" s="9" t="str">
        <f t="shared" ca="1" si="64"/>
        <v/>
      </c>
      <c r="EW69" s="9" t="str">
        <f t="shared" ca="1" si="64"/>
        <v/>
      </c>
      <c r="EX69" s="9" t="str">
        <f t="shared" ca="1" si="64"/>
        <v/>
      </c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</row>
    <row r="70" spans="2:252" outlineLevel="2">
      <c r="B70" s="72" t="s">
        <v>107</v>
      </c>
      <c r="C70" s="72" t="s">
        <v>64</v>
      </c>
      <c r="D70" s="54" t="s">
        <v>16</v>
      </c>
      <c r="E70" s="55">
        <v>46174</v>
      </c>
      <c r="F70" s="56">
        <f>NETWORKDAYS(E70,G70,Праздники!$A$1:$A$14)</f>
        <v>9</v>
      </c>
      <c r="G70" s="55">
        <v>46184</v>
      </c>
      <c r="H70" s="57">
        <v>1</v>
      </c>
      <c r="I70" s="54" t="s">
        <v>146</v>
      </c>
      <c r="J70" s="58"/>
      <c r="K70" s="58" t="s">
        <v>149</v>
      </c>
      <c r="L70" s="58"/>
      <c r="M70" s="58"/>
      <c r="N70" s="58"/>
      <c r="O70" s="107"/>
      <c r="P70" s="87" t="str">
        <f t="shared" ca="1" si="55"/>
        <v/>
      </c>
      <c r="Q70" s="88" t="str">
        <f t="shared" ca="1" si="55"/>
        <v/>
      </c>
      <c r="R70" s="88" t="str">
        <f t="shared" ca="1" si="55"/>
        <v/>
      </c>
      <c r="S70" s="88" t="str">
        <f t="shared" ca="1" si="55"/>
        <v/>
      </c>
      <c r="T70" s="88" t="str">
        <f t="shared" ca="1" si="55"/>
        <v/>
      </c>
      <c r="U70" s="88" t="str">
        <f t="shared" ca="1" si="55"/>
        <v/>
      </c>
      <c r="V70" s="88" t="str">
        <f t="shared" ca="1" si="55"/>
        <v/>
      </c>
      <c r="W70" s="88" t="str">
        <f t="shared" ca="1" si="55"/>
        <v/>
      </c>
      <c r="X70" s="88" t="str">
        <f t="shared" ca="1" si="55"/>
        <v/>
      </c>
      <c r="Y70" s="88" t="str">
        <f t="shared" ca="1" si="55"/>
        <v/>
      </c>
      <c r="Z70" s="88" t="str">
        <f t="shared" ca="1" si="55"/>
        <v/>
      </c>
      <c r="AA70" s="88" t="str">
        <f t="shared" ca="1" si="55"/>
        <v/>
      </c>
      <c r="AB70" s="88" t="str">
        <f t="shared" ca="1" si="55"/>
        <v/>
      </c>
      <c r="AC70" s="88" t="str">
        <f t="shared" ca="1" si="55"/>
        <v/>
      </c>
      <c r="AD70" s="88" t="str">
        <f t="shared" ca="1" si="55"/>
        <v/>
      </c>
      <c r="AE70" s="88" t="str">
        <f t="shared" ca="1" si="59"/>
        <v/>
      </c>
      <c r="AF70" s="88" t="str">
        <f t="shared" ca="1" si="65"/>
        <v/>
      </c>
      <c r="AG70" s="88" t="str">
        <f t="shared" ca="1" si="65"/>
        <v/>
      </c>
      <c r="AH70" s="88" t="str">
        <f t="shared" ca="1" si="65"/>
        <v/>
      </c>
      <c r="AI70" s="88" t="str">
        <f t="shared" ca="1" si="65"/>
        <v/>
      </c>
      <c r="AJ70" s="88" t="str">
        <f t="shared" ca="1" si="65"/>
        <v/>
      </c>
      <c r="AK70" s="88" t="str">
        <f t="shared" ca="1" si="65"/>
        <v/>
      </c>
      <c r="AL70" s="88" t="str">
        <f t="shared" ca="1" si="65"/>
        <v/>
      </c>
      <c r="AM70" s="88" t="str">
        <f t="shared" ca="1" si="65"/>
        <v/>
      </c>
      <c r="AN70" s="88" t="str">
        <f t="shared" ca="1" si="65"/>
        <v/>
      </c>
      <c r="AO70" s="88" t="str">
        <f t="shared" ca="1" si="65"/>
        <v/>
      </c>
      <c r="AP70" s="88" t="str">
        <f t="shared" ca="1" si="66"/>
        <v/>
      </c>
      <c r="AQ70" s="88" t="str">
        <f t="shared" ca="1" si="66"/>
        <v/>
      </c>
      <c r="AR70" s="88" t="str">
        <f t="shared" ca="1" si="66"/>
        <v/>
      </c>
      <c r="AS70" s="88" t="str">
        <f t="shared" ca="1" si="66"/>
        <v/>
      </c>
      <c r="AT70" s="88" t="str">
        <f t="shared" ca="1" si="66"/>
        <v/>
      </c>
      <c r="AU70" s="88" t="str">
        <f t="shared" ca="1" si="66"/>
        <v/>
      </c>
      <c r="AV70" s="88" t="str">
        <f t="shared" ca="1" si="66"/>
        <v/>
      </c>
      <c r="AW70" s="88" t="str">
        <f t="shared" ca="1" si="66"/>
        <v/>
      </c>
      <c r="AX70" s="88" t="str">
        <f t="shared" ca="1" si="66"/>
        <v/>
      </c>
      <c r="AY70" s="88" t="str">
        <f t="shared" ca="1" si="66"/>
        <v/>
      </c>
      <c r="AZ70" s="88" t="str">
        <f t="shared" ca="1" si="67"/>
        <v/>
      </c>
      <c r="BA70" s="88" t="str">
        <f t="shared" ca="1" si="67"/>
        <v/>
      </c>
      <c r="BB70" s="88" t="str">
        <f t="shared" ca="1" si="67"/>
        <v/>
      </c>
      <c r="BC70" s="88" t="str">
        <f t="shared" ca="1" si="67"/>
        <v/>
      </c>
      <c r="BD70" s="88" t="str">
        <f t="shared" ca="1" si="67"/>
        <v/>
      </c>
      <c r="BE70" s="88" t="str">
        <f t="shared" ca="1" si="67"/>
        <v/>
      </c>
      <c r="BF70" s="88" t="str">
        <f t="shared" ca="1" si="67"/>
        <v/>
      </c>
      <c r="BG70" s="88" t="str">
        <f t="shared" ca="1" si="67"/>
        <v/>
      </c>
      <c r="BH70" s="88" t="str">
        <f t="shared" ca="1" si="67"/>
        <v/>
      </c>
      <c r="BI70" s="88" t="str">
        <f t="shared" ca="1" si="67"/>
        <v/>
      </c>
      <c r="BJ70" s="88" t="str">
        <f t="shared" ca="1" si="68"/>
        <v/>
      </c>
      <c r="BK70" s="88" t="str">
        <f t="shared" ca="1" si="68"/>
        <v/>
      </c>
      <c r="BL70" s="88" t="str">
        <f t="shared" ca="1" si="68"/>
        <v/>
      </c>
      <c r="BM70" s="88" t="str">
        <f t="shared" ca="1" si="68"/>
        <v/>
      </c>
      <c r="BN70" s="88" t="str">
        <f t="shared" ca="1" si="68"/>
        <v/>
      </c>
      <c r="BO70" s="88" t="str">
        <f t="shared" ca="1" si="68"/>
        <v/>
      </c>
      <c r="BP70" s="88" t="str">
        <f t="shared" ca="1" si="68"/>
        <v/>
      </c>
      <c r="BQ70" s="88" t="str">
        <f t="shared" ca="1" si="68"/>
        <v/>
      </c>
      <c r="BR70" s="88" t="str">
        <f t="shared" ca="1" si="68"/>
        <v/>
      </c>
      <c r="BS70" s="88" t="str">
        <f t="shared" ca="1" si="68"/>
        <v/>
      </c>
      <c r="BT70" s="88" t="str">
        <f t="shared" ca="1" si="69"/>
        <v/>
      </c>
      <c r="BU70" s="88" t="str">
        <f t="shared" ca="1" si="69"/>
        <v/>
      </c>
      <c r="BV70" s="88" t="str">
        <f t="shared" ca="1" si="69"/>
        <v/>
      </c>
      <c r="BW70" s="88" t="str">
        <f t="shared" ca="1" si="69"/>
        <v/>
      </c>
      <c r="BX70" s="88" t="str">
        <f t="shared" ca="1" si="69"/>
        <v/>
      </c>
      <c r="BY70" s="88" t="str">
        <f t="shared" ca="1" si="69"/>
        <v/>
      </c>
      <c r="BZ70" s="88" t="str">
        <f t="shared" ca="1" si="69"/>
        <v/>
      </c>
      <c r="CA70" s="88" t="str">
        <f t="shared" ca="1" si="69"/>
        <v/>
      </c>
      <c r="CB70" s="88" t="str">
        <f t="shared" ca="1" si="56"/>
        <v/>
      </c>
      <c r="CC70" s="88" t="str">
        <f t="shared" ca="1" si="56"/>
        <v/>
      </c>
      <c r="CD70" s="88" t="str">
        <f t="shared" ca="1" si="56"/>
        <v/>
      </c>
      <c r="CE70" s="88" t="str">
        <f t="shared" ca="1" si="56"/>
        <v/>
      </c>
      <c r="CF70" s="88" t="str">
        <f t="shared" ca="1" si="56"/>
        <v/>
      </c>
      <c r="CG70" s="88" t="str">
        <f t="shared" ca="1" si="56"/>
        <v/>
      </c>
      <c r="CH70" s="88" t="str">
        <f t="shared" ca="1" si="56"/>
        <v/>
      </c>
      <c r="CI70" s="88" t="str">
        <f t="shared" ca="1" si="56"/>
        <v/>
      </c>
      <c r="CJ70" s="88" t="str">
        <f t="shared" ca="1" si="56"/>
        <v/>
      </c>
      <c r="CK70" s="88" t="str">
        <f t="shared" ca="1" si="56"/>
        <v/>
      </c>
      <c r="CL70" s="88" t="str">
        <f t="shared" ca="1" si="56"/>
        <v/>
      </c>
      <c r="CM70" s="88" t="str">
        <f t="shared" ca="1" si="56"/>
        <v/>
      </c>
      <c r="CN70" s="88" t="str">
        <f t="shared" ca="1" si="56"/>
        <v/>
      </c>
      <c r="CO70" s="88" t="str">
        <f t="shared" ca="1" si="56"/>
        <v/>
      </c>
      <c r="CP70" s="88" t="str">
        <f t="shared" ca="1" si="56"/>
        <v/>
      </c>
      <c r="CQ70" s="88" t="str">
        <f t="shared" ca="1" si="56"/>
        <v/>
      </c>
      <c r="CR70" s="88" t="str">
        <f t="shared" ca="1" si="60"/>
        <v/>
      </c>
      <c r="CS70" s="88" t="str">
        <f t="shared" ca="1" si="60"/>
        <v/>
      </c>
      <c r="CT70" s="88" t="str">
        <f t="shared" ca="1" si="60"/>
        <v/>
      </c>
      <c r="CU70" s="88" t="str">
        <f t="shared" ca="1" si="60"/>
        <v/>
      </c>
      <c r="CV70" s="88" t="str">
        <f t="shared" ca="1" si="60"/>
        <v/>
      </c>
      <c r="CW70" s="88" t="str">
        <f t="shared" ca="1" si="60"/>
        <v/>
      </c>
      <c r="CX70" s="88" t="str">
        <f t="shared" ca="1" si="60"/>
        <v/>
      </c>
      <c r="CY70" s="88" t="str">
        <f t="shared" ca="1" si="60"/>
        <v/>
      </c>
      <c r="CZ70" s="88" t="str">
        <f t="shared" ca="1" si="60"/>
        <v/>
      </c>
      <c r="DA70" s="88" t="str">
        <f t="shared" ca="1" si="60"/>
        <v/>
      </c>
      <c r="DB70" s="88" t="str">
        <f t="shared" ca="1" si="60"/>
        <v/>
      </c>
      <c r="DC70" s="88" t="str">
        <f t="shared" ca="1" si="60"/>
        <v/>
      </c>
      <c r="DD70" s="88" t="str">
        <f t="shared" ca="1" si="60"/>
        <v/>
      </c>
      <c r="DE70" s="88" t="str">
        <f t="shared" ca="1" si="60"/>
        <v/>
      </c>
      <c r="DF70" s="88" t="str">
        <f t="shared" ca="1" si="60"/>
        <v/>
      </c>
      <c r="DG70" s="88" t="str">
        <f t="shared" ca="1" si="60"/>
        <v/>
      </c>
      <c r="DH70" s="88" t="str">
        <f t="shared" ca="1" si="60"/>
        <v/>
      </c>
      <c r="DI70" s="88" t="str">
        <f t="shared" ca="1" si="61"/>
        <v/>
      </c>
      <c r="DJ70" s="88" t="str">
        <f t="shared" ca="1" si="61"/>
        <v/>
      </c>
      <c r="DK70" s="88" t="str">
        <f t="shared" ca="1" si="61"/>
        <v/>
      </c>
      <c r="DL70" s="88" t="str">
        <f t="shared" ca="1" si="61"/>
        <v/>
      </c>
      <c r="DM70" s="88" t="str">
        <f t="shared" ca="1" si="61"/>
        <v/>
      </c>
      <c r="DN70" s="88" t="str">
        <f t="shared" ca="1" si="61"/>
        <v/>
      </c>
      <c r="DO70" s="88" t="str">
        <f t="shared" ca="1" si="61"/>
        <v/>
      </c>
      <c r="DP70" s="88" t="str">
        <f t="shared" ca="1" si="61"/>
        <v/>
      </c>
      <c r="DQ70" s="88" t="str">
        <f t="shared" ca="1" si="61"/>
        <v/>
      </c>
      <c r="DR70" s="88" t="str">
        <f t="shared" ca="1" si="61"/>
        <v/>
      </c>
      <c r="DS70" s="88" t="str">
        <f t="shared" ca="1" si="62"/>
        <v/>
      </c>
      <c r="DT70" s="88" t="str">
        <f t="shared" ca="1" si="62"/>
        <v/>
      </c>
      <c r="DU70" s="88" t="str">
        <f t="shared" ca="1" si="62"/>
        <v/>
      </c>
      <c r="DV70" s="88" t="str">
        <f t="shared" ca="1" si="62"/>
        <v/>
      </c>
      <c r="DW70" s="88" t="str">
        <f t="shared" ca="1" si="62"/>
        <v/>
      </c>
      <c r="DX70" s="88" t="str">
        <f t="shared" ca="1" si="62"/>
        <v/>
      </c>
      <c r="DY70" s="88" t="str">
        <f t="shared" ca="1" si="62"/>
        <v/>
      </c>
      <c r="DZ70" s="88" t="str">
        <f t="shared" ca="1" si="62"/>
        <v/>
      </c>
      <c r="EA70" s="88" t="str">
        <f t="shared" ca="1" si="62"/>
        <v/>
      </c>
      <c r="EB70" s="88" t="str">
        <f t="shared" ca="1" si="62"/>
        <v/>
      </c>
      <c r="EC70" s="88" t="str">
        <f t="shared" ca="1" si="63"/>
        <v/>
      </c>
      <c r="ED70" s="88" t="str">
        <f t="shared" ca="1" si="63"/>
        <v/>
      </c>
      <c r="EE70" s="88" t="str">
        <f t="shared" ca="1" si="63"/>
        <v/>
      </c>
      <c r="EF70" s="88" t="str">
        <f t="shared" ca="1" si="63"/>
        <v/>
      </c>
      <c r="EG70" s="88" t="str">
        <f t="shared" ca="1" si="63"/>
        <v/>
      </c>
      <c r="EH70" s="88" t="str">
        <f t="shared" ca="1" si="63"/>
        <v/>
      </c>
      <c r="EI70" s="88" t="str">
        <f t="shared" ca="1" si="63"/>
        <v/>
      </c>
      <c r="EJ70" s="9" t="str">
        <f t="shared" ca="1" si="63"/>
        <v/>
      </c>
      <c r="EK70" s="9" t="str">
        <f t="shared" ca="1" si="63"/>
        <v/>
      </c>
      <c r="EL70" s="9" t="str">
        <f t="shared" ca="1" si="63"/>
        <v/>
      </c>
      <c r="EM70" s="9" t="str">
        <f t="shared" ca="1" si="64"/>
        <v/>
      </c>
      <c r="EN70" s="9" t="str">
        <f t="shared" ca="1" si="64"/>
        <v/>
      </c>
      <c r="EO70" s="9" t="str">
        <f t="shared" ca="1" si="64"/>
        <v/>
      </c>
      <c r="EP70" s="9" t="str">
        <f t="shared" ca="1" si="64"/>
        <v/>
      </c>
      <c r="EQ70" s="9" t="str">
        <f t="shared" ca="1" si="64"/>
        <v/>
      </c>
      <c r="ER70" s="9" t="str">
        <f t="shared" ca="1" si="64"/>
        <v/>
      </c>
      <c r="ES70" s="9" t="str">
        <f t="shared" ca="1" si="64"/>
        <v/>
      </c>
      <c r="ET70" s="9" t="str">
        <f t="shared" ca="1" si="64"/>
        <v/>
      </c>
      <c r="EU70" s="9" t="str">
        <f t="shared" ca="1" si="64"/>
        <v/>
      </c>
      <c r="EV70" s="9" t="str">
        <f t="shared" ca="1" si="64"/>
        <v/>
      </c>
      <c r="EW70" s="9" t="str">
        <f t="shared" ca="1" si="64"/>
        <v/>
      </c>
      <c r="EX70" s="9" t="str">
        <f t="shared" ca="1" si="64"/>
        <v/>
      </c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</row>
    <row r="71" spans="2:252" outlineLevel="2">
      <c r="B71" s="72" t="s">
        <v>110</v>
      </c>
      <c r="C71" s="72" t="s">
        <v>111</v>
      </c>
      <c r="D71" s="54" t="s">
        <v>16</v>
      </c>
      <c r="E71" s="55">
        <v>46182</v>
      </c>
      <c r="F71" s="56">
        <f>NETWORKDAYS(E71,G71,Праздники!$A$1:$A$14)</f>
        <v>3</v>
      </c>
      <c r="G71" s="55">
        <v>46184</v>
      </c>
      <c r="H71" s="57">
        <v>0.9</v>
      </c>
      <c r="I71" s="54" t="s">
        <v>146</v>
      </c>
      <c r="J71" s="58"/>
      <c r="K71" s="58" t="s">
        <v>149</v>
      </c>
      <c r="L71" s="58"/>
      <c r="M71" s="58"/>
      <c r="N71" s="58"/>
      <c r="O71" s="58"/>
      <c r="P71" s="87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88"/>
      <c r="DJ71" s="88"/>
      <c r="DK71" s="88"/>
      <c r="DL71" s="88"/>
      <c r="DM71" s="88"/>
      <c r="DN71" s="88"/>
      <c r="DO71" s="88"/>
      <c r="DP71" s="88"/>
      <c r="DQ71" s="88"/>
      <c r="DR71" s="88"/>
      <c r="DS71" s="88"/>
      <c r="DT71" s="88"/>
      <c r="DU71" s="88"/>
      <c r="DV71" s="88"/>
      <c r="DW71" s="88"/>
      <c r="DX71" s="88"/>
      <c r="DY71" s="88"/>
      <c r="DZ71" s="88"/>
      <c r="EA71" s="88"/>
      <c r="EB71" s="88"/>
      <c r="EC71" s="88"/>
      <c r="ED71" s="88"/>
      <c r="EE71" s="88"/>
      <c r="EF71" s="88"/>
      <c r="EG71" s="88"/>
      <c r="EH71" s="88"/>
      <c r="EI71" s="88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</row>
    <row r="72" spans="2:252" outlineLevel="1">
      <c r="B72" s="72" t="s">
        <v>65</v>
      </c>
      <c r="C72" s="72" t="s">
        <v>108</v>
      </c>
      <c r="D72" s="94" t="s">
        <v>109</v>
      </c>
      <c r="E72" s="55">
        <v>46174</v>
      </c>
      <c r="F72" s="56">
        <v>2</v>
      </c>
      <c r="G72" s="55">
        <v>46188</v>
      </c>
      <c r="H72" s="57">
        <v>1</v>
      </c>
      <c r="I72" s="109" t="s">
        <v>151</v>
      </c>
      <c r="J72" s="58"/>
      <c r="K72" s="58" t="s">
        <v>149</v>
      </c>
      <c r="L72" s="58"/>
      <c r="M72" s="58"/>
      <c r="N72" s="58"/>
      <c r="O72" s="58" t="s">
        <v>241</v>
      </c>
      <c r="P72" s="87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88"/>
      <c r="DJ72" s="88"/>
      <c r="DK72" s="88"/>
      <c r="DL72" s="88"/>
      <c r="DM72" s="88"/>
      <c r="DN72" s="88"/>
      <c r="DO72" s="88"/>
      <c r="DP72" s="88"/>
      <c r="DQ72" s="88"/>
      <c r="DR72" s="88"/>
      <c r="DS72" s="88"/>
      <c r="DT72" s="88"/>
      <c r="DU72" s="88"/>
      <c r="DV72" s="88"/>
      <c r="DW72" s="88"/>
      <c r="DX72" s="88"/>
      <c r="DY72" s="88"/>
      <c r="DZ72" s="88"/>
      <c r="EA72" s="88"/>
      <c r="EB72" s="88"/>
      <c r="EC72" s="88"/>
      <c r="ED72" s="88"/>
      <c r="EE72" s="88"/>
      <c r="EF72" s="88"/>
      <c r="EG72" s="88"/>
      <c r="EH72" s="88"/>
      <c r="EI72" s="88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</row>
    <row r="73" spans="2:252" outlineLevel="1">
      <c r="B73" s="72" t="s">
        <v>67</v>
      </c>
      <c r="C73" s="101" t="s">
        <v>115</v>
      </c>
      <c r="D73" s="102" t="s">
        <v>120</v>
      </c>
      <c r="E73" s="79">
        <v>46197</v>
      </c>
      <c r="F73" s="78">
        <f>NETWORKDAYS(E73,G73,Праздники!$A$1:$A$14)</f>
        <v>10</v>
      </c>
      <c r="G73" s="79">
        <v>46210</v>
      </c>
      <c r="H73" s="80">
        <v>1</v>
      </c>
      <c r="I73" s="102" t="s">
        <v>158</v>
      </c>
      <c r="J73" s="102" t="s">
        <v>158</v>
      </c>
      <c r="K73" s="58" t="s">
        <v>149</v>
      </c>
      <c r="L73" s="81"/>
      <c r="M73" s="81"/>
      <c r="N73" s="81"/>
      <c r="O73" s="81"/>
      <c r="P73" s="87" t="str">
        <f t="shared" ca="1" si="55"/>
        <v/>
      </c>
      <c r="Q73" s="88" t="str">
        <f t="shared" ca="1" si="55"/>
        <v/>
      </c>
      <c r="R73" s="88" t="str">
        <f t="shared" ca="1" si="55"/>
        <v/>
      </c>
      <c r="S73" s="88" t="str">
        <f t="shared" ca="1" si="55"/>
        <v/>
      </c>
      <c r="T73" s="88" t="str">
        <f t="shared" ca="1" si="55"/>
        <v/>
      </c>
      <c r="U73" s="88" t="str">
        <f t="shared" ca="1" si="55"/>
        <v/>
      </c>
      <c r="V73" s="88" t="str">
        <f t="shared" ca="1" si="55"/>
        <v/>
      </c>
      <c r="W73" s="88" t="str">
        <f t="shared" ca="1" si="55"/>
        <v/>
      </c>
      <c r="X73" s="88" t="str">
        <f t="shared" ca="1" si="55"/>
        <v/>
      </c>
      <c r="Y73" s="88" t="str">
        <f t="shared" ca="1" si="55"/>
        <v/>
      </c>
      <c r="Z73" s="88" t="str">
        <f t="shared" ca="1" si="55"/>
        <v/>
      </c>
      <c r="AA73" s="88" t="str">
        <f t="shared" ca="1" si="55"/>
        <v/>
      </c>
      <c r="AB73" s="88" t="str">
        <f t="shared" ca="1" si="55"/>
        <v/>
      </c>
      <c r="AC73" s="88" t="str">
        <f t="shared" ca="1" si="55"/>
        <v/>
      </c>
      <c r="AD73" s="88" t="str">
        <f t="shared" ca="1" si="55"/>
        <v/>
      </c>
      <c r="AE73" s="88" t="str">
        <f ca="1">IF(AE$8=TODAY(),CHAR(124),"")</f>
        <v/>
      </c>
      <c r="AF73" s="88" t="str">
        <f t="shared" ref="AF73:AU103" ca="1" si="70">IF(AF$8=TODAY(),CHAR(124),"")</f>
        <v/>
      </c>
      <c r="AG73" s="88" t="str">
        <f t="shared" ca="1" si="70"/>
        <v/>
      </c>
      <c r="AH73" s="88" t="str">
        <f t="shared" ca="1" si="70"/>
        <v/>
      </c>
      <c r="AI73" s="88" t="str">
        <f t="shared" ca="1" si="70"/>
        <v/>
      </c>
      <c r="AJ73" s="88" t="str">
        <f t="shared" ca="1" si="70"/>
        <v/>
      </c>
      <c r="AK73" s="88" t="str">
        <f t="shared" ca="1" si="70"/>
        <v/>
      </c>
      <c r="AL73" s="88" t="str">
        <f t="shared" ca="1" si="70"/>
        <v/>
      </c>
      <c r="AM73" s="88" t="str">
        <f t="shared" ca="1" si="70"/>
        <v/>
      </c>
      <c r="AN73" s="88" t="str">
        <f t="shared" ca="1" si="70"/>
        <v/>
      </c>
      <c r="AO73" s="88" t="str">
        <f t="shared" ca="1" si="70"/>
        <v/>
      </c>
      <c r="AP73" s="88" t="str">
        <f t="shared" ca="1" si="70"/>
        <v/>
      </c>
      <c r="AQ73" s="88" t="str">
        <f t="shared" ca="1" si="70"/>
        <v/>
      </c>
      <c r="AR73" s="88" t="str">
        <f t="shared" ca="1" si="70"/>
        <v/>
      </c>
      <c r="AS73" s="88" t="str">
        <f t="shared" ca="1" si="70"/>
        <v/>
      </c>
      <c r="AT73" s="88" t="str">
        <f t="shared" ca="1" si="70"/>
        <v/>
      </c>
      <c r="AU73" s="88" t="str">
        <f t="shared" ca="1" si="70"/>
        <v/>
      </c>
      <c r="AV73" s="88" t="str">
        <f t="shared" ref="AV73:CA73" ca="1" si="71">IF(AV$8=TODAY(),CHAR(124),"")</f>
        <v/>
      </c>
      <c r="AW73" s="88" t="str">
        <f t="shared" ca="1" si="71"/>
        <v/>
      </c>
      <c r="AX73" s="88" t="str">
        <f t="shared" ca="1" si="71"/>
        <v/>
      </c>
      <c r="AY73" s="88" t="str">
        <f t="shared" ca="1" si="71"/>
        <v/>
      </c>
      <c r="AZ73" s="88" t="str">
        <f t="shared" ca="1" si="71"/>
        <v/>
      </c>
      <c r="BA73" s="88" t="str">
        <f t="shared" ca="1" si="71"/>
        <v/>
      </c>
      <c r="BB73" s="88" t="str">
        <f t="shared" ca="1" si="71"/>
        <v/>
      </c>
      <c r="BC73" s="88" t="str">
        <f t="shared" ca="1" si="71"/>
        <v/>
      </c>
      <c r="BD73" s="88" t="str">
        <f t="shared" ca="1" si="71"/>
        <v/>
      </c>
      <c r="BE73" s="88" t="str">
        <f t="shared" ca="1" si="71"/>
        <v/>
      </c>
      <c r="BF73" s="88" t="str">
        <f t="shared" ca="1" si="71"/>
        <v/>
      </c>
      <c r="BG73" s="88" t="str">
        <f t="shared" ca="1" si="71"/>
        <v/>
      </c>
      <c r="BH73" s="88" t="str">
        <f t="shared" ca="1" si="71"/>
        <v/>
      </c>
      <c r="BI73" s="88" t="str">
        <f t="shared" ca="1" si="71"/>
        <v/>
      </c>
      <c r="BJ73" s="88" t="str">
        <f t="shared" ca="1" si="71"/>
        <v/>
      </c>
      <c r="BK73" s="88" t="str">
        <f t="shared" ca="1" si="71"/>
        <v/>
      </c>
      <c r="BL73" s="88" t="str">
        <f t="shared" ca="1" si="71"/>
        <v/>
      </c>
      <c r="BM73" s="88" t="str">
        <f t="shared" ca="1" si="71"/>
        <v/>
      </c>
      <c r="BN73" s="88" t="str">
        <f t="shared" ca="1" si="71"/>
        <v/>
      </c>
      <c r="BO73" s="88" t="str">
        <f t="shared" ca="1" si="71"/>
        <v/>
      </c>
      <c r="BP73" s="88" t="str">
        <f t="shared" ca="1" si="71"/>
        <v/>
      </c>
      <c r="BQ73" s="88" t="str">
        <f t="shared" ca="1" si="71"/>
        <v/>
      </c>
      <c r="BR73" s="88" t="str">
        <f t="shared" ca="1" si="71"/>
        <v/>
      </c>
      <c r="BS73" s="88" t="str">
        <f t="shared" ca="1" si="71"/>
        <v/>
      </c>
      <c r="BT73" s="88" t="str">
        <f t="shared" ca="1" si="71"/>
        <v/>
      </c>
      <c r="BU73" s="88" t="str">
        <f t="shared" ca="1" si="71"/>
        <v/>
      </c>
      <c r="BV73" s="88" t="str">
        <f t="shared" ca="1" si="71"/>
        <v/>
      </c>
      <c r="BW73" s="88" t="str">
        <f t="shared" ca="1" si="71"/>
        <v/>
      </c>
      <c r="BX73" s="88" t="str">
        <f t="shared" ca="1" si="71"/>
        <v/>
      </c>
      <c r="BY73" s="88" t="str">
        <f t="shared" ca="1" si="71"/>
        <v/>
      </c>
      <c r="BZ73" s="88" t="str">
        <f t="shared" ca="1" si="71"/>
        <v/>
      </c>
      <c r="CA73" s="88" t="str">
        <f t="shared" ca="1" si="71"/>
        <v/>
      </c>
      <c r="CB73" s="88" t="str">
        <f t="shared" ca="1" si="56"/>
        <v/>
      </c>
      <c r="CC73" s="88" t="str">
        <f t="shared" ca="1" si="56"/>
        <v/>
      </c>
      <c r="CD73" s="88" t="str">
        <f t="shared" ca="1" si="56"/>
        <v/>
      </c>
      <c r="CE73" s="88" t="str">
        <f t="shared" ca="1" si="56"/>
        <v/>
      </c>
      <c r="CF73" s="88" t="str">
        <f t="shared" ca="1" si="56"/>
        <v/>
      </c>
      <c r="CG73" s="88" t="str">
        <f t="shared" ca="1" si="56"/>
        <v/>
      </c>
      <c r="CH73" s="88" t="str">
        <f t="shared" ca="1" si="56"/>
        <v/>
      </c>
      <c r="CI73" s="88" t="str">
        <f t="shared" ca="1" si="56"/>
        <v/>
      </c>
      <c r="CJ73" s="88" t="str">
        <f t="shared" ca="1" si="56"/>
        <v/>
      </c>
      <c r="CK73" s="88" t="str">
        <f t="shared" ca="1" si="56"/>
        <v/>
      </c>
      <c r="CL73" s="88" t="str">
        <f t="shared" ca="1" si="56"/>
        <v/>
      </c>
      <c r="CM73" s="88" t="str">
        <f t="shared" ca="1" si="56"/>
        <v/>
      </c>
      <c r="CN73" s="88" t="str">
        <f t="shared" ca="1" si="56"/>
        <v/>
      </c>
      <c r="CO73" s="88" t="str">
        <f t="shared" ca="1" si="56"/>
        <v/>
      </c>
      <c r="CP73" s="88" t="str">
        <f t="shared" ca="1" si="56"/>
        <v/>
      </c>
      <c r="CQ73" s="88" t="str">
        <f t="shared" ca="1" si="56"/>
        <v/>
      </c>
      <c r="CR73" s="88" t="str">
        <f t="shared" ref="CR73:DW73" ca="1" si="72">IF(CR$8=TODAY(),CHAR(124),"")</f>
        <v/>
      </c>
      <c r="CS73" s="88" t="str">
        <f t="shared" ca="1" si="72"/>
        <v/>
      </c>
      <c r="CT73" s="88" t="str">
        <f t="shared" ca="1" si="72"/>
        <v/>
      </c>
      <c r="CU73" s="88" t="str">
        <f t="shared" ca="1" si="72"/>
        <v/>
      </c>
      <c r="CV73" s="88" t="str">
        <f t="shared" ca="1" si="72"/>
        <v/>
      </c>
      <c r="CW73" s="88" t="str">
        <f t="shared" ca="1" si="72"/>
        <v/>
      </c>
      <c r="CX73" s="88" t="str">
        <f t="shared" ca="1" si="72"/>
        <v/>
      </c>
      <c r="CY73" s="88" t="str">
        <f t="shared" ca="1" si="72"/>
        <v/>
      </c>
      <c r="CZ73" s="88" t="str">
        <f t="shared" ca="1" si="72"/>
        <v/>
      </c>
      <c r="DA73" s="88" t="str">
        <f t="shared" ca="1" si="72"/>
        <v/>
      </c>
      <c r="DB73" s="88" t="str">
        <f t="shared" ca="1" si="72"/>
        <v/>
      </c>
      <c r="DC73" s="88" t="str">
        <f t="shared" ca="1" si="72"/>
        <v/>
      </c>
      <c r="DD73" s="88" t="str">
        <f t="shared" ca="1" si="72"/>
        <v/>
      </c>
      <c r="DE73" s="88" t="str">
        <f t="shared" ca="1" si="72"/>
        <v/>
      </c>
      <c r="DF73" s="88" t="str">
        <f t="shared" ca="1" si="72"/>
        <v/>
      </c>
      <c r="DG73" s="88" t="str">
        <f t="shared" ca="1" si="72"/>
        <v/>
      </c>
      <c r="DH73" s="88" t="str">
        <f t="shared" ca="1" si="72"/>
        <v/>
      </c>
      <c r="DI73" s="88" t="str">
        <f t="shared" ca="1" si="72"/>
        <v/>
      </c>
      <c r="DJ73" s="88" t="str">
        <f t="shared" ca="1" si="72"/>
        <v/>
      </c>
      <c r="DK73" s="88" t="str">
        <f t="shared" ca="1" si="72"/>
        <v/>
      </c>
      <c r="DL73" s="88" t="str">
        <f t="shared" ca="1" si="72"/>
        <v/>
      </c>
      <c r="DM73" s="88" t="str">
        <f t="shared" ca="1" si="72"/>
        <v/>
      </c>
      <c r="DN73" s="88" t="str">
        <f t="shared" ca="1" si="72"/>
        <v/>
      </c>
      <c r="DO73" s="88" t="str">
        <f t="shared" ca="1" si="72"/>
        <v/>
      </c>
      <c r="DP73" s="88" t="str">
        <f t="shared" ca="1" si="72"/>
        <v/>
      </c>
      <c r="DQ73" s="88" t="str">
        <f t="shared" ca="1" si="72"/>
        <v/>
      </c>
      <c r="DR73" s="88" t="str">
        <f t="shared" ca="1" si="72"/>
        <v/>
      </c>
      <c r="DS73" s="88" t="str">
        <f t="shared" ca="1" si="72"/>
        <v/>
      </c>
      <c r="DT73" s="88" t="str">
        <f t="shared" ca="1" si="72"/>
        <v/>
      </c>
      <c r="DU73" s="88" t="str">
        <f t="shared" ca="1" si="72"/>
        <v/>
      </c>
      <c r="DV73" s="88" t="str">
        <f t="shared" ca="1" si="72"/>
        <v/>
      </c>
      <c r="DW73" s="88" t="str">
        <f t="shared" ca="1" si="72"/>
        <v/>
      </c>
      <c r="DX73" s="88" t="str">
        <f t="shared" ref="DX73:EX73" ca="1" si="73">IF(DX$8=TODAY(),CHAR(124),"")</f>
        <v/>
      </c>
      <c r="DY73" s="88" t="str">
        <f t="shared" ca="1" si="73"/>
        <v/>
      </c>
      <c r="DZ73" s="88" t="str">
        <f t="shared" ca="1" si="73"/>
        <v/>
      </c>
      <c r="EA73" s="88" t="str">
        <f t="shared" ca="1" si="73"/>
        <v/>
      </c>
      <c r="EB73" s="88" t="str">
        <f t="shared" ca="1" si="73"/>
        <v/>
      </c>
      <c r="EC73" s="88" t="str">
        <f t="shared" ca="1" si="73"/>
        <v/>
      </c>
      <c r="ED73" s="88" t="str">
        <f t="shared" ca="1" si="73"/>
        <v/>
      </c>
      <c r="EE73" s="88" t="str">
        <f t="shared" ca="1" si="73"/>
        <v/>
      </c>
      <c r="EF73" s="88" t="str">
        <f t="shared" ca="1" si="73"/>
        <v/>
      </c>
      <c r="EG73" s="88" t="str">
        <f t="shared" ca="1" si="73"/>
        <v/>
      </c>
      <c r="EH73" s="88" t="str">
        <f t="shared" ca="1" si="73"/>
        <v/>
      </c>
      <c r="EI73" s="88" t="str">
        <f t="shared" ca="1" si="73"/>
        <v/>
      </c>
      <c r="EJ73" s="9" t="str">
        <f t="shared" ca="1" si="73"/>
        <v/>
      </c>
      <c r="EK73" s="9" t="str">
        <f t="shared" ca="1" si="73"/>
        <v/>
      </c>
      <c r="EL73" s="9" t="str">
        <f t="shared" ca="1" si="73"/>
        <v/>
      </c>
      <c r="EM73" s="9" t="str">
        <f t="shared" ca="1" si="73"/>
        <v/>
      </c>
      <c r="EN73" s="9" t="str">
        <f t="shared" ca="1" si="73"/>
        <v/>
      </c>
      <c r="EO73" s="9" t="str">
        <f t="shared" ca="1" si="73"/>
        <v/>
      </c>
      <c r="EP73" s="9" t="str">
        <f t="shared" ca="1" si="73"/>
        <v/>
      </c>
      <c r="EQ73" s="9" t="str">
        <f t="shared" ca="1" si="73"/>
        <v/>
      </c>
      <c r="ER73" s="9" t="str">
        <f t="shared" ca="1" si="73"/>
        <v/>
      </c>
      <c r="ES73" s="9" t="str">
        <f t="shared" ca="1" si="73"/>
        <v/>
      </c>
      <c r="ET73" s="9" t="str">
        <f t="shared" ca="1" si="73"/>
        <v/>
      </c>
      <c r="EU73" s="9" t="str">
        <f t="shared" ca="1" si="73"/>
        <v/>
      </c>
      <c r="EV73" s="9" t="str">
        <f t="shared" ca="1" si="73"/>
        <v/>
      </c>
      <c r="EW73" s="9" t="str">
        <f t="shared" ca="1" si="73"/>
        <v/>
      </c>
      <c r="EX73" s="9" t="str">
        <f t="shared" ca="1" si="73"/>
        <v/>
      </c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</row>
    <row r="74" spans="2:252" ht="15.75" outlineLevel="1">
      <c r="B74" s="75" t="s">
        <v>238</v>
      </c>
      <c r="C74" s="73" t="s">
        <v>233</v>
      </c>
      <c r="D74" s="78"/>
      <c r="E74" s="79">
        <v>46259</v>
      </c>
      <c r="F74" s="56">
        <f>NETWORKDAYS(E74,G74,Праздники!$A$1:$A$14)</f>
        <v>14</v>
      </c>
      <c r="G74" s="79">
        <v>46276</v>
      </c>
      <c r="H74" s="80">
        <v>0.4</v>
      </c>
      <c r="I74" s="54" t="s">
        <v>146</v>
      </c>
      <c r="J74" s="81" t="s">
        <v>149</v>
      </c>
      <c r="K74" s="58" t="s">
        <v>149</v>
      </c>
      <c r="L74" s="81"/>
      <c r="M74" s="81"/>
      <c r="N74" s="81"/>
      <c r="O74" s="81"/>
      <c r="P74" s="87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88"/>
      <c r="DL74" s="88"/>
      <c r="DM74" s="88"/>
      <c r="DN74" s="88"/>
      <c r="DO74" s="88"/>
      <c r="DP74" s="88"/>
      <c r="DQ74" s="88"/>
      <c r="DR74" s="88"/>
      <c r="DS74" s="88"/>
      <c r="DT74" s="88"/>
      <c r="DU74" s="88"/>
      <c r="DV74" s="88"/>
      <c r="DW74" s="88"/>
      <c r="DX74" s="88"/>
      <c r="DY74" s="88"/>
      <c r="DZ74" s="88"/>
      <c r="EA74" s="88"/>
      <c r="EB74" s="88"/>
      <c r="EC74" s="88"/>
      <c r="ED74" s="88"/>
      <c r="EE74" s="88"/>
      <c r="EF74" s="88"/>
      <c r="EG74" s="88"/>
      <c r="EH74" s="88"/>
      <c r="EI74" s="88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</row>
    <row r="75" spans="2:252" outlineLevel="1">
      <c r="B75" s="128" t="s">
        <v>239</v>
      </c>
      <c r="C75" s="101" t="s">
        <v>116</v>
      </c>
      <c r="D75" s="102" t="s">
        <v>118</v>
      </c>
      <c r="E75" s="79">
        <v>46244</v>
      </c>
      <c r="F75" s="78">
        <v>25</v>
      </c>
      <c r="G75" s="79">
        <v>46276</v>
      </c>
      <c r="H75" s="80">
        <v>0.7</v>
      </c>
      <c r="I75" s="102" t="s">
        <v>157</v>
      </c>
      <c r="J75" s="81" t="s">
        <v>157</v>
      </c>
      <c r="K75" s="81" t="s">
        <v>237</v>
      </c>
      <c r="L75" s="81"/>
      <c r="M75" s="81"/>
      <c r="N75" s="81"/>
      <c r="O75" s="81"/>
      <c r="P75" s="104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05"/>
      <c r="CG75" s="105"/>
      <c r="CH75" s="105"/>
      <c r="CI75" s="105"/>
      <c r="CJ75" s="105"/>
      <c r="CK75" s="105"/>
      <c r="CL75" s="105"/>
      <c r="CM75" s="105"/>
      <c r="CN75" s="105"/>
      <c r="CO75" s="105"/>
      <c r="CP75" s="105"/>
      <c r="CQ75" s="105"/>
      <c r="CR75" s="105"/>
      <c r="CS75" s="105"/>
      <c r="CT75" s="105"/>
      <c r="CU75" s="105"/>
      <c r="CV75" s="105"/>
      <c r="CW75" s="105"/>
      <c r="CX75" s="105"/>
      <c r="CY75" s="105"/>
      <c r="CZ75" s="105"/>
      <c r="DA75" s="105"/>
      <c r="DB75" s="105"/>
      <c r="DC75" s="105"/>
      <c r="DD75" s="105"/>
      <c r="DE75" s="105"/>
      <c r="DF75" s="105"/>
      <c r="DG75" s="105"/>
      <c r="DH75" s="105"/>
      <c r="DI75" s="105"/>
      <c r="DJ75" s="105"/>
      <c r="DK75" s="105"/>
      <c r="DL75" s="105"/>
      <c r="DM75" s="105"/>
      <c r="DN75" s="105"/>
      <c r="DO75" s="105"/>
      <c r="DP75" s="105"/>
      <c r="DQ75" s="105"/>
      <c r="DR75" s="105"/>
      <c r="DS75" s="105"/>
      <c r="DT75" s="105"/>
      <c r="DU75" s="105"/>
      <c r="DV75" s="105"/>
      <c r="DW75" s="105"/>
      <c r="DX75" s="105"/>
      <c r="DY75" s="105"/>
      <c r="DZ75" s="105"/>
      <c r="EA75" s="105"/>
      <c r="EB75" s="105"/>
      <c r="EC75" s="105"/>
      <c r="ED75" s="105"/>
      <c r="EE75" s="105"/>
      <c r="EF75" s="105"/>
      <c r="EG75" s="105"/>
      <c r="EH75" s="105"/>
      <c r="EI75" s="105"/>
      <c r="EJ75" s="106"/>
      <c r="EK75" s="106"/>
      <c r="EL75" s="106"/>
      <c r="EM75" s="106"/>
      <c r="EN75" s="106"/>
      <c r="EO75" s="106"/>
      <c r="EP75" s="106"/>
      <c r="EQ75" s="106"/>
      <c r="ER75" s="106"/>
      <c r="ES75" s="106"/>
      <c r="ET75" s="106"/>
      <c r="EU75" s="106"/>
      <c r="EV75" s="106"/>
      <c r="EW75" s="106"/>
      <c r="EX75" s="106"/>
      <c r="EY75" s="106"/>
      <c r="EZ75" s="106"/>
      <c r="FA75" s="106"/>
      <c r="FB75" s="106"/>
      <c r="FC75" s="106"/>
      <c r="FD75" s="106"/>
      <c r="FE75" s="106"/>
      <c r="FF75" s="106"/>
      <c r="FG75" s="106"/>
      <c r="FH75" s="106"/>
      <c r="FI75" s="106"/>
      <c r="FJ75" s="106"/>
      <c r="FK75" s="106"/>
      <c r="FL75" s="106"/>
      <c r="FM75" s="106"/>
      <c r="FN75" s="106"/>
      <c r="FO75" s="106"/>
      <c r="FP75" s="106"/>
      <c r="FQ75" s="106"/>
      <c r="FR75" s="106"/>
      <c r="FS75" s="106"/>
      <c r="FT75" s="106"/>
      <c r="FU75" s="106"/>
      <c r="FV75" s="106"/>
      <c r="FW75" s="106"/>
      <c r="FX75" s="106"/>
      <c r="FY75" s="106"/>
      <c r="FZ75" s="106"/>
      <c r="GA75" s="106"/>
      <c r="GB75" s="106"/>
      <c r="GC75" s="106"/>
      <c r="GD75" s="106"/>
      <c r="GE75" s="106"/>
      <c r="GF75" s="106"/>
      <c r="GG75" s="106"/>
      <c r="GH75" s="106"/>
      <c r="GI75" s="106"/>
      <c r="GJ75" s="106"/>
      <c r="GK75" s="106"/>
      <c r="GL75" s="106"/>
      <c r="GM75" s="106"/>
      <c r="GN75" s="106"/>
      <c r="GO75" s="106"/>
      <c r="GP75" s="106"/>
      <c r="GQ75" s="106"/>
      <c r="GR75" s="106"/>
      <c r="GS75" s="106"/>
      <c r="GT75" s="106"/>
      <c r="GU75" s="106"/>
      <c r="GV75" s="106"/>
      <c r="GW75" s="106"/>
      <c r="GX75" s="106"/>
      <c r="GY75" s="106"/>
      <c r="GZ75" s="106"/>
      <c r="HA75" s="106"/>
      <c r="HB75" s="106"/>
      <c r="HC75" s="106"/>
      <c r="HD75" s="106"/>
      <c r="HE75" s="106"/>
      <c r="HF75" s="106"/>
      <c r="HG75" s="106"/>
      <c r="HH75" s="106"/>
      <c r="HI75" s="106"/>
      <c r="HJ75" s="106"/>
      <c r="HK75" s="106"/>
      <c r="HL75" s="106"/>
      <c r="HM75" s="106"/>
      <c r="HN75" s="106"/>
      <c r="HO75" s="106"/>
      <c r="HP75" s="106"/>
      <c r="HQ75" s="106"/>
      <c r="HR75" s="106"/>
      <c r="HS75" s="106"/>
      <c r="HT75" s="106"/>
      <c r="HU75" s="106"/>
      <c r="HV75" s="106"/>
      <c r="HW75" s="106"/>
      <c r="HX75" s="106"/>
      <c r="HY75" s="106"/>
      <c r="HZ75" s="106"/>
      <c r="IA75" s="106"/>
      <c r="IB75" s="106"/>
      <c r="IC75" s="106"/>
      <c r="ID75" s="106"/>
      <c r="IE75" s="106"/>
      <c r="IF75" s="106"/>
      <c r="IG75" s="106"/>
      <c r="IH75" s="106"/>
      <c r="II75" s="106"/>
      <c r="IJ75" s="106"/>
      <c r="IK75" s="106"/>
      <c r="IL75" s="106"/>
      <c r="IM75" s="106"/>
      <c r="IN75" s="106"/>
      <c r="IO75" s="106"/>
      <c r="IP75" s="106"/>
      <c r="IQ75" s="106"/>
      <c r="IR75" s="106"/>
    </row>
    <row r="76" spans="2:252" ht="15.75" outlineLevel="1">
      <c r="B76" s="75" t="s">
        <v>240</v>
      </c>
      <c r="C76" s="73" t="s">
        <v>233</v>
      </c>
      <c r="D76" s="78"/>
      <c r="E76" s="79">
        <v>46276</v>
      </c>
      <c r="F76" s="56">
        <f>NETWORKDAYS(E76,G76,Праздники!$A$1:$A$14)</f>
        <v>6</v>
      </c>
      <c r="G76" s="79">
        <v>46283</v>
      </c>
      <c r="H76" s="80">
        <v>0</v>
      </c>
      <c r="I76" s="54" t="s">
        <v>146</v>
      </c>
      <c r="J76" s="81"/>
      <c r="K76" s="58" t="s">
        <v>149</v>
      </c>
      <c r="L76" s="81"/>
      <c r="M76" s="81"/>
      <c r="N76" s="81"/>
      <c r="O76" s="81"/>
      <c r="P76" s="87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88"/>
      <c r="DJ76" s="88"/>
      <c r="DK76" s="88"/>
      <c r="DL76" s="88"/>
      <c r="DM76" s="88"/>
      <c r="DN76" s="88"/>
      <c r="DO76" s="88"/>
      <c r="DP76" s="88"/>
      <c r="DQ76" s="88"/>
      <c r="DR76" s="88"/>
      <c r="DS76" s="88"/>
      <c r="DT76" s="88"/>
      <c r="DU76" s="88"/>
      <c r="DV76" s="88"/>
      <c r="DW76" s="88"/>
      <c r="DX76" s="88"/>
      <c r="DY76" s="88"/>
      <c r="DZ76" s="88"/>
      <c r="EA76" s="88"/>
      <c r="EB76" s="88"/>
      <c r="EC76" s="88"/>
      <c r="ED76" s="88"/>
      <c r="EE76" s="88"/>
      <c r="EF76" s="88"/>
      <c r="EG76" s="88"/>
      <c r="EH76" s="88"/>
      <c r="EI76" s="88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</row>
    <row r="77" spans="2:252" outlineLevel="1">
      <c r="B77" s="76" t="s">
        <v>59</v>
      </c>
      <c r="C77" s="77" t="s">
        <v>315</v>
      </c>
      <c r="D77" s="78" t="s">
        <v>15</v>
      </c>
      <c r="E77" s="79">
        <v>46251</v>
      </c>
      <c r="F77" s="78">
        <f>NETWORKDAYS(E77,G77,Праздники!$A$1:$A$14)</f>
        <v>1</v>
      </c>
      <c r="G77" s="79">
        <v>46251</v>
      </c>
      <c r="H77" s="80">
        <v>1</v>
      </c>
      <c r="I77" s="78" t="s">
        <v>153</v>
      </c>
      <c r="J77" s="81" t="s">
        <v>316</v>
      </c>
      <c r="K77" s="58"/>
      <c r="L77" s="58" t="s">
        <v>149</v>
      </c>
      <c r="M77" s="127" t="s">
        <v>317</v>
      </c>
      <c r="N77" s="81"/>
      <c r="O77" s="81"/>
      <c r="P77" s="104" t="str">
        <f t="shared" ca="1" si="55"/>
        <v/>
      </c>
      <c r="Q77" s="105" t="str">
        <f t="shared" ca="1" si="55"/>
        <v/>
      </c>
      <c r="R77" s="105" t="str">
        <f t="shared" ca="1" si="55"/>
        <v/>
      </c>
      <c r="S77" s="105" t="str">
        <f t="shared" ca="1" si="55"/>
        <v/>
      </c>
      <c r="T77" s="105" t="str">
        <f t="shared" ca="1" si="55"/>
        <v/>
      </c>
      <c r="U77" s="105" t="str">
        <f t="shared" ca="1" si="55"/>
        <v/>
      </c>
      <c r="V77" s="105" t="str">
        <f t="shared" ca="1" si="55"/>
        <v/>
      </c>
      <c r="W77" s="105" t="str">
        <f t="shared" ca="1" si="55"/>
        <v/>
      </c>
      <c r="X77" s="105" t="str">
        <f t="shared" ca="1" si="55"/>
        <v/>
      </c>
      <c r="Y77" s="105" t="str">
        <f t="shared" ca="1" si="55"/>
        <v/>
      </c>
      <c r="Z77" s="105" t="str">
        <f t="shared" ca="1" si="55"/>
        <v/>
      </c>
      <c r="AA77" s="105" t="str">
        <f t="shared" ca="1" si="55"/>
        <v/>
      </c>
      <c r="AB77" s="105" t="str">
        <f t="shared" ca="1" si="55"/>
        <v/>
      </c>
      <c r="AC77" s="105" t="str">
        <f t="shared" ca="1" si="55"/>
        <v/>
      </c>
      <c r="AD77" s="105" t="str">
        <f t="shared" ca="1" si="55"/>
        <v/>
      </c>
      <c r="AE77" s="105" t="str">
        <f ca="1">IF(AE$8=TODAY(),CHAR(124),"")</f>
        <v/>
      </c>
      <c r="AF77" s="105" t="str">
        <f t="shared" ca="1" si="70"/>
        <v/>
      </c>
      <c r="AG77" s="105" t="str">
        <f t="shared" ca="1" si="70"/>
        <v/>
      </c>
      <c r="AH77" s="105" t="str">
        <f t="shared" ca="1" si="70"/>
        <v/>
      </c>
      <c r="AI77" s="105" t="str">
        <f t="shared" ca="1" si="70"/>
        <v/>
      </c>
      <c r="AJ77" s="105" t="str">
        <f t="shared" ca="1" si="70"/>
        <v/>
      </c>
      <c r="AK77" s="105" t="str">
        <f t="shared" ca="1" si="70"/>
        <v/>
      </c>
      <c r="AL77" s="105" t="str">
        <f t="shared" ca="1" si="70"/>
        <v/>
      </c>
      <c r="AM77" s="105" t="str">
        <f t="shared" ca="1" si="70"/>
        <v/>
      </c>
      <c r="AN77" s="105" t="str">
        <f t="shared" ca="1" si="70"/>
        <v/>
      </c>
      <c r="AO77" s="105" t="str">
        <f t="shared" ca="1" si="70"/>
        <v/>
      </c>
      <c r="AP77" s="105" t="str">
        <f t="shared" ca="1" si="70"/>
        <v/>
      </c>
      <c r="AQ77" s="105" t="str">
        <f t="shared" ca="1" si="70"/>
        <v/>
      </c>
      <c r="AR77" s="105" t="str">
        <f t="shared" ca="1" si="70"/>
        <v/>
      </c>
      <c r="AS77" s="105" t="str">
        <f t="shared" ca="1" si="70"/>
        <v/>
      </c>
      <c r="AT77" s="105" t="str">
        <f t="shared" ca="1" si="70"/>
        <v/>
      </c>
      <c r="AU77" s="105" t="str">
        <f t="shared" ca="1" si="70"/>
        <v/>
      </c>
      <c r="AV77" s="105" t="str">
        <f t="shared" ref="AV77:BE82" ca="1" si="74">IF(AV$8=TODAY(),CHAR(124),"")</f>
        <v/>
      </c>
      <c r="AW77" s="105" t="str">
        <f t="shared" ca="1" si="74"/>
        <v/>
      </c>
      <c r="AX77" s="105" t="str">
        <f t="shared" ca="1" si="74"/>
        <v/>
      </c>
      <c r="AY77" s="105" t="str">
        <f t="shared" ca="1" si="74"/>
        <v/>
      </c>
      <c r="AZ77" s="105" t="str">
        <f t="shared" ca="1" si="74"/>
        <v/>
      </c>
      <c r="BA77" s="105" t="str">
        <f t="shared" ca="1" si="74"/>
        <v/>
      </c>
      <c r="BB77" s="105" t="str">
        <f t="shared" ca="1" si="74"/>
        <v/>
      </c>
      <c r="BC77" s="105" t="str">
        <f t="shared" ca="1" si="74"/>
        <v/>
      </c>
      <c r="BD77" s="105" t="str">
        <f t="shared" ca="1" si="74"/>
        <v/>
      </c>
      <c r="BE77" s="105" t="str">
        <f t="shared" ca="1" si="74"/>
        <v/>
      </c>
      <c r="BF77" s="105" t="str">
        <f t="shared" ref="BF77:BO82" ca="1" si="75">IF(BF$8=TODAY(),CHAR(124),"")</f>
        <v/>
      </c>
      <c r="BG77" s="105" t="str">
        <f t="shared" ca="1" si="75"/>
        <v/>
      </c>
      <c r="BH77" s="105" t="str">
        <f t="shared" ca="1" si="75"/>
        <v/>
      </c>
      <c r="BI77" s="105" t="str">
        <f t="shared" ca="1" si="75"/>
        <v/>
      </c>
      <c r="BJ77" s="105" t="str">
        <f t="shared" ca="1" si="75"/>
        <v/>
      </c>
      <c r="BK77" s="105" t="str">
        <f t="shared" ca="1" si="75"/>
        <v/>
      </c>
      <c r="BL77" s="105" t="str">
        <f t="shared" ca="1" si="75"/>
        <v/>
      </c>
      <c r="BM77" s="105" t="str">
        <f t="shared" ca="1" si="75"/>
        <v/>
      </c>
      <c r="BN77" s="105" t="str">
        <f t="shared" ca="1" si="75"/>
        <v/>
      </c>
      <c r="BO77" s="105" t="str">
        <f t="shared" ca="1" si="75"/>
        <v/>
      </c>
      <c r="BP77" s="105" t="str">
        <f t="shared" ref="BP77:CA82" ca="1" si="76">IF(BP$8=TODAY(),CHAR(124),"")</f>
        <v/>
      </c>
      <c r="BQ77" s="105" t="str">
        <f t="shared" ca="1" si="76"/>
        <v/>
      </c>
      <c r="BR77" s="105" t="str">
        <f t="shared" ca="1" si="76"/>
        <v/>
      </c>
      <c r="BS77" s="105" t="str">
        <f t="shared" ca="1" si="76"/>
        <v/>
      </c>
      <c r="BT77" s="105" t="str">
        <f t="shared" ca="1" si="76"/>
        <v/>
      </c>
      <c r="BU77" s="105" t="str">
        <f t="shared" ca="1" si="76"/>
        <v/>
      </c>
      <c r="BV77" s="105" t="str">
        <f t="shared" ca="1" si="76"/>
        <v/>
      </c>
      <c r="BW77" s="105" t="str">
        <f t="shared" ca="1" si="76"/>
        <v/>
      </c>
      <c r="BX77" s="105" t="str">
        <f t="shared" ca="1" si="76"/>
        <v/>
      </c>
      <c r="BY77" s="105" t="str">
        <f t="shared" ca="1" si="76"/>
        <v/>
      </c>
      <c r="BZ77" s="105" t="str">
        <f t="shared" ca="1" si="76"/>
        <v/>
      </c>
      <c r="CA77" s="105" t="str">
        <f t="shared" ca="1" si="76"/>
        <v/>
      </c>
      <c r="CB77" s="105" t="str">
        <f t="shared" ca="1" si="56"/>
        <v/>
      </c>
      <c r="CC77" s="105" t="str">
        <f t="shared" ca="1" si="56"/>
        <v/>
      </c>
      <c r="CD77" s="105" t="str">
        <f t="shared" ca="1" si="56"/>
        <v/>
      </c>
      <c r="CE77" s="105" t="str">
        <f t="shared" ca="1" si="56"/>
        <v/>
      </c>
      <c r="CF77" s="105" t="str">
        <f t="shared" ca="1" si="56"/>
        <v/>
      </c>
      <c r="CG77" s="105" t="str">
        <f t="shared" ca="1" si="56"/>
        <v/>
      </c>
      <c r="CH77" s="105" t="str">
        <f t="shared" ca="1" si="56"/>
        <v/>
      </c>
      <c r="CI77" s="105" t="str">
        <f t="shared" ca="1" si="56"/>
        <v/>
      </c>
      <c r="CJ77" s="105" t="str">
        <f t="shared" ca="1" si="56"/>
        <v/>
      </c>
      <c r="CK77" s="105" t="str">
        <f t="shared" ca="1" si="56"/>
        <v/>
      </c>
      <c r="CL77" s="105" t="str">
        <f t="shared" ca="1" si="56"/>
        <v/>
      </c>
      <c r="CM77" s="105" t="str">
        <f t="shared" ca="1" si="56"/>
        <v/>
      </c>
      <c r="CN77" s="105" t="str">
        <f t="shared" ca="1" si="56"/>
        <v/>
      </c>
      <c r="CO77" s="105" t="str">
        <f t="shared" ca="1" si="56"/>
        <v/>
      </c>
      <c r="CP77" s="105" t="str">
        <f t="shared" ca="1" si="56"/>
        <v/>
      </c>
      <c r="CQ77" s="105" t="str">
        <f t="shared" ca="1" si="56"/>
        <v/>
      </c>
      <c r="CR77" s="105" t="str">
        <f t="shared" ref="CR77:DH82" ca="1" si="77">IF(CR$8=TODAY(),CHAR(124),"")</f>
        <v/>
      </c>
      <c r="CS77" s="105" t="str">
        <f t="shared" ca="1" si="77"/>
        <v/>
      </c>
      <c r="CT77" s="105" t="str">
        <f t="shared" ca="1" si="77"/>
        <v/>
      </c>
      <c r="CU77" s="105" t="str">
        <f t="shared" ca="1" si="77"/>
        <v/>
      </c>
      <c r="CV77" s="105" t="str">
        <f t="shared" ca="1" si="77"/>
        <v/>
      </c>
      <c r="CW77" s="105" t="str">
        <f t="shared" ca="1" si="77"/>
        <v/>
      </c>
      <c r="CX77" s="105" t="str">
        <f t="shared" ca="1" si="77"/>
        <v/>
      </c>
      <c r="CY77" s="105" t="str">
        <f t="shared" ca="1" si="77"/>
        <v/>
      </c>
      <c r="CZ77" s="105" t="str">
        <f t="shared" ca="1" si="77"/>
        <v/>
      </c>
      <c r="DA77" s="105" t="str">
        <f t="shared" ca="1" si="77"/>
        <v/>
      </c>
      <c r="DB77" s="105" t="str">
        <f t="shared" ca="1" si="77"/>
        <v/>
      </c>
      <c r="DC77" s="105" t="str">
        <f t="shared" ca="1" si="77"/>
        <v/>
      </c>
      <c r="DD77" s="105" t="str">
        <f t="shared" ca="1" si="77"/>
        <v/>
      </c>
      <c r="DE77" s="105" t="str">
        <f t="shared" ca="1" si="77"/>
        <v/>
      </c>
      <c r="DF77" s="105" t="str">
        <f t="shared" ca="1" si="77"/>
        <v/>
      </c>
      <c r="DG77" s="105" t="str">
        <f t="shared" ca="1" si="77"/>
        <v/>
      </c>
      <c r="DH77" s="105" t="str">
        <f t="shared" ca="1" si="77"/>
        <v/>
      </c>
      <c r="DI77" s="105" t="str">
        <f t="shared" ref="DI77:DR82" ca="1" si="78">IF(DI$8=TODAY(),CHAR(124),"")</f>
        <v/>
      </c>
      <c r="DJ77" s="105" t="str">
        <f t="shared" ca="1" si="78"/>
        <v/>
      </c>
      <c r="DK77" s="105" t="str">
        <f t="shared" ca="1" si="78"/>
        <v/>
      </c>
      <c r="DL77" s="105" t="str">
        <f t="shared" ca="1" si="78"/>
        <v/>
      </c>
      <c r="DM77" s="105" t="str">
        <f t="shared" ca="1" si="78"/>
        <v/>
      </c>
      <c r="DN77" s="105" t="str">
        <f t="shared" ca="1" si="78"/>
        <v/>
      </c>
      <c r="DO77" s="105" t="str">
        <f t="shared" ca="1" si="78"/>
        <v/>
      </c>
      <c r="DP77" s="105" t="str">
        <f t="shared" ca="1" si="78"/>
        <v/>
      </c>
      <c r="DQ77" s="105" t="str">
        <f t="shared" ca="1" si="78"/>
        <v/>
      </c>
      <c r="DR77" s="105" t="str">
        <f t="shared" ca="1" si="78"/>
        <v/>
      </c>
      <c r="DS77" s="105" t="str">
        <f t="shared" ref="DS77:EB82" ca="1" si="79">IF(DS$8=TODAY(),CHAR(124),"")</f>
        <v/>
      </c>
      <c r="DT77" s="105" t="str">
        <f t="shared" ca="1" si="79"/>
        <v/>
      </c>
      <c r="DU77" s="105" t="str">
        <f t="shared" ca="1" si="79"/>
        <v/>
      </c>
      <c r="DV77" s="105" t="str">
        <f t="shared" ca="1" si="79"/>
        <v/>
      </c>
      <c r="DW77" s="105" t="str">
        <f t="shared" ca="1" si="79"/>
        <v/>
      </c>
      <c r="DX77" s="105" t="str">
        <f t="shared" ca="1" si="79"/>
        <v/>
      </c>
      <c r="DY77" s="105" t="str">
        <f t="shared" ca="1" si="79"/>
        <v/>
      </c>
      <c r="DZ77" s="105" t="str">
        <f t="shared" ca="1" si="79"/>
        <v/>
      </c>
      <c r="EA77" s="105" t="str">
        <f t="shared" ca="1" si="79"/>
        <v/>
      </c>
      <c r="EB77" s="105" t="str">
        <f t="shared" ca="1" si="79"/>
        <v/>
      </c>
      <c r="EC77" s="105" t="str">
        <f t="shared" ref="EC77:EL82" ca="1" si="80">IF(EC$8=TODAY(),CHAR(124),"")</f>
        <v/>
      </c>
      <c r="ED77" s="105" t="str">
        <f t="shared" ca="1" si="80"/>
        <v/>
      </c>
      <c r="EE77" s="105" t="str">
        <f t="shared" ca="1" si="80"/>
        <v/>
      </c>
      <c r="EF77" s="105" t="str">
        <f t="shared" ca="1" si="80"/>
        <v/>
      </c>
      <c r="EG77" s="105" t="str">
        <f t="shared" ca="1" si="80"/>
        <v/>
      </c>
      <c r="EH77" s="105" t="str">
        <f t="shared" ca="1" si="80"/>
        <v/>
      </c>
      <c r="EI77" s="105" t="str">
        <f t="shared" ca="1" si="80"/>
        <v/>
      </c>
      <c r="EJ77" s="106" t="str">
        <f t="shared" ca="1" si="80"/>
        <v/>
      </c>
      <c r="EK77" s="106" t="str">
        <f t="shared" ca="1" si="80"/>
        <v/>
      </c>
      <c r="EL77" s="106" t="str">
        <f t="shared" ca="1" si="80"/>
        <v/>
      </c>
      <c r="EM77" s="106" t="str">
        <f t="shared" ref="EM77:EX82" ca="1" si="81">IF(EM$8=TODAY(),CHAR(124),"")</f>
        <v/>
      </c>
      <c r="EN77" s="106" t="str">
        <f t="shared" ca="1" si="81"/>
        <v/>
      </c>
      <c r="EO77" s="106" t="str">
        <f t="shared" ca="1" si="81"/>
        <v/>
      </c>
      <c r="EP77" s="106" t="str">
        <f t="shared" ca="1" si="81"/>
        <v/>
      </c>
      <c r="EQ77" s="106" t="str">
        <f t="shared" ca="1" si="81"/>
        <v/>
      </c>
      <c r="ER77" s="106" t="str">
        <f t="shared" ca="1" si="81"/>
        <v/>
      </c>
      <c r="ES77" s="106" t="str">
        <f t="shared" ca="1" si="81"/>
        <v/>
      </c>
      <c r="ET77" s="106" t="str">
        <f t="shared" ca="1" si="81"/>
        <v/>
      </c>
      <c r="EU77" s="106" t="str">
        <f t="shared" ca="1" si="81"/>
        <v/>
      </c>
      <c r="EV77" s="106" t="str">
        <f t="shared" ca="1" si="81"/>
        <v/>
      </c>
      <c r="EW77" s="106" t="str">
        <f t="shared" ca="1" si="81"/>
        <v/>
      </c>
      <c r="EX77" s="106" t="str">
        <f t="shared" ca="1" si="81"/>
        <v/>
      </c>
      <c r="EY77" s="106"/>
      <c r="EZ77" s="106"/>
      <c r="FA77" s="106"/>
      <c r="FB77" s="106"/>
      <c r="FC77" s="106"/>
      <c r="FD77" s="106"/>
      <c r="FE77" s="106"/>
      <c r="FF77" s="106"/>
      <c r="FG77" s="106"/>
      <c r="FH77" s="106"/>
      <c r="FI77" s="106"/>
      <c r="FJ77" s="106"/>
      <c r="FK77" s="106"/>
      <c r="FL77" s="106"/>
      <c r="FM77" s="106"/>
      <c r="FN77" s="106"/>
      <c r="FO77" s="106"/>
      <c r="FP77" s="106"/>
      <c r="FQ77" s="106"/>
      <c r="FR77" s="106"/>
      <c r="FS77" s="106"/>
      <c r="FT77" s="106"/>
      <c r="FU77" s="106"/>
      <c r="FV77" s="106"/>
      <c r="FW77" s="106"/>
      <c r="FX77" s="106"/>
      <c r="FY77" s="106"/>
      <c r="FZ77" s="106"/>
      <c r="GA77" s="106"/>
      <c r="GB77" s="106"/>
      <c r="GC77" s="106"/>
      <c r="GD77" s="106"/>
      <c r="GE77" s="106"/>
      <c r="GF77" s="106"/>
      <c r="GG77" s="106"/>
      <c r="GH77" s="106"/>
      <c r="GI77" s="106"/>
      <c r="GJ77" s="106"/>
      <c r="GK77" s="106"/>
      <c r="GL77" s="106"/>
      <c r="GM77" s="106"/>
      <c r="GN77" s="106"/>
      <c r="GO77" s="106"/>
      <c r="GP77" s="106"/>
      <c r="GQ77" s="106"/>
      <c r="GR77" s="106"/>
      <c r="GS77" s="106"/>
      <c r="GT77" s="106"/>
      <c r="GU77" s="106"/>
      <c r="GV77" s="106"/>
      <c r="GW77" s="106"/>
      <c r="GX77" s="106"/>
      <c r="GY77" s="106"/>
      <c r="GZ77" s="106"/>
      <c r="HA77" s="106"/>
      <c r="HB77" s="106"/>
      <c r="HC77" s="106"/>
      <c r="HD77" s="106"/>
      <c r="HE77" s="106"/>
      <c r="HF77" s="106"/>
      <c r="HG77" s="106"/>
      <c r="HH77" s="106"/>
      <c r="HI77" s="106"/>
      <c r="HJ77" s="106"/>
      <c r="HK77" s="106"/>
      <c r="HL77" s="106"/>
      <c r="HM77" s="106"/>
      <c r="HN77" s="106"/>
      <c r="HO77" s="106"/>
      <c r="HP77" s="106"/>
      <c r="HQ77" s="106"/>
      <c r="HR77" s="106"/>
      <c r="HS77" s="106"/>
      <c r="HT77" s="106"/>
      <c r="HU77" s="106"/>
      <c r="HV77" s="106"/>
      <c r="HW77" s="106"/>
      <c r="HX77" s="106"/>
      <c r="HY77" s="106"/>
      <c r="HZ77" s="106"/>
      <c r="IA77" s="106"/>
      <c r="IB77" s="106"/>
      <c r="IC77" s="106"/>
      <c r="ID77" s="106"/>
      <c r="IE77" s="106"/>
      <c r="IF77" s="106"/>
      <c r="IG77" s="106"/>
      <c r="IH77" s="106"/>
      <c r="II77" s="106"/>
      <c r="IJ77" s="106"/>
      <c r="IK77" s="106"/>
      <c r="IL77" s="106"/>
      <c r="IM77" s="106"/>
      <c r="IN77" s="106"/>
      <c r="IO77" s="106"/>
      <c r="IP77" s="106"/>
      <c r="IQ77" s="106"/>
      <c r="IR77" s="106"/>
    </row>
    <row r="78" spans="2:252">
      <c r="B78" s="71" t="s">
        <v>82</v>
      </c>
      <c r="C78" s="71" t="s">
        <v>83</v>
      </c>
      <c r="D78" s="110"/>
      <c r="E78" s="50">
        <v>46146</v>
      </c>
      <c r="F78" s="51">
        <f>NETWORKDAYS(E78,G78,Праздники!$A$1:$A$14)</f>
        <v>51</v>
      </c>
      <c r="G78" s="50">
        <v>46218</v>
      </c>
      <c r="H78" s="52"/>
      <c r="I78" s="110"/>
      <c r="J78" s="53"/>
      <c r="K78" s="53"/>
      <c r="L78" s="53"/>
      <c r="M78" s="53"/>
      <c r="N78" s="53"/>
      <c r="O78" s="53"/>
      <c r="P78" s="104" t="str">
        <f t="shared" ca="1" si="55"/>
        <v/>
      </c>
      <c r="Q78" s="105" t="str">
        <f t="shared" ca="1" si="55"/>
        <v/>
      </c>
      <c r="R78" s="105" t="str">
        <f t="shared" ca="1" si="55"/>
        <v/>
      </c>
      <c r="S78" s="105" t="str">
        <f t="shared" ca="1" si="55"/>
        <v/>
      </c>
      <c r="T78" s="105" t="str">
        <f t="shared" ca="1" si="55"/>
        <v/>
      </c>
      <c r="U78" s="105" t="str">
        <f t="shared" ca="1" si="55"/>
        <v/>
      </c>
      <c r="V78" s="105" t="str">
        <f t="shared" ca="1" si="55"/>
        <v/>
      </c>
      <c r="W78" s="105" t="str">
        <f t="shared" ca="1" si="55"/>
        <v/>
      </c>
      <c r="X78" s="105" t="str">
        <f t="shared" ca="1" si="55"/>
        <v/>
      </c>
      <c r="Y78" s="105" t="str">
        <f t="shared" ca="1" si="55"/>
        <v/>
      </c>
      <c r="Z78" s="105" t="str">
        <f t="shared" ca="1" si="55"/>
        <v/>
      </c>
      <c r="AA78" s="105" t="str">
        <f t="shared" ca="1" si="55"/>
        <v/>
      </c>
      <c r="AB78" s="105" t="str">
        <f t="shared" ca="1" si="55"/>
        <v/>
      </c>
      <c r="AC78" s="105" t="str">
        <f t="shared" ca="1" si="55"/>
        <v/>
      </c>
      <c r="AD78" s="105" t="str">
        <f t="shared" ca="1" si="55"/>
        <v/>
      </c>
      <c r="AE78" s="105" t="str">
        <f t="shared" ca="1" si="55"/>
        <v/>
      </c>
      <c r="AF78" s="105" t="str">
        <f t="shared" ca="1" si="70"/>
        <v/>
      </c>
      <c r="AG78" s="105" t="str">
        <f t="shared" ca="1" si="70"/>
        <v/>
      </c>
      <c r="AH78" s="105" t="str">
        <f t="shared" ca="1" si="70"/>
        <v/>
      </c>
      <c r="AI78" s="105" t="str">
        <f t="shared" ca="1" si="70"/>
        <v/>
      </c>
      <c r="AJ78" s="105" t="str">
        <f t="shared" ca="1" si="70"/>
        <v/>
      </c>
      <c r="AK78" s="105" t="str">
        <f t="shared" ca="1" si="70"/>
        <v/>
      </c>
      <c r="AL78" s="105" t="str">
        <f t="shared" ca="1" si="70"/>
        <v/>
      </c>
      <c r="AM78" s="105" t="str">
        <f t="shared" ca="1" si="70"/>
        <v/>
      </c>
      <c r="AN78" s="105" t="str">
        <f t="shared" ca="1" si="70"/>
        <v/>
      </c>
      <c r="AO78" s="105" t="str">
        <f t="shared" ca="1" si="70"/>
        <v/>
      </c>
      <c r="AP78" s="105" t="str">
        <f t="shared" ca="1" si="70"/>
        <v/>
      </c>
      <c r="AQ78" s="105" t="str">
        <f t="shared" ca="1" si="70"/>
        <v/>
      </c>
      <c r="AR78" s="105" t="str">
        <f t="shared" ca="1" si="70"/>
        <v/>
      </c>
      <c r="AS78" s="105" t="str">
        <f t="shared" ca="1" si="70"/>
        <v/>
      </c>
      <c r="AT78" s="105" t="str">
        <f t="shared" ca="1" si="70"/>
        <v/>
      </c>
      <c r="AU78" s="105" t="str">
        <f t="shared" ca="1" si="70"/>
        <v/>
      </c>
      <c r="AV78" s="105" t="str">
        <f t="shared" ca="1" si="74"/>
        <v/>
      </c>
      <c r="AW78" s="105" t="str">
        <f t="shared" ca="1" si="74"/>
        <v/>
      </c>
      <c r="AX78" s="105" t="str">
        <f t="shared" ca="1" si="74"/>
        <v/>
      </c>
      <c r="AY78" s="105" t="str">
        <f t="shared" ca="1" si="74"/>
        <v/>
      </c>
      <c r="AZ78" s="105" t="str">
        <f t="shared" ca="1" si="74"/>
        <v/>
      </c>
      <c r="BA78" s="105" t="str">
        <f t="shared" ca="1" si="74"/>
        <v/>
      </c>
      <c r="BB78" s="105" t="str">
        <f t="shared" ca="1" si="74"/>
        <v/>
      </c>
      <c r="BC78" s="105" t="str">
        <f t="shared" ca="1" si="74"/>
        <v/>
      </c>
      <c r="BD78" s="105" t="str">
        <f t="shared" ca="1" si="74"/>
        <v/>
      </c>
      <c r="BE78" s="105" t="str">
        <f t="shared" ca="1" si="74"/>
        <v/>
      </c>
      <c r="BF78" s="105" t="str">
        <f t="shared" ca="1" si="75"/>
        <v/>
      </c>
      <c r="BG78" s="105" t="str">
        <f t="shared" ca="1" si="75"/>
        <v/>
      </c>
      <c r="BH78" s="105" t="str">
        <f t="shared" ca="1" si="75"/>
        <v/>
      </c>
      <c r="BI78" s="105" t="str">
        <f t="shared" ca="1" si="75"/>
        <v/>
      </c>
      <c r="BJ78" s="105" t="str">
        <f t="shared" ca="1" si="75"/>
        <v/>
      </c>
      <c r="BK78" s="105" t="str">
        <f t="shared" ca="1" si="75"/>
        <v/>
      </c>
      <c r="BL78" s="105" t="str">
        <f t="shared" ca="1" si="75"/>
        <v/>
      </c>
      <c r="BM78" s="105" t="str">
        <f t="shared" ca="1" si="75"/>
        <v/>
      </c>
      <c r="BN78" s="105" t="str">
        <f t="shared" ca="1" si="75"/>
        <v/>
      </c>
      <c r="BO78" s="105" t="str">
        <f t="shared" ca="1" si="75"/>
        <v/>
      </c>
      <c r="BP78" s="105" t="str">
        <f t="shared" ca="1" si="76"/>
        <v/>
      </c>
      <c r="BQ78" s="105" t="str">
        <f t="shared" ca="1" si="76"/>
        <v/>
      </c>
      <c r="BR78" s="105" t="str">
        <f t="shared" ca="1" si="76"/>
        <v/>
      </c>
      <c r="BS78" s="105" t="str">
        <f t="shared" ca="1" si="76"/>
        <v/>
      </c>
      <c r="BT78" s="105" t="str">
        <f t="shared" ca="1" si="76"/>
        <v/>
      </c>
      <c r="BU78" s="105" t="str">
        <f t="shared" ca="1" si="76"/>
        <v/>
      </c>
      <c r="BV78" s="105" t="str">
        <f t="shared" ca="1" si="76"/>
        <v/>
      </c>
      <c r="BW78" s="105" t="str">
        <f t="shared" ca="1" si="76"/>
        <v/>
      </c>
      <c r="BX78" s="105" t="str">
        <f t="shared" ca="1" si="76"/>
        <v/>
      </c>
      <c r="BY78" s="105" t="str">
        <f t="shared" ca="1" si="76"/>
        <v/>
      </c>
      <c r="BZ78" s="105" t="str">
        <f t="shared" ca="1" si="76"/>
        <v/>
      </c>
      <c r="CA78" s="105" t="str">
        <f t="shared" ca="1" si="76"/>
        <v/>
      </c>
      <c r="CB78" s="105" t="str">
        <f t="shared" ca="1" si="56"/>
        <v/>
      </c>
      <c r="CC78" s="105" t="str">
        <f t="shared" ca="1" si="56"/>
        <v/>
      </c>
      <c r="CD78" s="105" t="str">
        <f t="shared" ca="1" si="56"/>
        <v/>
      </c>
      <c r="CE78" s="105" t="str">
        <f t="shared" ca="1" si="56"/>
        <v/>
      </c>
      <c r="CF78" s="105" t="str">
        <f t="shared" ca="1" si="56"/>
        <v/>
      </c>
      <c r="CG78" s="105" t="str">
        <f t="shared" ca="1" si="56"/>
        <v/>
      </c>
      <c r="CH78" s="105" t="str">
        <f t="shared" ca="1" si="56"/>
        <v/>
      </c>
      <c r="CI78" s="105" t="str">
        <f t="shared" ca="1" si="56"/>
        <v/>
      </c>
      <c r="CJ78" s="105" t="str">
        <f t="shared" ca="1" si="56"/>
        <v/>
      </c>
      <c r="CK78" s="105" t="str">
        <f t="shared" ca="1" si="56"/>
        <v/>
      </c>
      <c r="CL78" s="105" t="str">
        <f t="shared" ca="1" si="56"/>
        <v/>
      </c>
      <c r="CM78" s="105" t="str">
        <f t="shared" ca="1" si="56"/>
        <v/>
      </c>
      <c r="CN78" s="105" t="str">
        <f t="shared" ca="1" si="56"/>
        <v/>
      </c>
      <c r="CO78" s="105" t="str">
        <f t="shared" ca="1" si="56"/>
        <v/>
      </c>
      <c r="CP78" s="105" t="str">
        <f t="shared" ca="1" si="56"/>
        <v/>
      </c>
      <c r="CQ78" s="105" t="str">
        <f t="shared" ca="1" si="56"/>
        <v/>
      </c>
      <c r="CR78" s="105" t="str">
        <f t="shared" ca="1" si="77"/>
        <v/>
      </c>
      <c r="CS78" s="105" t="str">
        <f t="shared" ca="1" si="77"/>
        <v/>
      </c>
      <c r="CT78" s="105" t="str">
        <f t="shared" ca="1" si="77"/>
        <v/>
      </c>
      <c r="CU78" s="105" t="str">
        <f t="shared" ca="1" si="77"/>
        <v/>
      </c>
      <c r="CV78" s="105" t="str">
        <f t="shared" ca="1" si="77"/>
        <v/>
      </c>
      <c r="CW78" s="105" t="str">
        <f t="shared" ca="1" si="77"/>
        <v/>
      </c>
      <c r="CX78" s="105" t="str">
        <f t="shared" ca="1" si="77"/>
        <v/>
      </c>
      <c r="CY78" s="105" t="str">
        <f t="shared" ca="1" si="77"/>
        <v/>
      </c>
      <c r="CZ78" s="105" t="str">
        <f t="shared" ca="1" si="77"/>
        <v/>
      </c>
      <c r="DA78" s="105" t="str">
        <f t="shared" ca="1" si="77"/>
        <v/>
      </c>
      <c r="DB78" s="105" t="str">
        <f t="shared" ca="1" si="77"/>
        <v/>
      </c>
      <c r="DC78" s="105" t="str">
        <f t="shared" ca="1" si="77"/>
        <v/>
      </c>
      <c r="DD78" s="105" t="str">
        <f t="shared" ca="1" si="77"/>
        <v/>
      </c>
      <c r="DE78" s="105" t="str">
        <f t="shared" ca="1" si="77"/>
        <v/>
      </c>
      <c r="DF78" s="105" t="str">
        <f t="shared" ca="1" si="77"/>
        <v/>
      </c>
      <c r="DG78" s="105" t="str">
        <f t="shared" ca="1" si="77"/>
        <v/>
      </c>
      <c r="DH78" s="105" t="str">
        <f t="shared" ca="1" si="77"/>
        <v/>
      </c>
      <c r="DI78" s="105" t="str">
        <f t="shared" ca="1" si="78"/>
        <v/>
      </c>
      <c r="DJ78" s="105" t="str">
        <f t="shared" ca="1" si="78"/>
        <v/>
      </c>
      <c r="DK78" s="105" t="str">
        <f t="shared" ca="1" si="78"/>
        <v/>
      </c>
      <c r="DL78" s="105" t="str">
        <f t="shared" ca="1" si="78"/>
        <v/>
      </c>
      <c r="DM78" s="105" t="str">
        <f t="shared" ca="1" si="78"/>
        <v/>
      </c>
      <c r="DN78" s="105" t="str">
        <f t="shared" ca="1" si="78"/>
        <v/>
      </c>
      <c r="DO78" s="105" t="str">
        <f t="shared" ca="1" si="78"/>
        <v/>
      </c>
      <c r="DP78" s="105" t="str">
        <f t="shared" ca="1" si="78"/>
        <v/>
      </c>
      <c r="DQ78" s="105" t="str">
        <f t="shared" ca="1" si="78"/>
        <v/>
      </c>
      <c r="DR78" s="105" t="str">
        <f t="shared" ca="1" si="78"/>
        <v/>
      </c>
      <c r="DS78" s="105" t="str">
        <f t="shared" ca="1" si="79"/>
        <v/>
      </c>
      <c r="DT78" s="105" t="str">
        <f t="shared" ca="1" si="79"/>
        <v/>
      </c>
      <c r="DU78" s="105" t="str">
        <f t="shared" ca="1" si="79"/>
        <v/>
      </c>
      <c r="DV78" s="105" t="str">
        <f t="shared" ca="1" si="79"/>
        <v/>
      </c>
      <c r="DW78" s="105" t="str">
        <f t="shared" ca="1" si="79"/>
        <v/>
      </c>
      <c r="DX78" s="105" t="str">
        <f t="shared" ca="1" si="79"/>
        <v/>
      </c>
      <c r="DY78" s="105" t="str">
        <f t="shared" ca="1" si="79"/>
        <v/>
      </c>
      <c r="DZ78" s="105" t="str">
        <f t="shared" ca="1" si="79"/>
        <v/>
      </c>
      <c r="EA78" s="105" t="str">
        <f t="shared" ca="1" si="79"/>
        <v/>
      </c>
      <c r="EB78" s="105" t="str">
        <f t="shared" ca="1" si="79"/>
        <v/>
      </c>
      <c r="EC78" s="105" t="str">
        <f t="shared" ca="1" si="80"/>
        <v/>
      </c>
      <c r="ED78" s="105" t="str">
        <f t="shared" ca="1" si="80"/>
        <v/>
      </c>
      <c r="EE78" s="105" t="str">
        <f t="shared" ca="1" si="80"/>
        <v/>
      </c>
      <c r="EF78" s="105" t="str">
        <f t="shared" ca="1" si="80"/>
        <v/>
      </c>
      <c r="EG78" s="105" t="str">
        <f t="shared" ca="1" si="80"/>
        <v/>
      </c>
      <c r="EH78" s="105" t="str">
        <f t="shared" ca="1" si="80"/>
        <v/>
      </c>
      <c r="EI78" s="105" t="str">
        <f t="shared" ca="1" si="80"/>
        <v/>
      </c>
      <c r="EJ78" s="106" t="str">
        <f t="shared" ca="1" si="80"/>
        <v/>
      </c>
      <c r="EK78" s="106" t="str">
        <f t="shared" ca="1" si="80"/>
        <v/>
      </c>
      <c r="EL78" s="106" t="str">
        <f t="shared" ca="1" si="80"/>
        <v/>
      </c>
      <c r="EM78" s="106" t="str">
        <f t="shared" ca="1" si="81"/>
        <v/>
      </c>
      <c r="EN78" s="106" t="str">
        <f t="shared" ca="1" si="81"/>
        <v/>
      </c>
      <c r="EO78" s="106" t="str">
        <f t="shared" ca="1" si="81"/>
        <v/>
      </c>
      <c r="EP78" s="106" t="str">
        <f t="shared" ca="1" si="81"/>
        <v/>
      </c>
      <c r="EQ78" s="106" t="str">
        <f t="shared" ca="1" si="81"/>
        <v/>
      </c>
      <c r="ER78" s="106" t="str">
        <f t="shared" ca="1" si="81"/>
        <v/>
      </c>
      <c r="ES78" s="106" t="str">
        <f t="shared" ca="1" si="81"/>
        <v/>
      </c>
      <c r="ET78" s="106" t="str">
        <f t="shared" ca="1" si="81"/>
        <v/>
      </c>
      <c r="EU78" s="106" t="str">
        <f t="shared" ca="1" si="81"/>
        <v/>
      </c>
      <c r="EV78" s="106" t="str">
        <f t="shared" ca="1" si="81"/>
        <v/>
      </c>
      <c r="EW78" s="106" t="str">
        <f t="shared" ca="1" si="81"/>
        <v/>
      </c>
      <c r="EX78" s="106" t="str">
        <f t="shared" ca="1" si="81"/>
        <v/>
      </c>
      <c r="EY78" s="106"/>
      <c r="EZ78" s="106"/>
      <c r="FA78" s="106"/>
      <c r="FB78" s="106"/>
      <c r="FC78" s="106"/>
      <c r="FD78" s="106"/>
      <c r="FE78" s="106"/>
      <c r="FF78" s="106"/>
      <c r="FG78" s="106"/>
      <c r="FH78" s="106"/>
      <c r="FI78" s="106"/>
      <c r="FJ78" s="106"/>
      <c r="FK78" s="106"/>
      <c r="FL78" s="106"/>
      <c r="FM78" s="106"/>
      <c r="FN78" s="106"/>
      <c r="FO78" s="106"/>
      <c r="FP78" s="106"/>
      <c r="FQ78" s="106"/>
      <c r="FR78" s="106"/>
      <c r="FS78" s="106"/>
      <c r="FT78" s="106"/>
      <c r="FU78" s="106"/>
      <c r="FV78" s="106"/>
      <c r="FW78" s="106"/>
      <c r="FX78" s="106"/>
      <c r="FY78" s="106"/>
      <c r="FZ78" s="106"/>
      <c r="GA78" s="106"/>
      <c r="GB78" s="106"/>
      <c r="GC78" s="106"/>
      <c r="GD78" s="106"/>
      <c r="GE78" s="106"/>
      <c r="GF78" s="106"/>
      <c r="GG78" s="106"/>
      <c r="GH78" s="106"/>
      <c r="GI78" s="106"/>
      <c r="GJ78" s="106"/>
      <c r="GK78" s="106"/>
      <c r="GL78" s="106"/>
      <c r="GM78" s="106"/>
      <c r="GN78" s="106"/>
      <c r="GO78" s="106"/>
      <c r="GP78" s="106"/>
      <c r="GQ78" s="106"/>
      <c r="GR78" s="106"/>
      <c r="GS78" s="106"/>
      <c r="GT78" s="106"/>
      <c r="GU78" s="106"/>
      <c r="GV78" s="106"/>
      <c r="GW78" s="106"/>
      <c r="GX78" s="106"/>
      <c r="GY78" s="106"/>
      <c r="GZ78" s="106"/>
      <c r="HA78" s="106"/>
      <c r="HB78" s="106"/>
      <c r="HC78" s="106"/>
      <c r="HD78" s="106"/>
      <c r="HE78" s="106"/>
      <c r="HF78" s="106"/>
      <c r="HG78" s="106"/>
      <c r="HH78" s="106"/>
      <c r="HI78" s="106"/>
      <c r="HJ78" s="106"/>
      <c r="HK78" s="106"/>
      <c r="HL78" s="106"/>
      <c r="HM78" s="106"/>
      <c r="HN78" s="106"/>
      <c r="HO78" s="106"/>
      <c r="HP78" s="106"/>
      <c r="HQ78" s="106"/>
      <c r="HR78" s="106"/>
      <c r="HS78" s="106"/>
      <c r="HT78" s="106"/>
      <c r="HU78" s="106"/>
      <c r="HV78" s="106"/>
      <c r="HW78" s="106"/>
      <c r="HX78" s="106"/>
      <c r="HY78" s="106"/>
      <c r="HZ78" s="106"/>
      <c r="IA78" s="106"/>
      <c r="IB78" s="106"/>
      <c r="IC78" s="106"/>
      <c r="ID78" s="106"/>
      <c r="IE78" s="106"/>
      <c r="IF78" s="106"/>
      <c r="IG78" s="106"/>
      <c r="IH78" s="106"/>
      <c r="II78" s="106"/>
      <c r="IJ78" s="106"/>
      <c r="IK78" s="106"/>
      <c r="IL78" s="106"/>
      <c r="IM78" s="106"/>
      <c r="IN78" s="106"/>
      <c r="IO78" s="106"/>
      <c r="IP78" s="106"/>
      <c r="IQ78" s="106"/>
      <c r="IR78" s="106"/>
    </row>
    <row r="79" spans="2:252" s="145" customFormat="1" outlineLevel="1">
      <c r="B79" s="137" t="s">
        <v>84</v>
      </c>
      <c r="C79" s="137" t="s">
        <v>71</v>
      </c>
      <c r="D79" s="139" t="s">
        <v>51</v>
      </c>
      <c r="E79" s="140">
        <v>46146</v>
      </c>
      <c r="F79" s="141">
        <f>NETWORKDAYS(E79,G79,Праздники!$A$1:$A$14)</f>
        <v>5</v>
      </c>
      <c r="G79" s="140">
        <v>46150</v>
      </c>
      <c r="H79" s="142">
        <v>1</v>
      </c>
      <c r="I79" s="139" t="s">
        <v>151</v>
      </c>
      <c r="J79" s="143" t="s">
        <v>150</v>
      </c>
      <c r="K79" s="143"/>
      <c r="L79" s="143"/>
      <c r="M79" s="154" t="s">
        <v>242</v>
      </c>
      <c r="N79" s="143"/>
      <c r="O79" s="143"/>
      <c r="P79" s="144" t="str">
        <f t="shared" ref="P79:AE103" ca="1" si="82">IF(P$8=TODAY(),CHAR(124),"")</f>
        <v/>
      </c>
      <c r="Q79" s="105" t="str">
        <f t="shared" ca="1" si="82"/>
        <v/>
      </c>
      <c r="R79" s="105" t="str">
        <f t="shared" ca="1" si="82"/>
        <v/>
      </c>
      <c r="S79" s="105" t="str">
        <f t="shared" ca="1" si="82"/>
        <v/>
      </c>
      <c r="T79" s="105" t="str">
        <f t="shared" ca="1" si="82"/>
        <v/>
      </c>
      <c r="U79" s="105" t="str">
        <f t="shared" ca="1" si="82"/>
        <v/>
      </c>
      <c r="V79" s="105" t="str">
        <f t="shared" ca="1" si="82"/>
        <v/>
      </c>
      <c r="W79" s="105" t="str">
        <f t="shared" ca="1" si="82"/>
        <v/>
      </c>
      <c r="X79" s="105" t="str">
        <f t="shared" ca="1" si="82"/>
        <v/>
      </c>
      <c r="Y79" s="105" t="str">
        <f t="shared" ca="1" si="82"/>
        <v/>
      </c>
      <c r="Z79" s="105" t="str">
        <f t="shared" ca="1" si="82"/>
        <v/>
      </c>
      <c r="AA79" s="105" t="str">
        <f t="shared" ca="1" si="82"/>
        <v/>
      </c>
      <c r="AB79" s="105" t="str">
        <f t="shared" ca="1" si="82"/>
        <v/>
      </c>
      <c r="AC79" s="105" t="str">
        <f t="shared" ca="1" si="82"/>
        <v/>
      </c>
      <c r="AD79" s="105" t="str">
        <f t="shared" ca="1" si="82"/>
        <v/>
      </c>
      <c r="AE79" s="105" t="str">
        <f t="shared" ca="1" si="82"/>
        <v/>
      </c>
      <c r="AF79" s="105" t="str">
        <f t="shared" ca="1" si="70"/>
        <v/>
      </c>
      <c r="AG79" s="105" t="str">
        <f t="shared" ca="1" si="70"/>
        <v/>
      </c>
      <c r="AH79" s="105" t="str">
        <f t="shared" ca="1" si="70"/>
        <v/>
      </c>
      <c r="AI79" s="105" t="str">
        <f t="shared" ca="1" si="70"/>
        <v/>
      </c>
      <c r="AJ79" s="105" t="str">
        <f t="shared" ca="1" si="70"/>
        <v/>
      </c>
      <c r="AK79" s="105" t="str">
        <f t="shared" ca="1" si="70"/>
        <v/>
      </c>
      <c r="AL79" s="105" t="str">
        <f t="shared" ca="1" si="70"/>
        <v/>
      </c>
      <c r="AM79" s="105" t="str">
        <f t="shared" ca="1" si="70"/>
        <v/>
      </c>
      <c r="AN79" s="105" t="str">
        <f t="shared" ca="1" si="70"/>
        <v/>
      </c>
      <c r="AO79" s="105" t="str">
        <f t="shared" ca="1" si="70"/>
        <v/>
      </c>
      <c r="AP79" s="105" t="str">
        <f t="shared" ca="1" si="70"/>
        <v/>
      </c>
      <c r="AQ79" s="105" t="str">
        <f t="shared" ca="1" si="70"/>
        <v/>
      </c>
      <c r="AR79" s="105" t="str">
        <f t="shared" ca="1" si="70"/>
        <v/>
      </c>
      <c r="AS79" s="105" t="str">
        <f t="shared" ca="1" si="70"/>
        <v/>
      </c>
      <c r="AT79" s="105" t="str">
        <f t="shared" ca="1" si="70"/>
        <v/>
      </c>
      <c r="AU79" s="105" t="str">
        <f t="shared" ca="1" si="70"/>
        <v/>
      </c>
      <c r="AV79" s="105" t="str">
        <f t="shared" ca="1" si="74"/>
        <v/>
      </c>
      <c r="AW79" s="105" t="str">
        <f t="shared" ca="1" si="74"/>
        <v/>
      </c>
      <c r="AX79" s="105" t="str">
        <f t="shared" ca="1" si="74"/>
        <v/>
      </c>
      <c r="AY79" s="105" t="str">
        <f t="shared" ca="1" si="74"/>
        <v/>
      </c>
      <c r="AZ79" s="105" t="str">
        <f t="shared" ca="1" si="74"/>
        <v/>
      </c>
      <c r="BA79" s="105" t="str">
        <f t="shared" ca="1" si="74"/>
        <v/>
      </c>
      <c r="BB79" s="105" t="str">
        <f t="shared" ca="1" si="74"/>
        <v/>
      </c>
      <c r="BC79" s="105" t="str">
        <f t="shared" ca="1" si="74"/>
        <v/>
      </c>
      <c r="BD79" s="105" t="str">
        <f t="shared" ca="1" si="74"/>
        <v/>
      </c>
      <c r="BE79" s="105" t="str">
        <f t="shared" ca="1" si="74"/>
        <v/>
      </c>
      <c r="BF79" s="105" t="str">
        <f t="shared" ca="1" si="75"/>
        <v/>
      </c>
      <c r="BG79" s="105" t="str">
        <f t="shared" ca="1" si="75"/>
        <v/>
      </c>
      <c r="BH79" s="105" t="str">
        <f t="shared" ca="1" si="75"/>
        <v/>
      </c>
      <c r="BI79" s="105" t="str">
        <f t="shared" ca="1" si="75"/>
        <v/>
      </c>
      <c r="BJ79" s="105" t="str">
        <f t="shared" ca="1" si="75"/>
        <v/>
      </c>
      <c r="BK79" s="105" t="str">
        <f t="shared" ca="1" si="75"/>
        <v/>
      </c>
      <c r="BL79" s="105" t="str">
        <f t="shared" ca="1" si="75"/>
        <v/>
      </c>
      <c r="BM79" s="105" t="str">
        <f t="shared" ca="1" si="75"/>
        <v/>
      </c>
      <c r="BN79" s="105" t="str">
        <f t="shared" ca="1" si="75"/>
        <v/>
      </c>
      <c r="BO79" s="105" t="str">
        <f t="shared" ca="1" si="75"/>
        <v/>
      </c>
      <c r="BP79" s="105" t="str">
        <f t="shared" ca="1" si="76"/>
        <v/>
      </c>
      <c r="BQ79" s="105" t="str">
        <f t="shared" ca="1" si="76"/>
        <v/>
      </c>
      <c r="BR79" s="105" t="str">
        <f t="shared" ca="1" si="76"/>
        <v/>
      </c>
      <c r="BS79" s="105" t="str">
        <f t="shared" ca="1" si="76"/>
        <v/>
      </c>
      <c r="BT79" s="105" t="str">
        <f t="shared" ca="1" si="76"/>
        <v/>
      </c>
      <c r="BU79" s="105" t="str">
        <f t="shared" ca="1" si="76"/>
        <v/>
      </c>
      <c r="BV79" s="105" t="str">
        <f t="shared" ca="1" si="76"/>
        <v/>
      </c>
      <c r="BW79" s="105" t="str">
        <f t="shared" ca="1" si="76"/>
        <v/>
      </c>
      <c r="BX79" s="105" t="str">
        <f t="shared" ca="1" si="76"/>
        <v/>
      </c>
      <c r="BY79" s="105" t="str">
        <f t="shared" ca="1" si="76"/>
        <v/>
      </c>
      <c r="BZ79" s="105" t="str">
        <f t="shared" ca="1" si="76"/>
        <v/>
      </c>
      <c r="CA79" s="105" t="str">
        <f t="shared" ca="1" si="76"/>
        <v/>
      </c>
      <c r="CB79" s="105" t="str">
        <f t="shared" ca="1" si="56"/>
        <v/>
      </c>
      <c r="CC79" s="105" t="str">
        <f t="shared" ca="1" si="56"/>
        <v/>
      </c>
      <c r="CD79" s="105" t="str">
        <f t="shared" ca="1" si="56"/>
        <v/>
      </c>
      <c r="CE79" s="105" t="str">
        <f t="shared" ca="1" si="56"/>
        <v/>
      </c>
      <c r="CF79" s="105" t="str">
        <f t="shared" ca="1" si="56"/>
        <v/>
      </c>
      <c r="CG79" s="105" t="str">
        <f t="shared" ca="1" si="56"/>
        <v/>
      </c>
      <c r="CH79" s="105" t="str">
        <f t="shared" ca="1" si="56"/>
        <v/>
      </c>
      <c r="CI79" s="105" t="str">
        <f t="shared" ca="1" si="56"/>
        <v/>
      </c>
      <c r="CJ79" s="105" t="str">
        <f t="shared" ca="1" si="56"/>
        <v/>
      </c>
      <c r="CK79" s="105" t="str">
        <f t="shared" ca="1" si="56"/>
        <v/>
      </c>
      <c r="CL79" s="105" t="str">
        <f t="shared" ca="1" si="56"/>
        <v/>
      </c>
      <c r="CM79" s="105" t="str">
        <f t="shared" ca="1" si="56"/>
        <v/>
      </c>
      <c r="CN79" s="105" t="str">
        <f t="shared" ca="1" si="56"/>
        <v/>
      </c>
      <c r="CO79" s="105" t="str">
        <f t="shared" ca="1" si="56"/>
        <v/>
      </c>
      <c r="CP79" s="105" t="str">
        <f t="shared" ca="1" si="56"/>
        <v/>
      </c>
      <c r="CQ79" s="105" t="str">
        <f t="shared" ca="1" si="56"/>
        <v/>
      </c>
      <c r="CR79" s="105" t="str">
        <f t="shared" ca="1" si="77"/>
        <v/>
      </c>
      <c r="CS79" s="105" t="str">
        <f t="shared" ca="1" si="77"/>
        <v/>
      </c>
      <c r="CT79" s="105" t="str">
        <f t="shared" ca="1" si="77"/>
        <v/>
      </c>
      <c r="CU79" s="105" t="str">
        <f t="shared" ca="1" si="77"/>
        <v/>
      </c>
      <c r="CV79" s="105" t="str">
        <f t="shared" ca="1" si="77"/>
        <v/>
      </c>
      <c r="CW79" s="105" t="str">
        <f t="shared" ca="1" si="77"/>
        <v/>
      </c>
      <c r="CX79" s="105" t="str">
        <f t="shared" ca="1" si="77"/>
        <v/>
      </c>
      <c r="CY79" s="105" t="str">
        <f t="shared" ca="1" si="77"/>
        <v/>
      </c>
      <c r="CZ79" s="105" t="str">
        <f t="shared" ca="1" si="77"/>
        <v/>
      </c>
      <c r="DA79" s="105" t="str">
        <f t="shared" ca="1" si="77"/>
        <v/>
      </c>
      <c r="DB79" s="105" t="str">
        <f t="shared" ca="1" si="77"/>
        <v/>
      </c>
      <c r="DC79" s="105" t="str">
        <f t="shared" ca="1" si="77"/>
        <v/>
      </c>
      <c r="DD79" s="105" t="str">
        <f t="shared" ca="1" si="77"/>
        <v/>
      </c>
      <c r="DE79" s="105" t="str">
        <f t="shared" ca="1" si="77"/>
        <v/>
      </c>
      <c r="DF79" s="105" t="str">
        <f t="shared" ca="1" si="77"/>
        <v/>
      </c>
      <c r="DG79" s="105" t="str">
        <f t="shared" ca="1" si="77"/>
        <v/>
      </c>
      <c r="DH79" s="105" t="str">
        <f t="shared" ca="1" si="77"/>
        <v/>
      </c>
      <c r="DI79" s="105" t="str">
        <f t="shared" ca="1" si="78"/>
        <v/>
      </c>
      <c r="DJ79" s="105" t="str">
        <f t="shared" ca="1" si="78"/>
        <v/>
      </c>
      <c r="DK79" s="105" t="str">
        <f t="shared" ca="1" si="78"/>
        <v/>
      </c>
      <c r="DL79" s="105" t="str">
        <f t="shared" ca="1" si="78"/>
        <v/>
      </c>
      <c r="DM79" s="105" t="str">
        <f t="shared" ca="1" si="78"/>
        <v/>
      </c>
      <c r="DN79" s="105" t="str">
        <f t="shared" ca="1" si="78"/>
        <v/>
      </c>
      <c r="DO79" s="105" t="str">
        <f t="shared" ca="1" si="78"/>
        <v/>
      </c>
      <c r="DP79" s="105" t="str">
        <f t="shared" ca="1" si="78"/>
        <v/>
      </c>
      <c r="DQ79" s="105" t="str">
        <f t="shared" ca="1" si="78"/>
        <v/>
      </c>
      <c r="DR79" s="105" t="str">
        <f t="shared" ca="1" si="78"/>
        <v/>
      </c>
      <c r="DS79" s="105" t="str">
        <f t="shared" ca="1" si="79"/>
        <v/>
      </c>
      <c r="DT79" s="105" t="str">
        <f t="shared" ca="1" si="79"/>
        <v/>
      </c>
      <c r="DU79" s="105" t="str">
        <f t="shared" ca="1" si="79"/>
        <v/>
      </c>
      <c r="DV79" s="105" t="str">
        <f t="shared" ca="1" si="79"/>
        <v/>
      </c>
      <c r="DW79" s="105" t="str">
        <f t="shared" ca="1" si="79"/>
        <v/>
      </c>
      <c r="DX79" s="105" t="str">
        <f t="shared" ca="1" si="79"/>
        <v/>
      </c>
      <c r="DY79" s="105" t="str">
        <f t="shared" ca="1" si="79"/>
        <v/>
      </c>
      <c r="DZ79" s="105" t="str">
        <f t="shared" ca="1" si="79"/>
        <v/>
      </c>
      <c r="EA79" s="105" t="str">
        <f t="shared" ca="1" si="79"/>
        <v/>
      </c>
      <c r="EB79" s="105" t="str">
        <f t="shared" ca="1" si="79"/>
        <v/>
      </c>
      <c r="EC79" s="105" t="str">
        <f t="shared" ca="1" si="80"/>
        <v/>
      </c>
      <c r="ED79" s="105" t="str">
        <f t="shared" ca="1" si="80"/>
        <v/>
      </c>
      <c r="EE79" s="105" t="str">
        <f t="shared" ca="1" si="80"/>
        <v/>
      </c>
      <c r="EF79" s="105" t="str">
        <f t="shared" ca="1" si="80"/>
        <v/>
      </c>
      <c r="EG79" s="105" t="str">
        <f t="shared" ca="1" si="80"/>
        <v/>
      </c>
      <c r="EH79" s="105" t="str">
        <f t="shared" ca="1" si="80"/>
        <v/>
      </c>
      <c r="EI79" s="105" t="str">
        <f t="shared" ca="1" si="80"/>
        <v/>
      </c>
      <c r="EJ79" s="105" t="str">
        <f t="shared" ca="1" si="80"/>
        <v/>
      </c>
      <c r="EK79" s="105" t="str">
        <f t="shared" ca="1" si="80"/>
        <v/>
      </c>
      <c r="EL79" s="105" t="str">
        <f t="shared" ca="1" si="80"/>
        <v/>
      </c>
      <c r="EM79" s="105" t="str">
        <f t="shared" ca="1" si="81"/>
        <v/>
      </c>
      <c r="EN79" s="105" t="str">
        <f t="shared" ca="1" si="81"/>
        <v/>
      </c>
      <c r="EO79" s="105" t="str">
        <f t="shared" ca="1" si="81"/>
        <v/>
      </c>
      <c r="EP79" s="105" t="str">
        <f t="shared" ca="1" si="81"/>
        <v/>
      </c>
      <c r="EQ79" s="105" t="str">
        <f t="shared" ca="1" si="81"/>
        <v/>
      </c>
      <c r="ER79" s="105" t="str">
        <f t="shared" ca="1" si="81"/>
        <v/>
      </c>
      <c r="ES79" s="105" t="str">
        <f t="shared" ca="1" si="81"/>
        <v/>
      </c>
      <c r="ET79" s="105" t="str">
        <f t="shared" ca="1" si="81"/>
        <v/>
      </c>
      <c r="EU79" s="105" t="str">
        <f t="shared" ca="1" si="81"/>
        <v/>
      </c>
      <c r="EV79" s="105" t="str">
        <f t="shared" ca="1" si="81"/>
        <v/>
      </c>
      <c r="EW79" s="105" t="str">
        <f t="shared" ca="1" si="81"/>
        <v/>
      </c>
      <c r="EX79" s="105" t="str">
        <f t="shared" ca="1" si="81"/>
        <v/>
      </c>
      <c r="EY79" s="105"/>
      <c r="EZ79" s="105"/>
      <c r="FA79" s="105"/>
      <c r="FB79" s="105"/>
      <c r="FC79" s="105"/>
      <c r="FD79" s="105"/>
      <c r="FE79" s="105"/>
      <c r="FF79" s="105"/>
      <c r="FG79" s="105"/>
      <c r="FH79" s="105"/>
      <c r="FI79" s="105"/>
      <c r="FJ79" s="105"/>
      <c r="FK79" s="105"/>
      <c r="FL79" s="105"/>
      <c r="FM79" s="105"/>
      <c r="FN79" s="105"/>
      <c r="FO79" s="105"/>
      <c r="FP79" s="105"/>
      <c r="FQ79" s="105"/>
      <c r="FR79" s="105"/>
      <c r="FS79" s="105"/>
      <c r="FT79" s="105"/>
      <c r="FU79" s="105"/>
      <c r="FV79" s="105"/>
      <c r="FW79" s="105"/>
      <c r="FX79" s="105"/>
      <c r="FY79" s="105"/>
      <c r="FZ79" s="105"/>
      <c r="GA79" s="105"/>
      <c r="GB79" s="105"/>
      <c r="GC79" s="105"/>
      <c r="GD79" s="105"/>
      <c r="GE79" s="105"/>
      <c r="GF79" s="105"/>
      <c r="GG79" s="105"/>
      <c r="GH79" s="105"/>
      <c r="GI79" s="105"/>
      <c r="GJ79" s="105"/>
      <c r="GK79" s="105"/>
      <c r="GL79" s="105"/>
      <c r="GM79" s="105"/>
      <c r="GN79" s="105"/>
      <c r="GO79" s="105"/>
      <c r="GP79" s="105"/>
      <c r="GQ79" s="105"/>
      <c r="GR79" s="105"/>
      <c r="GS79" s="105"/>
      <c r="GT79" s="105"/>
      <c r="GU79" s="105"/>
      <c r="GV79" s="105"/>
      <c r="GW79" s="105"/>
      <c r="GX79" s="105"/>
      <c r="GY79" s="105"/>
      <c r="GZ79" s="105"/>
      <c r="HA79" s="105"/>
      <c r="HB79" s="105"/>
      <c r="HC79" s="105"/>
      <c r="HD79" s="105"/>
      <c r="HE79" s="105"/>
      <c r="HF79" s="105"/>
      <c r="HG79" s="105"/>
      <c r="HH79" s="105"/>
      <c r="HI79" s="105"/>
      <c r="HJ79" s="105"/>
      <c r="HK79" s="105"/>
      <c r="HL79" s="105"/>
      <c r="HM79" s="105"/>
      <c r="HN79" s="105"/>
      <c r="HO79" s="105"/>
      <c r="HP79" s="105"/>
      <c r="HQ79" s="105"/>
      <c r="HR79" s="105"/>
      <c r="HS79" s="105"/>
      <c r="HT79" s="105"/>
      <c r="HU79" s="105"/>
      <c r="HV79" s="105"/>
      <c r="HW79" s="105"/>
      <c r="HX79" s="105"/>
      <c r="HY79" s="105"/>
      <c r="HZ79" s="105"/>
      <c r="IA79" s="105"/>
      <c r="IB79" s="105"/>
      <c r="IC79" s="105"/>
      <c r="ID79" s="105"/>
      <c r="IE79" s="105"/>
      <c r="IF79" s="105"/>
      <c r="IG79" s="105"/>
      <c r="IH79" s="105"/>
      <c r="II79" s="105"/>
      <c r="IJ79" s="105"/>
      <c r="IK79" s="105"/>
      <c r="IL79" s="105"/>
      <c r="IM79" s="105"/>
      <c r="IN79" s="105"/>
      <c r="IO79" s="105"/>
      <c r="IP79" s="105"/>
      <c r="IQ79" s="105"/>
      <c r="IR79" s="105"/>
    </row>
    <row r="80" spans="2:252" s="145" customFormat="1" outlineLevel="1">
      <c r="B80" s="137" t="s">
        <v>85</v>
      </c>
      <c r="C80" s="137" t="s">
        <v>86</v>
      </c>
      <c r="D80" s="139" t="s">
        <v>51</v>
      </c>
      <c r="E80" s="140">
        <v>46174</v>
      </c>
      <c r="F80" s="141">
        <f>NETWORKDAYS(E80,G80,Праздники!$A$1:$A$14)</f>
        <v>10</v>
      </c>
      <c r="G80" s="140">
        <v>46188</v>
      </c>
      <c r="H80" s="142"/>
      <c r="I80" s="139" t="s">
        <v>151</v>
      </c>
      <c r="J80" s="143"/>
      <c r="K80" s="143"/>
      <c r="L80" s="143"/>
      <c r="M80" s="154" t="s">
        <v>242</v>
      </c>
      <c r="N80" s="143"/>
      <c r="O80" s="143"/>
      <c r="P80" s="144" t="str">
        <f t="shared" ca="1" si="82"/>
        <v/>
      </c>
      <c r="Q80" s="105" t="str">
        <f t="shared" ca="1" si="82"/>
        <v/>
      </c>
      <c r="R80" s="105" t="str">
        <f t="shared" ca="1" si="82"/>
        <v/>
      </c>
      <c r="S80" s="105" t="str">
        <f t="shared" ca="1" si="82"/>
        <v/>
      </c>
      <c r="T80" s="105" t="str">
        <f t="shared" ca="1" si="82"/>
        <v/>
      </c>
      <c r="U80" s="105" t="str">
        <f t="shared" ca="1" si="82"/>
        <v/>
      </c>
      <c r="V80" s="105" t="str">
        <f t="shared" ca="1" si="82"/>
        <v/>
      </c>
      <c r="W80" s="105" t="str">
        <f t="shared" ca="1" si="82"/>
        <v/>
      </c>
      <c r="X80" s="105" t="str">
        <f t="shared" ca="1" si="82"/>
        <v/>
      </c>
      <c r="Y80" s="105" t="str">
        <f t="shared" ca="1" si="82"/>
        <v/>
      </c>
      <c r="Z80" s="105" t="str">
        <f t="shared" ca="1" si="82"/>
        <v/>
      </c>
      <c r="AA80" s="105" t="str">
        <f t="shared" ca="1" si="82"/>
        <v/>
      </c>
      <c r="AB80" s="105" t="str">
        <f t="shared" ca="1" si="82"/>
        <v/>
      </c>
      <c r="AC80" s="105" t="str">
        <f t="shared" ca="1" si="82"/>
        <v/>
      </c>
      <c r="AD80" s="105" t="str">
        <f t="shared" ca="1" si="82"/>
        <v/>
      </c>
      <c r="AE80" s="105" t="str">
        <f t="shared" ca="1" si="82"/>
        <v/>
      </c>
      <c r="AF80" s="105" t="str">
        <f t="shared" ca="1" si="70"/>
        <v/>
      </c>
      <c r="AG80" s="105" t="str">
        <f t="shared" ca="1" si="70"/>
        <v/>
      </c>
      <c r="AH80" s="105" t="str">
        <f t="shared" ca="1" si="70"/>
        <v/>
      </c>
      <c r="AI80" s="105" t="str">
        <f t="shared" ca="1" si="70"/>
        <v/>
      </c>
      <c r="AJ80" s="105" t="str">
        <f t="shared" ca="1" si="70"/>
        <v/>
      </c>
      <c r="AK80" s="105" t="str">
        <f t="shared" ca="1" si="70"/>
        <v/>
      </c>
      <c r="AL80" s="105" t="str">
        <f t="shared" ca="1" si="70"/>
        <v/>
      </c>
      <c r="AM80" s="105" t="str">
        <f t="shared" ca="1" si="70"/>
        <v/>
      </c>
      <c r="AN80" s="105" t="str">
        <f t="shared" ca="1" si="70"/>
        <v/>
      </c>
      <c r="AO80" s="105" t="str">
        <f t="shared" ca="1" si="70"/>
        <v/>
      </c>
      <c r="AP80" s="105" t="str">
        <f t="shared" ca="1" si="70"/>
        <v/>
      </c>
      <c r="AQ80" s="105" t="str">
        <f t="shared" ca="1" si="70"/>
        <v/>
      </c>
      <c r="AR80" s="105" t="str">
        <f t="shared" ca="1" si="70"/>
        <v/>
      </c>
      <c r="AS80" s="105" t="str">
        <f t="shared" ca="1" si="70"/>
        <v/>
      </c>
      <c r="AT80" s="105" t="str">
        <f t="shared" ca="1" si="70"/>
        <v/>
      </c>
      <c r="AU80" s="105" t="str">
        <f t="shared" ca="1" si="70"/>
        <v/>
      </c>
      <c r="AV80" s="105" t="str">
        <f t="shared" ca="1" si="74"/>
        <v/>
      </c>
      <c r="AW80" s="105" t="str">
        <f t="shared" ca="1" si="74"/>
        <v/>
      </c>
      <c r="AX80" s="105" t="str">
        <f t="shared" ca="1" si="74"/>
        <v/>
      </c>
      <c r="AY80" s="105" t="str">
        <f t="shared" ca="1" si="74"/>
        <v/>
      </c>
      <c r="AZ80" s="105" t="str">
        <f t="shared" ca="1" si="74"/>
        <v/>
      </c>
      <c r="BA80" s="105" t="str">
        <f t="shared" ca="1" si="74"/>
        <v/>
      </c>
      <c r="BB80" s="105" t="str">
        <f t="shared" ca="1" si="74"/>
        <v/>
      </c>
      <c r="BC80" s="105" t="str">
        <f t="shared" ca="1" si="74"/>
        <v/>
      </c>
      <c r="BD80" s="105" t="str">
        <f t="shared" ca="1" si="74"/>
        <v/>
      </c>
      <c r="BE80" s="105" t="str">
        <f t="shared" ca="1" si="74"/>
        <v/>
      </c>
      <c r="BF80" s="105" t="str">
        <f t="shared" ca="1" si="75"/>
        <v/>
      </c>
      <c r="BG80" s="105" t="str">
        <f t="shared" ca="1" si="75"/>
        <v/>
      </c>
      <c r="BH80" s="105" t="str">
        <f t="shared" ca="1" si="75"/>
        <v/>
      </c>
      <c r="BI80" s="105" t="str">
        <f t="shared" ca="1" si="75"/>
        <v/>
      </c>
      <c r="BJ80" s="105" t="str">
        <f t="shared" ca="1" si="75"/>
        <v/>
      </c>
      <c r="BK80" s="105" t="str">
        <f t="shared" ca="1" si="75"/>
        <v/>
      </c>
      <c r="BL80" s="105" t="str">
        <f t="shared" ca="1" si="75"/>
        <v/>
      </c>
      <c r="BM80" s="105" t="str">
        <f t="shared" ca="1" si="75"/>
        <v/>
      </c>
      <c r="BN80" s="105" t="str">
        <f t="shared" ca="1" si="75"/>
        <v/>
      </c>
      <c r="BO80" s="105" t="str">
        <f t="shared" ca="1" si="75"/>
        <v/>
      </c>
      <c r="BP80" s="105" t="str">
        <f t="shared" ca="1" si="76"/>
        <v/>
      </c>
      <c r="BQ80" s="105" t="str">
        <f t="shared" ca="1" si="76"/>
        <v/>
      </c>
      <c r="BR80" s="105" t="str">
        <f t="shared" ca="1" si="76"/>
        <v/>
      </c>
      <c r="BS80" s="105" t="str">
        <f t="shared" ca="1" si="76"/>
        <v/>
      </c>
      <c r="BT80" s="105" t="str">
        <f t="shared" ca="1" si="76"/>
        <v/>
      </c>
      <c r="BU80" s="105" t="str">
        <f t="shared" ca="1" si="76"/>
        <v/>
      </c>
      <c r="BV80" s="105" t="str">
        <f t="shared" ca="1" si="76"/>
        <v/>
      </c>
      <c r="BW80" s="105" t="str">
        <f t="shared" ca="1" si="76"/>
        <v/>
      </c>
      <c r="BX80" s="105" t="str">
        <f t="shared" ca="1" si="76"/>
        <v/>
      </c>
      <c r="BY80" s="105" t="str">
        <f t="shared" ca="1" si="76"/>
        <v/>
      </c>
      <c r="BZ80" s="105" t="str">
        <f t="shared" ca="1" si="76"/>
        <v/>
      </c>
      <c r="CA80" s="105" t="str">
        <f t="shared" ca="1" si="76"/>
        <v/>
      </c>
      <c r="CB80" s="105" t="str">
        <f t="shared" ca="1" si="56"/>
        <v/>
      </c>
      <c r="CC80" s="105" t="str">
        <f t="shared" ca="1" si="56"/>
        <v/>
      </c>
      <c r="CD80" s="105" t="str">
        <f t="shared" ca="1" si="56"/>
        <v/>
      </c>
      <c r="CE80" s="105" t="str">
        <f t="shared" ca="1" si="56"/>
        <v/>
      </c>
      <c r="CF80" s="105" t="str">
        <f t="shared" ca="1" si="56"/>
        <v/>
      </c>
      <c r="CG80" s="105" t="str">
        <f t="shared" ca="1" si="56"/>
        <v/>
      </c>
      <c r="CH80" s="105" t="str">
        <f t="shared" ca="1" si="56"/>
        <v/>
      </c>
      <c r="CI80" s="105" t="str">
        <f t="shared" ca="1" si="56"/>
        <v/>
      </c>
      <c r="CJ80" s="105" t="str">
        <f t="shared" ca="1" si="56"/>
        <v/>
      </c>
      <c r="CK80" s="105" t="str">
        <f t="shared" ca="1" si="56"/>
        <v/>
      </c>
      <c r="CL80" s="105" t="str">
        <f t="shared" ca="1" si="56"/>
        <v/>
      </c>
      <c r="CM80" s="105" t="str">
        <f t="shared" ca="1" si="56"/>
        <v/>
      </c>
      <c r="CN80" s="105" t="str">
        <f t="shared" ca="1" si="56"/>
        <v/>
      </c>
      <c r="CO80" s="105" t="str">
        <f t="shared" ca="1" si="56"/>
        <v/>
      </c>
      <c r="CP80" s="105" t="str">
        <f t="shared" ca="1" si="56"/>
        <v/>
      </c>
      <c r="CQ80" s="105" t="str">
        <f t="shared" ca="1" si="56"/>
        <v/>
      </c>
      <c r="CR80" s="105" t="str">
        <f t="shared" ca="1" si="77"/>
        <v/>
      </c>
      <c r="CS80" s="105" t="str">
        <f t="shared" ca="1" si="77"/>
        <v/>
      </c>
      <c r="CT80" s="105" t="str">
        <f t="shared" ca="1" si="77"/>
        <v/>
      </c>
      <c r="CU80" s="105" t="str">
        <f t="shared" ca="1" si="77"/>
        <v/>
      </c>
      <c r="CV80" s="105" t="str">
        <f t="shared" ca="1" si="77"/>
        <v/>
      </c>
      <c r="CW80" s="105" t="str">
        <f t="shared" ca="1" si="77"/>
        <v/>
      </c>
      <c r="CX80" s="105" t="str">
        <f t="shared" ca="1" si="77"/>
        <v/>
      </c>
      <c r="CY80" s="105" t="str">
        <f t="shared" ca="1" si="77"/>
        <v/>
      </c>
      <c r="CZ80" s="105" t="str">
        <f t="shared" ca="1" si="77"/>
        <v/>
      </c>
      <c r="DA80" s="105" t="str">
        <f t="shared" ca="1" si="77"/>
        <v/>
      </c>
      <c r="DB80" s="105" t="str">
        <f t="shared" ca="1" si="77"/>
        <v/>
      </c>
      <c r="DC80" s="105" t="str">
        <f t="shared" ca="1" si="77"/>
        <v/>
      </c>
      <c r="DD80" s="105" t="str">
        <f t="shared" ca="1" si="77"/>
        <v/>
      </c>
      <c r="DE80" s="105" t="str">
        <f t="shared" ca="1" si="77"/>
        <v/>
      </c>
      <c r="DF80" s="105" t="str">
        <f t="shared" ca="1" si="77"/>
        <v/>
      </c>
      <c r="DG80" s="105" t="str">
        <f t="shared" ca="1" si="77"/>
        <v/>
      </c>
      <c r="DH80" s="105" t="str">
        <f t="shared" ca="1" si="77"/>
        <v/>
      </c>
      <c r="DI80" s="105" t="str">
        <f t="shared" ca="1" si="78"/>
        <v/>
      </c>
      <c r="DJ80" s="105" t="str">
        <f t="shared" ca="1" si="78"/>
        <v/>
      </c>
      <c r="DK80" s="105" t="str">
        <f t="shared" ca="1" si="78"/>
        <v/>
      </c>
      <c r="DL80" s="105" t="str">
        <f t="shared" ca="1" si="78"/>
        <v/>
      </c>
      <c r="DM80" s="105" t="str">
        <f t="shared" ca="1" si="78"/>
        <v/>
      </c>
      <c r="DN80" s="105" t="str">
        <f t="shared" ca="1" si="78"/>
        <v/>
      </c>
      <c r="DO80" s="105" t="str">
        <f t="shared" ca="1" si="78"/>
        <v/>
      </c>
      <c r="DP80" s="105" t="str">
        <f t="shared" ca="1" si="78"/>
        <v/>
      </c>
      <c r="DQ80" s="105" t="str">
        <f t="shared" ca="1" si="78"/>
        <v/>
      </c>
      <c r="DR80" s="105" t="str">
        <f t="shared" ca="1" si="78"/>
        <v/>
      </c>
      <c r="DS80" s="105" t="str">
        <f t="shared" ca="1" si="79"/>
        <v/>
      </c>
      <c r="DT80" s="105" t="str">
        <f t="shared" ca="1" si="79"/>
        <v/>
      </c>
      <c r="DU80" s="105" t="str">
        <f t="shared" ca="1" si="79"/>
        <v/>
      </c>
      <c r="DV80" s="105" t="str">
        <f t="shared" ca="1" si="79"/>
        <v/>
      </c>
      <c r="DW80" s="105" t="str">
        <f t="shared" ca="1" si="79"/>
        <v/>
      </c>
      <c r="DX80" s="105" t="str">
        <f t="shared" ca="1" si="79"/>
        <v/>
      </c>
      <c r="DY80" s="105" t="str">
        <f t="shared" ca="1" si="79"/>
        <v/>
      </c>
      <c r="DZ80" s="105" t="str">
        <f t="shared" ca="1" si="79"/>
        <v/>
      </c>
      <c r="EA80" s="105" t="str">
        <f t="shared" ca="1" si="79"/>
        <v/>
      </c>
      <c r="EB80" s="105" t="str">
        <f t="shared" ca="1" si="79"/>
        <v/>
      </c>
      <c r="EC80" s="105" t="str">
        <f t="shared" ca="1" si="80"/>
        <v/>
      </c>
      <c r="ED80" s="105" t="str">
        <f t="shared" ca="1" si="80"/>
        <v/>
      </c>
      <c r="EE80" s="105" t="str">
        <f t="shared" ca="1" si="80"/>
        <v/>
      </c>
      <c r="EF80" s="105" t="str">
        <f t="shared" ca="1" si="80"/>
        <v/>
      </c>
      <c r="EG80" s="105" t="str">
        <f t="shared" ca="1" si="80"/>
        <v/>
      </c>
      <c r="EH80" s="105" t="str">
        <f t="shared" ca="1" si="80"/>
        <v/>
      </c>
      <c r="EI80" s="105" t="str">
        <f t="shared" ca="1" si="80"/>
        <v/>
      </c>
      <c r="EJ80" s="105" t="str">
        <f t="shared" ca="1" si="80"/>
        <v/>
      </c>
      <c r="EK80" s="105" t="str">
        <f t="shared" ca="1" si="80"/>
        <v/>
      </c>
      <c r="EL80" s="105" t="str">
        <f t="shared" ca="1" si="80"/>
        <v/>
      </c>
      <c r="EM80" s="105" t="str">
        <f t="shared" ca="1" si="81"/>
        <v/>
      </c>
      <c r="EN80" s="105" t="str">
        <f t="shared" ca="1" si="81"/>
        <v/>
      </c>
      <c r="EO80" s="105" t="str">
        <f t="shared" ca="1" si="81"/>
        <v/>
      </c>
      <c r="EP80" s="105" t="str">
        <f t="shared" ca="1" si="81"/>
        <v/>
      </c>
      <c r="EQ80" s="105" t="str">
        <f t="shared" ca="1" si="81"/>
        <v/>
      </c>
      <c r="ER80" s="105" t="str">
        <f t="shared" ca="1" si="81"/>
        <v/>
      </c>
      <c r="ES80" s="105" t="str">
        <f t="shared" ca="1" si="81"/>
        <v/>
      </c>
      <c r="ET80" s="105" t="str">
        <f t="shared" ca="1" si="81"/>
        <v/>
      </c>
      <c r="EU80" s="105" t="str">
        <f t="shared" ca="1" si="81"/>
        <v/>
      </c>
      <c r="EV80" s="105" t="str">
        <f t="shared" ca="1" si="81"/>
        <v/>
      </c>
      <c r="EW80" s="105" t="str">
        <f t="shared" ca="1" si="81"/>
        <v/>
      </c>
      <c r="EX80" s="105" t="str">
        <f t="shared" ca="1" si="81"/>
        <v/>
      </c>
      <c r="EY80" s="105"/>
      <c r="EZ80" s="105"/>
      <c r="FA80" s="105"/>
      <c r="FB80" s="105"/>
      <c r="FC80" s="105"/>
      <c r="FD80" s="105"/>
      <c r="FE80" s="105"/>
      <c r="FF80" s="105"/>
      <c r="FG80" s="105"/>
      <c r="FH80" s="105"/>
      <c r="FI80" s="105"/>
      <c r="FJ80" s="105"/>
      <c r="FK80" s="105"/>
      <c r="FL80" s="105"/>
      <c r="FM80" s="105"/>
      <c r="FN80" s="105"/>
      <c r="FO80" s="105"/>
      <c r="FP80" s="105"/>
      <c r="FQ80" s="105"/>
      <c r="FR80" s="105"/>
      <c r="FS80" s="105"/>
      <c r="FT80" s="105"/>
      <c r="FU80" s="105"/>
      <c r="FV80" s="105"/>
      <c r="FW80" s="105"/>
      <c r="FX80" s="105"/>
      <c r="FY80" s="105"/>
      <c r="FZ80" s="105"/>
      <c r="GA80" s="105"/>
      <c r="GB80" s="105"/>
      <c r="GC80" s="105"/>
      <c r="GD80" s="105"/>
      <c r="GE80" s="105"/>
      <c r="GF80" s="105"/>
      <c r="GG80" s="105"/>
      <c r="GH80" s="105"/>
      <c r="GI80" s="105"/>
      <c r="GJ80" s="105"/>
      <c r="GK80" s="105"/>
      <c r="GL80" s="105"/>
      <c r="GM80" s="105"/>
      <c r="GN80" s="105"/>
      <c r="GO80" s="105"/>
      <c r="GP80" s="105"/>
      <c r="GQ80" s="105"/>
      <c r="GR80" s="105"/>
      <c r="GS80" s="105"/>
      <c r="GT80" s="105"/>
      <c r="GU80" s="105"/>
      <c r="GV80" s="105"/>
      <c r="GW80" s="105"/>
      <c r="GX80" s="105"/>
      <c r="GY80" s="105"/>
      <c r="GZ80" s="105"/>
      <c r="HA80" s="105"/>
      <c r="HB80" s="105"/>
      <c r="HC80" s="105"/>
      <c r="HD80" s="105"/>
      <c r="HE80" s="105"/>
      <c r="HF80" s="105"/>
      <c r="HG80" s="105"/>
      <c r="HH80" s="105"/>
      <c r="HI80" s="105"/>
      <c r="HJ80" s="105"/>
      <c r="HK80" s="105"/>
      <c r="HL80" s="105"/>
      <c r="HM80" s="105"/>
      <c r="HN80" s="105"/>
      <c r="HO80" s="105"/>
      <c r="HP80" s="105"/>
      <c r="HQ80" s="105"/>
      <c r="HR80" s="105"/>
      <c r="HS80" s="105"/>
      <c r="HT80" s="105"/>
      <c r="HU80" s="105"/>
      <c r="HV80" s="105"/>
      <c r="HW80" s="105"/>
      <c r="HX80" s="105"/>
      <c r="HY80" s="105"/>
      <c r="HZ80" s="105"/>
      <c r="IA80" s="105"/>
      <c r="IB80" s="105"/>
      <c r="IC80" s="105"/>
      <c r="ID80" s="105"/>
      <c r="IE80" s="105"/>
      <c r="IF80" s="105"/>
      <c r="IG80" s="105"/>
      <c r="IH80" s="105"/>
      <c r="II80" s="105"/>
      <c r="IJ80" s="105"/>
      <c r="IK80" s="105"/>
      <c r="IL80" s="105"/>
      <c r="IM80" s="105"/>
      <c r="IN80" s="105"/>
      <c r="IO80" s="105"/>
      <c r="IP80" s="105"/>
      <c r="IQ80" s="105"/>
      <c r="IR80" s="105"/>
    </row>
    <row r="81" spans="2:252" outlineLevel="1">
      <c r="B81" s="86" t="s">
        <v>87</v>
      </c>
      <c r="C81" s="86" t="s">
        <v>88</v>
      </c>
      <c r="D81" s="103" t="s">
        <v>51</v>
      </c>
      <c r="E81" s="82">
        <v>46223</v>
      </c>
      <c r="F81" s="83">
        <f>NETWORKDAYS(E81,G81,Праздники!$A$1:$A$14)</f>
        <v>40</v>
      </c>
      <c r="G81" s="82">
        <v>46276</v>
      </c>
      <c r="H81" s="84">
        <v>0.5</v>
      </c>
      <c r="I81" s="103" t="s">
        <v>151</v>
      </c>
      <c r="J81" s="85" t="s">
        <v>243</v>
      </c>
      <c r="K81" s="85"/>
      <c r="L81" s="85"/>
      <c r="M81" s="154" t="s">
        <v>242</v>
      </c>
      <c r="N81" s="85"/>
      <c r="O81" s="85"/>
      <c r="P81" s="104" t="str">
        <f t="shared" ca="1" si="82"/>
        <v/>
      </c>
      <c r="Q81" s="105" t="str">
        <f t="shared" ca="1" si="82"/>
        <v/>
      </c>
      <c r="R81" s="105" t="str">
        <f t="shared" ca="1" si="82"/>
        <v/>
      </c>
      <c r="S81" s="105" t="str">
        <f t="shared" ca="1" si="82"/>
        <v/>
      </c>
      <c r="T81" s="105" t="str">
        <f t="shared" ca="1" si="82"/>
        <v/>
      </c>
      <c r="U81" s="105" t="str">
        <f t="shared" ca="1" si="82"/>
        <v/>
      </c>
      <c r="V81" s="105" t="str">
        <f t="shared" ca="1" si="82"/>
        <v/>
      </c>
      <c r="W81" s="105" t="str">
        <f t="shared" ca="1" si="82"/>
        <v/>
      </c>
      <c r="X81" s="105" t="str">
        <f t="shared" ca="1" si="82"/>
        <v/>
      </c>
      <c r="Y81" s="105" t="str">
        <f t="shared" ca="1" si="82"/>
        <v/>
      </c>
      <c r="Z81" s="105" t="str">
        <f t="shared" ca="1" si="82"/>
        <v/>
      </c>
      <c r="AA81" s="105" t="str">
        <f t="shared" ca="1" si="82"/>
        <v/>
      </c>
      <c r="AB81" s="105" t="str">
        <f t="shared" ca="1" si="82"/>
        <v/>
      </c>
      <c r="AC81" s="105" t="str">
        <f t="shared" ca="1" si="82"/>
        <v/>
      </c>
      <c r="AD81" s="105" t="str">
        <f t="shared" ca="1" si="82"/>
        <v/>
      </c>
      <c r="AE81" s="105" t="str">
        <f t="shared" ca="1" si="82"/>
        <v/>
      </c>
      <c r="AF81" s="105" t="str">
        <f t="shared" ca="1" si="70"/>
        <v/>
      </c>
      <c r="AG81" s="105" t="str">
        <f t="shared" ca="1" si="70"/>
        <v/>
      </c>
      <c r="AH81" s="105" t="str">
        <f t="shared" ca="1" si="70"/>
        <v/>
      </c>
      <c r="AI81" s="105" t="str">
        <f t="shared" ca="1" si="70"/>
        <v/>
      </c>
      <c r="AJ81" s="105" t="str">
        <f t="shared" ca="1" si="70"/>
        <v/>
      </c>
      <c r="AK81" s="105" t="str">
        <f t="shared" ca="1" si="70"/>
        <v/>
      </c>
      <c r="AL81" s="105" t="str">
        <f t="shared" ca="1" si="70"/>
        <v/>
      </c>
      <c r="AM81" s="105" t="str">
        <f t="shared" ca="1" si="70"/>
        <v/>
      </c>
      <c r="AN81" s="105" t="str">
        <f t="shared" ca="1" si="70"/>
        <v/>
      </c>
      <c r="AO81" s="105" t="str">
        <f t="shared" ca="1" si="70"/>
        <v/>
      </c>
      <c r="AP81" s="105" t="str">
        <f t="shared" ca="1" si="70"/>
        <v/>
      </c>
      <c r="AQ81" s="105" t="str">
        <f t="shared" ca="1" si="70"/>
        <v/>
      </c>
      <c r="AR81" s="105" t="str">
        <f t="shared" ca="1" si="70"/>
        <v/>
      </c>
      <c r="AS81" s="105" t="str">
        <f t="shared" ca="1" si="70"/>
        <v/>
      </c>
      <c r="AT81" s="105" t="str">
        <f t="shared" ca="1" si="70"/>
        <v/>
      </c>
      <c r="AU81" s="105" t="str">
        <f t="shared" ca="1" si="70"/>
        <v/>
      </c>
      <c r="AV81" s="105" t="str">
        <f t="shared" ca="1" si="74"/>
        <v/>
      </c>
      <c r="AW81" s="105" t="str">
        <f t="shared" ca="1" si="74"/>
        <v/>
      </c>
      <c r="AX81" s="105" t="str">
        <f t="shared" ca="1" si="74"/>
        <v/>
      </c>
      <c r="AY81" s="105" t="str">
        <f t="shared" ca="1" si="74"/>
        <v/>
      </c>
      <c r="AZ81" s="105" t="str">
        <f t="shared" ca="1" si="74"/>
        <v/>
      </c>
      <c r="BA81" s="105" t="str">
        <f t="shared" ca="1" si="74"/>
        <v/>
      </c>
      <c r="BB81" s="105" t="str">
        <f t="shared" ca="1" si="74"/>
        <v/>
      </c>
      <c r="BC81" s="105" t="str">
        <f t="shared" ca="1" si="74"/>
        <v/>
      </c>
      <c r="BD81" s="105" t="str">
        <f t="shared" ca="1" si="74"/>
        <v/>
      </c>
      <c r="BE81" s="105" t="str">
        <f t="shared" ca="1" si="74"/>
        <v/>
      </c>
      <c r="BF81" s="105" t="str">
        <f t="shared" ca="1" si="75"/>
        <v/>
      </c>
      <c r="BG81" s="105" t="str">
        <f t="shared" ca="1" si="75"/>
        <v/>
      </c>
      <c r="BH81" s="105" t="str">
        <f t="shared" ca="1" si="75"/>
        <v/>
      </c>
      <c r="BI81" s="105" t="str">
        <f t="shared" ca="1" si="75"/>
        <v/>
      </c>
      <c r="BJ81" s="105" t="str">
        <f t="shared" ca="1" si="75"/>
        <v/>
      </c>
      <c r="BK81" s="105" t="str">
        <f t="shared" ca="1" si="75"/>
        <v/>
      </c>
      <c r="BL81" s="105" t="str">
        <f t="shared" ca="1" si="75"/>
        <v/>
      </c>
      <c r="BM81" s="105" t="str">
        <f t="shared" ca="1" si="75"/>
        <v/>
      </c>
      <c r="BN81" s="105" t="str">
        <f t="shared" ca="1" si="75"/>
        <v/>
      </c>
      <c r="BO81" s="105" t="str">
        <f t="shared" ca="1" si="75"/>
        <v/>
      </c>
      <c r="BP81" s="105" t="str">
        <f t="shared" ca="1" si="76"/>
        <v/>
      </c>
      <c r="BQ81" s="105" t="str">
        <f t="shared" ca="1" si="76"/>
        <v/>
      </c>
      <c r="BR81" s="105" t="str">
        <f t="shared" ca="1" si="76"/>
        <v/>
      </c>
      <c r="BS81" s="105" t="str">
        <f t="shared" ca="1" si="76"/>
        <v/>
      </c>
      <c r="BT81" s="105" t="str">
        <f t="shared" ca="1" si="76"/>
        <v/>
      </c>
      <c r="BU81" s="105" t="str">
        <f t="shared" ca="1" si="76"/>
        <v/>
      </c>
      <c r="BV81" s="105" t="str">
        <f t="shared" ca="1" si="76"/>
        <v/>
      </c>
      <c r="BW81" s="105" t="str">
        <f t="shared" ca="1" si="76"/>
        <v/>
      </c>
      <c r="BX81" s="105" t="str">
        <f t="shared" ca="1" si="76"/>
        <v/>
      </c>
      <c r="BY81" s="105" t="str">
        <f t="shared" ca="1" si="76"/>
        <v/>
      </c>
      <c r="BZ81" s="105" t="str">
        <f t="shared" ca="1" si="76"/>
        <v/>
      </c>
      <c r="CA81" s="105" t="str">
        <f t="shared" ca="1" si="76"/>
        <v/>
      </c>
      <c r="CB81" s="105" t="str">
        <f t="shared" ca="1" si="56"/>
        <v/>
      </c>
      <c r="CC81" s="105" t="str">
        <f t="shared" ca="1" si="56"/>
        <v/>
      </c>
      <c r="CD81" s="105" t="str">
        <f t="shared" ca="1" si="56"/>
        <v/>
      </c>
      <c r="CE81" s="105" t="str">
        <f t="shared" ca="1" si="56"/>
        <v/>
      </c>
      <c r="CF81" s="105" t="str">
        <f t="shared" ca="1" si="56"/>
        <v/>
      </c>
      <c r="CG81" s="105" t="str">
        <f t="shared" ca="1" si="56"/>
        <v/>
      </c>
      <c r="CH81" s="105" t="str">
        <f t="shared" ca="1" si="56"/>
        <v/>
      </c>
      <c r="CI81" s="105" t="str">
        <f t="shared" ca="1" si="56"/>
        <v/>
      </c>
      <c r="CJ81" s="105" t="str">
        <f t="shared" ca="1" si="56"/>
        <v/>
      </c>
      <c r="CK81" s="105" t="str">
        <f t="shared" ca="1" si="56"/>
        <v/>
      </c>
      <c r="CL81" s="105" t="str">
        <f t="shared" ca="1" si="56"/>
        <v/>
      </c>
      <c r="CM81" s="105" t="str">
        <f t="shared" ca="1" si="56"/>
        <v/>
      </c>
      <c r="CN81" s="105" t="str">
        <f t="shared" ca="1" si="56"/>
        <v/>
      </c>
      <c r="CO81" s="105" t="str">
        <f t="shared" ca="1" si="56"/>
        <v/>
      </c>
      <c r="CP81" s="105" t="str">
        <f t="shared" ca="1" si="56"/>
        <v/>
      </c>
      <c r="CQ81" s="105" t="str">
        <f t="shared" ca="1" si="56"/>
        <v/>
      </c>
      <c r="CR81" s="105" t="str">
        <f t="shared" ca="1" si="77"/>
        <v/>
      </c>
      <c r="CS81" s="105" t="str">
        <f t="shared" ca="1" si="77"/>
        <v/>
      </c>
      <c r="CT81" s="105" t="str">
        <f t="shared" ca="1" si="77"/>
        <v/>
      </c>
      <c r="CU81" s="105" t="str">
        <f t="shared" ca="1" si="77"/>
        <v/>
      </c>
      <c r="CV81" s="105" t="str">
        <f t="shared" ca="1" si="77"/>
        <v/>
      </c>
      <c r="CW81" s="105" t="str">
        <f t="shared" ca="1" si="77"/>
        <v/>
      </c>
      <c r="CX81" s="105" t="str">
        <f t="shared" ca="1" si="77"/>
        <v/>
      </c>
      <c r="CY81" s="105" t="str">
        <f t="shared" ca="1" si="77"/>
        <v/>
      </c>
      <c r="CZ81" s="105" t="str">
        <f t="shared" ca="1" si="77"/>
        <v/>
      </c>
      <c r="DA81" s="105" t="str">
        <f t="shared" ca="1" si="77"/>
        <v/>
      </c>
      <c r="DB81" s="105" t="str">
        <f t="shared" ca="1" si="77"/>
        <v/>
      </c>
      <c r="DC81" s="105" t="str">
        <f t="shared" ca="1" si="77"/>
        <v/>
      </c>
      <c r="DD81" s="105" t="str">
        <f t="shared" ca="1" si="77"/>
        <v/>
      </c>
      <c r="DE81" s="105" t="str">
        <f t="shared" ca="1" si="77"/>
        <v/>
      </c>
      <c r="DF81" s="105" t="str">
        <f t="shared" ca="1" si="77"/>
        <v/>
      </c>
      <c r="DG81" s="105" t="str">
        <f t="shared" ca="1" si="77"/>
        <v/>
      </c>
      <c r="DH81" s="105" t="str">
        <f t="shared" ca="1" si="77"/>
        <v/>
      </c>
      <c r="DI81" s="105" t="str">
        <f t="shared" ca="1" si="78"/>
        <v/>
      </c>
      <c r="DJ81" s="105" t="str">
        <f t="shared" ca="1" si="78"/>
        <v/>
      </c>
      <c r="DK81" s="105" t="str">
        <f t="shared" ca="1" si="78"/>
        <v/>
      </c>
      <c r="DL81" s="105" t="str">
        <f t="shared" ca="1" si="78"/>
        <v/>
      </c>
      <c r="DM81" s="105" t="str">
        <f t="shared" ca="1" si="78"/>
        <v/>
      </c>
      <c r="DN81" s="105" t="str">
        <f t="shared" ca="1" si="78"/>
        <v/>
      </c>
      <c r="DO81" s="105" t="str">
        <f t="shared" ca="1" si="78"/>
        <v/>
      </c>
      <c r="DP81" s="105" t="str">
        <f t="shared" ca="1" si="78"/>
        <v/>
      </c>
      <c r="DQ81" s="105" t="str">
        <f t="shared" ca="1" si="78"/>
        <v/>
      </c>
      <c r="DR81" s="105" t="str">
        <f t="shared" ca="1" si="78"/>
        <v/>
      </c>
      <c r="DS81" s="105" t="str">
        <f t="shared" ca="1" si="79"/>
        <v/>
      </c>
      <c r="DT81" s="105" t="str">
        <f t="shared" ca="1" si="79"/>
        <v/>
      </c>
      <c r="DU81" s="105" t="str">
        <f t="shared" ca="1" si="79"/>
        <v/>
      </c>
      <c r="DV81" s="105" t="str">
        <f t="shared" ca="1" si="79"/>
        <v/>
      </c>
      <c r="DW81" s="105" t="str">
        <f t="shared" ca="1" si="79"/>
        <v/>
      </c>
      <c r="DX81" s="105" t="str">
        <f t="shared" ca="1" si="79"/>
        <v/>
      </c>
      <c r="DY81" s="105" t="str">
        <f t="shared" ca="1" si="79"/>
        <v/>
      </c>
      <c r="DZ81" s="105" t="str">
        <f t="shared" ca="1" si="79"/>
        <v/>
      </c>
      <c r="EA81" s="105" t="str">
        <f t="shared" ca="1" si="79"/>
        <v/>
      </c>
      <c r="EB81" s="105" t="str">
        <f t="shared" ca="1" si="79"/>
        <v/>
      </c>
      <c r="EC81" s="105" t="str">
        <f t="shared" ca="1" si="80"/>
        <v/>
      </c>
      <c r="ED81" s="105" t="str">
        <f t="shared" ca="1" si="80"/>
        <v/>
      </c>
      <c r="EE81" s="105" t="str">
        <f t="shared" ca="1" si="80"/>
        <v/>
      </c>
      <c r="EF81" s="105" t="str">
        <f t="shared" ca="1" si="80"/>
        <v/>
      </c>
      <c r="EG81" s="105" t="str">
        <f t="shared" ca="1" si="80"/>
        <v/>
      </c>
      <c r="EH81" s="105" t="str">
        <f t="shared" ca="1" si="80"/>
        <v/>
      </c>
      <c r="EI81" s="105" t="str">
        <f t="shared" ca="1" si="80"/>
        <v/>
      </c>
      <c r="EJ81" s="106" t="str">
        <f t="shared" ca="1" si="80"/>
        <v/>
      </c>
      <c r="EK81" s="106" t="str">
        <f t="shared" ca="1" si="80"/>
        <v/>
      </c>
      <c r="EL81" s="106" t="str">
        <f t="shared" ca="1" si="80"/>
        <v/>
      </c>
      <c r="EM81" s="106" t="str">
        <f t="shared" ca="1" si="81"/>
        <v/>
      </c>
      <c r="EN81" s="106" t="str">
        <f t="shared" ca="1" si="81"/>
        <v/>
      </c>
      <c r="EO81" s="106" t="str">
        <f t="shared" ca="1" si="81"/>
        <v/>
      </c>
      <c r="EP81" s="106" t="str">
        <f t="shared" ca="1" si="81"/>
        <v/>
      </c>
      <c r="EQ81" s="106" t="str">
        <f t="shared" ca="1" si="81"/>
        <v/>
      </c>
      <c r="ER81" s="106" t="str">
        <f t="shared" ca="1" si="81"/>
        <v/>
      </c>
      <c r="ES81" s="106" t="str">
        <f t="shared" ca="1" si="81"/>
        <v/>
      </c>
      <c r="ET81" s="106" t="str">
        <f t="shared" ca="1" si="81"/>
        <v/>
      </c>
      <c r="EU81" s="106" t="str">
        <f t="shared" ca="1" si="81"/>
        <v/>
      </c>
      <c r="EV81" s="106" t="str">
        <f t="shared" ca="1" si="81"/>
        <v/>
      </c>
      <c r="EW81" s="106" t="str">
        <f t="shared" ca="1" si="81"/>
        <v/>
      </c>
      <c r="EX81" s="106" t="str">
        <f t="shared" ca="1" si="81"/>
        <v/>
      </c>
      <c r="EY81" s="106"/>
      <c r="EZ81" s="106"/>
      <c r="FA81" s="106"/>
      <c r="FB81" s="106"/>
      <c r="FC81" s="106"/>
      <c r="FD81" s="106"/>
      <c r="FE81" s="106"/>
      <c r="FF81" s="106"/>
      <c r="FG81" s="106"/>
      <c r="FH81" s="106"/>
      <c r="FI81" s="106"/>
      <c r="FJ81" s="106"/>
      <c r="FK81" s="106"/>
      <c r="FL81" s="106"/>
      <c r="FM81" s="106"/>
      <c r="FN81" s="106"/>
      <c r="FO81" s="106"/>
      <c r="FP81" s="106"/>
      <c r="FQ81" s="106"/>
      <c r="FR81" s="106"/>
      <c r="FS81" s="106"/>
      <c r="FT81" s="106"/>
      <c r="FU81" s="106"/>
      <c r="FV81" s="106"/>
      <c r="FW81" s="106"/>
      <c r="FX81" s="106"/>
      <c r="FY81" s="106"/>
      <c r="FZ81" s="106"/>
      <c r="GA81" s="106"/>
      <c r="GB81" s="106"/>
      <c r="GC81" s="106"/>
      <c r="GD81" s="106"/>
      <c r="GE81" s="106"/>
      <c r="GF81" s="106"/>
      <c r="GG81" s="106"/>
      <c r="GH81" s="106"/>
      <c r="GI81" s="106"/>
      <c r="GJ81" s="106"/>
      <c r="GK81" s="106"/>
      <c r="GL81" s="106"/>
      <c r="GM81" s="106"/>
      <c r="GN81" s="106"/>
      <c r="GO81" s="106"/>
      <c r="GP81" s="106"/>
      <c r="GQ81" s="106"/>
      <c r="GR81" s="106"/>
      <c r="GS81" s="106"/>
      <c r="GT81" s="106"/>
      <c r="GU81" s="106"/>
      <c r="GV81" s="106"/>
      <c r="GW81" s="106"/>
      <c r="GX81" s="106"/>
      <c r="GY81" s="106"/>
      <c r="GZ81" s="106"/>
      <c r="HA81" s="106"/>
      <c r="HB81" s="106"/>
      <c r="HC81" s="106"/>
      <c r="HD81" s="106"/>
      <c r="HE81" s="106"/>
      <c r="HF81" s="106"/>
      <c r="HG81" s="106"/>
      <c r="HH81" s="106"/>
      <c r="HI81" s="106"/>
      <c r="HJ81" s="106"/>
      <c r="HK81" s="106"/>
      <c r="HL81" s="106"/>
      <c r="HM81" s="106"/>
      <c r="HN81" s="106"/>
      <c r="HO81" s="106"/>
      <c r="HP81" s="106"/>
      <c r="HQ81" s="106"/>
      <c r="HR81" s="106"/>
      <c r="HS81" s="106"/>
      <c r="HT81" s="106"/>
      <c r="HU81" s="106"/>
      <c r="HV81" s="106"/>
      <c r="HW81" s="106"/>
      <c r="HX81" s="106"/>
      <c r="HY81" s="106"/>
      <c r="HZ81" s="106"/>
      <c r="IA81" s="106"/>
      <c r="IB81" s="106"/>
      <c r="IC81" s="106"/>
      <c r="ID81" s="106"/>
      <c r="IE81" s="106"/>
      <c r="IF81" s="106"/>
      <c r="IG81" s="106"/>
      <c r="IH81" s="106"/>
      <c r="II81" s="106"/>
      <c r="IJ81" s="106"/>
      <c r="IK81" s="106"/>
      <c r="IL81" s="106"/>
      <c r="IM81" s="106"/>
      <c r="IN81" s="106"/>
      <c r="IO81" s="106"/>
      <c r="IP81" s="106"/>
      <c r="IQ81" s="106"/>
      <c r="IR81" s="106"/>
    </row>
    <row r="82" spans="2:252" outlineLevel="1">
      <c r="B82" s="86" t="s">
        <v>89</v>
      </c>
      <c r="C82" s="86" t="s">
        <v>121</v>
      </c>
      <c r="D82" s="103" t="s">
        <v>51</v>
      </c>
      <c r="E82" s="82">
        <v>46174</v>
      </c>
      <c r="F82" s="83">
        <f>NETWORKDAYS(E82,G82,Праздники!$A$1:$A$14)</f>
        <v>10</v>
      </c>
      <c r="G82" s="82">
        <v>46188</v>
      </c>
      <c r="H82" s="84">
        <v>1</v>
      </c>
      <c r="I82" s="103" t="s">
        <v>151</v>
      </c>
      <c r="J82" s="85" t="s">
        <v>243</v>
      </c>
      <c r="K82" s="85"/>
      <c r="L82" s="85"/>
      <c r="M82" s="154" t="s">
        <v>242</v>
      </c>
      <c r="N82" s="85"/>
      <c r="O82" s="85"/>
      <c r="P82" s="104" t="str">
        <f t="shared" ca="1" si="82"/>
        <v/>
      </c>
      <c r="Q82" s="105" t="str">
        <f t="shared" ca="1" si="82"/>
        <v/>
      </c>
      <c r="R82" s="105" t="str">
        <f t="shared" ca="1" si="82"/>
        <v/>
      </c>
      <c r="S82" s="105" t="str">
        <f t="shared" ca="1" si="82"/>
        <v/>
      </c>
      <c r="T82" s="105" t="str">
        <f t="shared" ca="1" si="82"/>
        <v/>
      </c>
      <c r="U82" s="105" t="str">
        <f t="shared" ca="1" si="82"/>
        <v/>
      </c>
      <c r="V82" s="105" t="str">
        <f t="shared" ca="1" si="82"/>
        <v/>
      </c>
      <c r="W82" s="105" t="str">
        <f t="shared" ca="1" si="82"/>
        <v/>
      </c>
      <c r="X82" s="105" t="str">
        <f t="shared" ca="1" si="82"/>
        <v/>
      </c>
      <c r="Y82" s="105" t="str">
        <f t="shared" ca="1" si="82"/>
        <v/>
      </c>
      <c r="Z82" s="105" t="str">
        <f t="shared" ca="1" si="82"/>
        <v/>
      </c>
      <c r="AA82" s="105" t="str">
        <f t="shared" ca="1" si="82"/>
        <v/>
      </c>
      <c r="AB82" s="105" t="str">
        <f t="shared" ca="1" si="82"/>
        <v/>
      </c>
      <c r="AC82" s="105" t="str">
        <f t="shared" ca="1" si="82"/>
        <v/>
      </c>
      <c r="AD82" s="105" t="str">
        <f t="shared" ca="1" si="82"/>
        <v/>
      </c>
      <c r="AE82" s="105" t="str">
        <f t="shared" ca="1" si="82"/>
        <v/>
      </c>
      <c r="AF82" s="105" t="str">
        <f t="shared" ca="1" si="70"/>
        <v/>
      </c>
      <c r="AG82" s="105" t="str">
        <f t="shared" ca="1" si="70"/>
        <v/>
      </c>
      <c r="AH82" s="105" t="str">
        <f t="shared" ca="1" si="70"/>
        <v/>
      </c>
      <c r="AI82" s="105" t="str">
        <f t="shared" ca="1" si="70"/>
        <v/>
      </c>
      <c r="AJ82" s="105" t="str">
        <f t="shared" ca="1" si="70"/>
        <v/>
      </c>
      <c r="AK82" s="105" t="str">
        <f t="shared" ca="1" si="70"/>
        <v/>
      </c>
      <c r="AL82" s="105" t="str">
        <f t="shared" ca="1" si="70"/>
        <v/>
      </c>
      <c r="AM82" s="105" t="str">
        <f t="shared" ca="1" si="70"/>
        <v/>
      </c>
      <c r="AN82" s="105" t="str">
        <f t="shared" ca="1" si="70"/>
        <v/>
      </c>
      <c r="AO82" s="105" t="str">
        <f t="shared" ca="1" si="70"/>
        <v/>
      </c>
      <c r="AP82" s="105" t="str">
        <f t="shared" ca="1" si="70"/>
        <v/>
      </c>
      <c r="AQ82" s="105" t="str">
        <f t="shared" ca="1" si="70"/>
        <v/>
      </c>
      <c r="AR82" s="105" t="str">
        <f t="shared" ca="1" si="70"/>
        <v/>
      </c>
      <c r="AS82" s="105" t="str">
        <f t="shared" ca="1" si="70"/>
        <v/>
      </c>
      <c r="AT82" s="105" t="str">
        <f t="shared" ca="1" si="70"/>
        <v/>
      </c>
      <c r="AU82" s="105" t="str">
        <f t="shared" ca="1" si="70"/>
        <v/>
      </c>
      <c r="AV82" s="105" t="str">
        <f t="shared" ca="1" si="74"/>
        <v/>
      </c>
      <c r="AW82" s="105" t="str">
        <f t="shared" ca="1" si="74"/>
        <v/>
      </c>
      <c r="AX82" s="105" t="str">
        <f t="shared" ca="1" si="74"/>
        <v/>
      </c>
      <c r="AY82" s="105" t="str">
        <f t="shared" ca="1" si="74"/>
        <v/>
      </c>
      <c r="AZ82" s="105" t="str">
        <f t="shared" ca="1" si="74"/>
        <v/>
      </c>
      <c r="BA82" s="105" t="str">
        <f t="shared" ca="1" si="74"/>
        <v/>
      </c>
      <c r="BB82" s="105" t="str">
        <f t="shared" ca="1" si="74"/>
        <v/>
      </c>
      <c r="BC82" s="105" t="str">
        <f t="shared" ca="1" si="74"/>
        <v/>
      </c>
      <c r="BD82" s="105" t="str">
        <f t="shared" ca="1" si="74"/>
        <v/>
      </c>
      <c r="BE82" s="105" t="str">
        <f t="shared" ca="1" si="74"/>
        <v/>
      </c>
      <c r="BF82" s="105" t="str">
        <f t="shared" ca="1" si="75"/>
        <v/>
      </c>
      <c r="BG82" s="105" t="str">
        <f t="shared" ca="1" si="75"/>
        <v/>
      </c>
      <c r="BH82" s="105" t="str">
        <f t="shared" ca="1" si="75"/>
        <v/>
      </c>
      <c r="BI82" s="105" t="str">
        <f t="shared" ca="1" si="75"/>
        <v/>
      </c>
      <c r="BJ82" s="105" t="str">
        <f t="shared" ca="1" si="75"/>
        <v/>
      </c>
      <c r="BK82" s="105" t="str">
        <f t="shared" ca="1" si="75"/>
        <v/>
      </c>
      <c r="BL82" s="105" t="str">
        <f t="shared" ca="1" si="75"/>
        <v/>
      </c>
      <c r="BM82" s="105" t="str">
        <f t="shared" ca="1" si="75"/>
        <v/>
      </c>
      <c r="BN82" s="105" t="str">
        <f t="shared" ca="1" si="75"/>
        <v/>
      </c>
      <c r="BO82" s="105" t="str">
        <f t="shared" ca="1" si="75"/>
        <v/>
      </c>
      <c r="BP82" s="105" t="str">
        <f t="shared" ca="1" si="76"/>
        <v/>
      </c>
      <c r="BQ82" s="105" t="str">
        <f t="shared" ca="1" si="76"/>
        <v/>
      </c>
      <c r="BR82" s="105" t="str">
        <f t="shared" ca="1" si="76"/>
        <v/>
      </c>
      <c r="BS82" s="105" t="str">
        <f t="shared" ca="1" si="76"/>
        <v/>
      </c>
      <c r="BT82" s="105" t="str">
        <f t="shared" ca="1" si="76"/>
        <v/>
      </c>
      <c r="BU82" s="105" t="str">
        <f t="shared" ca="1" si="76"/>
        <v/>
      </c>
      <c r="BV82" s="105" t="str">
        <f t="shared" ca="1" si="76"/>
        <v/>
      </c>
      <c r="BW82" s="105" t="str">
        <f t="shared" ca="1" si="76"/>
        <v/>
      </c>
      <c r="BX82" s="105" t="str">
        <f t="shared" ca="1" si="76"/>
        <v/>
      </c>
      <c r="BY82" s="105" t="str">
        <f t="shared" ca="1" si="76"/>
        <v/>
      </c>
      <c r="BZ82" s="105" t="str">
        <f t="shared" ca="1" si="76"/>
        <v/>
      </c>
      <c r="CA82" s="105" t="str">
        <f t="shared" ca="1" si="76"/>
        <v/>
      </c>
      <c r="CB82" s="105" t="str">
        <f t="shared" ca="1" si="56"/>
        <v/>
      </c>
      <c r="CC82" s="105" t="str">
        <f t="shared" ca="1" si="56"/>
        <v/>
      </c>
      <c r="CD82" s="105" t="str">
        <f t="shared" ca="1" si="56"/>
        <v/>
      </c>
      <c r="CE82" s="105" t="str">
        <f t="shared" ca="1" si="56"/>
        <v/>
      </c>
      <c r="CF82" s="105" t="str">
        <f t="shared" ca="1" si="56"/>
        <v/>
      </c>
      <c r="CG82" s="105" t="str">
        <f t="shared" ca="1" si="56"/>
        <v/>
      </c>
      <c r="CH82" s="105" t="str">
        <f t="shared" ca="1" si="56"/>
        <v/>
      </c>
      <c r="CI82" s="105" t="str">
        <f t="shared" ca="1" si="56"/>
        <v/>
      </c>
      <c r="CJ82" s="105" t="str">
        <f t="shared" ca="1" si="56"/>
        <v/>
      </c>
      <c r="CK82" s="105" t="str">
        <f t="shared" ca="1" si="56"/>
        <v/>
      </c>
      <c r="CL82" s="105" t="str">
        <f t="shared" ca="1" si="56"/>
        <v/>
      </c>
      <c r="CM82" s="105" t="str">
        <f t="shared" ca="1" si="56"/>
        <v/>
      </c>
      <c r="CN82" s="105" t="str">
        <f t="shared" ca="1" si="56"/>
        <v/>
      </c>
      <c r="CO82" s="105" t="str">
        <f t="shared" ca="1" si="56"/>
        <v/>
      </c>
      <c r="CP82" s="105" t="str">
        <f t="shared" ca="1" si="56"/>
        <v/>
      </c>
      <c r="CQ82" s="105" t="str">
        <f t="shared" ca="1" si="56"/>
        <v/>
      </c>
      <c r="CR82" s="105" t="str">
        <f t="shared" ca="1" si="77"/>
        <v/>
      </c>
      <c r="CS82" s="105" t="str">
        <f t="shared" ca="1" si="77"/>
        <v/>
      </c>
      <c r="CT82" s="105" t="str">
        <f t="shared" ca="1" si="77"/>
        <v/>
      </c>
      <c r="CU82" s="105" t="str">
        <f t="shared" ca="1" si="77"/>
        <v/>
      </c>
      <c r="CV82" s="105" t="str">
        <f t="shared" ca="1" si="77"/>
        <v/>
      </c>
      <c r="CW82" s="105" t="str">
        <f t="shared" ca="1" si="77"/>
        <v/>
      </c>
      <c r="CX82" s="105" t="str">
        <f t="shared" ca="1" si="77"/>
        <v/>
      </c>
      <c r="CY82" s="105" t="str">
        <f t="shared" ca="1" si="77"/>
        <v/>
      </c>
      <c r="CZ82" s="105" t="str">
        <f t="shared" ca="1" si="77"/>
        <v/>
      </c>
      <c r="DA82" s="105" t="str">
        <f t="shared" ca="1" si="77"/>
        <v/>
      </c>
      <c r="DB82" s="105" t="str">
        <f t="shared" ca="1" si="77"/>
        <v/>
      </c>
      <c r="DC82" s="105" t="str">
        <f t="shared" ca="1" si="77"/>
        <v/>
      </c>
      <c r="DD82" s="105" t="str">
        <f t="shared" ca="1" si="77"/>
        <v/>
      </c>
      <c r="DE82" s="105" t="str">
        <f t="shared" ca="1" si="77"/>
        <v/>
      </c>
      <c r="DF82" s="105" t="str">
        <f t="shared" ca="1" si="77"/>
        <v/>
      </c>
      <c r="DG82" s="105" t="str">
        <f t="shared" ca="1" si="77"/>
        <v/>
      </c>
      <c r="DH82" s="105" t="str">
        <f t="shared" ca="1" si="77"/>
        <v/>
      </c>
      <c r="DI82" s="105" t="str">
        <f t="shared" ca="1" si="78"/>
        <v/>
      </c>
      <c r="DJ82" s="105" t="str">
        <f t="shared" ca="1" si="78"/>
        <v/>
      </c>
      <c r="DK82" s="105" t="str">
        <f t="shared" ca="1" si="78"/>
        <v/>
      </c>
      <c r="DL82" s="105" t="str">
        <f t="shared" ca="1" si="78"/>
        <v/>
      </c>
      <c r="DM82" s="105" t="str">
        <f t="shared" ca="1" si="78"/>
        <v/>
      </c>
      <c r="DN82" s="105" t="str">
        <f t="shared" ca="1" si="78"/>
        <v/>
      </c>
      <c r="DO82" s="105" t="str">
        <f t="shared" ca="1" si="78"/>
        <v/>
      </c>
      <c r="DP82" s="105" t="str">
        <f t="shared" ca="1" si="78"/>
        <v/>
      </c>
      <c r="DQ82" s="105" t="str">
        <f t="shared" ca="1" si="78"/>
        <v/>
      </c>
      <c r="DR82" s="105" t="str">
        <f t="shared" ca="1" si="78"/>
        <v/>
      </c>
      <c r="DS82" s="105" t="str">
        <f t="shared" ca="1" si="79"/>
        <v/>
      </c>
      <c r="DT82" s="105" t="str">
        <f t="shared" ca="1" si="79"/>
        <v/>
      </c>
      <c r="DU82" s="105" t="str">
        <f t="shared" ca="1" si="79"/>
        <v/>
      </c>
      <c r="DV82" s="105" t="str">
        <f t="shared" ca="1" si="79"/>
        <v/>
      </c>
      <c r="DW82" s="105" t="str">
        <f t="shared" ca="1" si="79"/>
        <v/>
      </c>
      <c r="DX82" s="105" t="str">
        <f t="shared" ca="1" si="79"/>
        <v/>
      </c>
      <c r="DY82" s="105" t="str">
        <f t="shared" ca="1" si="79"/>
        <v/>
      </c>
      <c r="DZ82" s="105" t="str">
        <f t="shared" ca="1" si="79"/>
        <v/>
      </c>
      <c r="EA82" s="105" t="str">
        <f t="shared" ca="1" si="79"/>
        <v/>
      </c>
      <c r="EB82" s="105" t="str">
        <f t="shared" ca="1" si="79"/>
        <v/>
      </c>
      <c r="EC82" s="105" t="str">
        <f t="shared" ca="1" si="80"/>
        <v/>
      </c>
      <c r="ED82" s="105" t="str">
        <f t="shared" ca="1" si="80"/>
        <v/>
      </c>
      <c r="EE82" s="105" t="str">
        <f t="shared" ca="1" si="80"/>
        <v/>
      </c>
      <c r="EF82" s="105" t="str">
        <f t="shared" ca="1" si="80"/>
        <v/>
      </c>
      <c r="EG82" s="105" t="str">
        <f t="shared" ca="1" si="80"/>
        <v/>
      </c>
      <c r="EH82" s="105" t="str">
        <f t="shared" ca="1" si="80"/>
        <v/>
      </c>
      <c r="EI82" s="105" t="str">
        <f t="shared" ca="1" si="80"/>
        <v/>
      </c>
      <c r="EJ82" s="106" t="str">
        <f t="shared" ca="1" si="80"/>
        <v/>
      </c>
      <c r="EK82" s="106" t="str">
        <f t="shared" ca="1" si="80"/>
        <v/>
      </c>
      <c r="EL82" s="106" t="str">
        <f t="shared" ca="1" si="80"/>
        <v/>
      </c>
      <c r="EM82" s="106" t="str">
        <f t="shared" ca="1" si="81"/>
        <v/>
      </c>
      <c r="EN82" s="106" t="str">
        <f t="shared" ca="1" si="81"/>
        <v/>
      </c>
      <c r="EO82" s="106" t="str">
        <f t="shared" ca="1" si="81"/>
        <v/>
      </c>
      <c r="EP82" s="106" t="str">
        <f t="shared" ca="1" si="81"/>
        <v/>
      </c>
      <c r="EQ82" s="106" t="str">
        <f t="shared" ca="1" si="81"/>
        <v/>
      </c>
      <c r="ER82" s="106" t="str">
        <f t="shared" ca="1" si="81"/>
        <v/>
      </c>
      <c r="ES82" s="106" t="str">
        <f t="shared" ca="1" si="81"/>
        <v/>
      </c>
      <c r="ET82" s="106" t="str">
        <f t="shared" ca="1" si="81"/>
        <v/>
      </c>
      <c r="EU82" s="106" t="str">
        <f t="shared" ca="1" si="81"/>
        <v/>
      </c>
      <c r="EV82" s="106" t="str">
        <f t="shared" ca="1" si="81"/>
        <v/>
      </c>
      <c r="EW82" s="106" t="str">
        <f t="shared" ca="1" si="81"/>
        <v/>
      </c>
      <c r="EX82" s="106" t="str">
        <f t="shared" ca="1" si="81"/>
        <v/>
      </c>
      <c r="EY82" s="106"/>
      <c r="EZ82" s="106"/>
      <c r="FA82" s="106"/>
      <c r="FB82" s="106"/>
      <c r="FC82" s="106"/>
      <c r="FD82" s="106"/>
      <c r="FE82" s="106"/>
      <c r="FF82" s="106"/>
      <c r="FG82" s="106"/>
      <c r="FH82" s="106"/>
      <c r="FI82" s="106"/>
      <c r="FJ82" s="106"/>
      <c r="FK82" s="106"/>
      <c r="FL82" s="106"/>
      <c r="FM82" s="106"/>
      <c r="FN82" s="106"/>
      <c r="FO82" s="106"/>
      <c r="FP82" s="106"/>
      <c r="FQ82" s="106"/>
      <c r="FR82" s="106"/>
      <c r="FS82" s="106"/>
      <c r="FT82" s="106"/>
      <c r="FU82" s="106"/>
      <c r="FV82" s="106"/>
      <c r="FW82" s="106"/>
      <c r="FX82" s="106"/>
      <c r="FY82" s="106"/>
      <c r="FZ82" s="106"/>
      <c r="GA82" s="106"/>
      <c r="GB82" s="106"/>
      <c r="GC82" s="106"/>
      <c r="GD82" s="106"/>
      <c r="GE82" s="106"/>
      <c r="GF82" s="106"/>
      <c r="GG82" s="106"/>
      <c r="GH82" s="106"/>
      <c r="GI82" s="106"/>
      <c r="GJ82" s="106"/>
      <c r="GK82" s="106"/>
      <c r="GL82" s="106"/>
      <c r="GM82" s="106"/>
      <c r="GN82" s="106"/>
      <c r="GO82" s="106"/>
      <c r="GP82" s="106"/>
      <c r="GQ82" s="106"/>
      <c r="GR82" s="106"/>
      <c r="GS82" s="106"/>
      <c r="GT82" s="106"/>
      <c r="GU82" s="106"/>
      <c r="GV82" s="106"/>
      <c r="GW82" s="106"/>
      <c r="GX82" s="106"/>
      <c r="GY82" s="106"/>
      <c r="GZ82" s="106"/>
      <c r="HA82" s="106"/>
      <c r="HB82" s="106"/>
      <c r="HC82" s="106"/>
      <c r="HD82" s="106"/>
      <c r="HE82" s="106"/>
      <c r="HF82" s="106"/>
      <c r="HG82" s="106"/>
      <c r="HH82" s="106"/>
      <c r="HI82" s="106"/>
      <c r="HJ82" s="106"/>
      <c r="HK82" s="106"/>
      <c r="HL82" s="106"/>
      <c r="HM82" s="106"/>
      <c r="HN82" s="106"/>
      <c r="HO82" s="106"/>
      <c r="HP82" s="106"/>
      <c r="HQ82" s="106"/>
      <c r="HR82" s="106"/>
      <c r="HS82" s="106"/>
      <c r="HT82" s="106"/>
      <c r="HU82" s="106"/>
      <c r="HV82" s="106"/>
      <c r="HW82" s="106"/>
      <c r="HX82" s="106"/>
      <c r="HY82" s="106"/>
      <c r="HZ82" s="106"/>
      <c r="IA82" s="106"/>
      <c r="IB82" s="106"/>
      <c r="IC82" s="106"/>
      <c r="ID82" s="106"/>
      <c r="IE82" s="106"/>
      <c r="IF82" s="106"/>
      <c r="IG82" s="106"/>
      <c r="IH82" s="106"/>
      <c r="II82" s="106"/>
      <c r="IJ82" s="106"/>
      <c r="IK82" s="106"/>
      <c r="IL82" s="106"/>
      <c r="IM82" s="106"/>
      <c r="IN82" s="106"/>
      <c r="IO82" s="106"/>
      <c r="IP82" s="106"/>
      <c r="IQ82" s="106"/>
      <c r="IR82" s="106"/>
    </row>
    <row r="83" spans="2:252" outlineLevel="1">
      <c r="B83" s="86" t="s">
        <v>89</v>
      </c>
      <c r="C83" s="86" t="s">
        <v>122</v>
      </c>
      <c r="D83" s="103" t="s">
        <v>135</v>
      </c>
      <c r="E83" s="82">
        <v>46174</v>
      </c>
      <c r="F83" s="83">
        <f>NETWORKDAYS(E83,G83,Праздники!$A$1:$A$14)</f>
        <v>74</v>
      </c>
      <c r="G83" s="82">
        <v>46276</v>
      </c>
      <c r="H83" s="84">
        <v>0.9</v>
      </c>
      <c r="I83" s="103" t="s">
        <v>318</v>
      </c>
      <c r="J83" s="85" t="s">
        <v>149</v>
      </c>
      <c r="K83" s="85"/>
      <c r="L83" s="85"/>
      <c r="M83" s="154" t="s">
        <v>242</v>
      </c>
      <c r="N83" s="85"/>
      <c r="O83" s="85"/>
      <c r="P83" s="104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  <c r="BO83" s="105"/>
      <c r="BP83" s="105"/>
      <c r="BQ83" s="105"/>
      <c r="BR83" s="105"/>
      <c r="BS83" s="105"/>
      <c r="BT83" s="105"/>
      <c r="BU83" s="105"/>
      <c r="BV83" s="105"/>
      <c r="BW83" s="105"/>
      <c r="BX83" s="105"/>
      <c r="BY83" s="105"/>
      <c r="BZ83" s="105"/>
      <c r="CA83" s="105"/>
      <c r="CB83" s="105"/>
      <c r="CC83" s="105"/>
      <c r="CD83" s="105"/>
      <c r="CE83" s="105"/>
      <c r="CF83" s="105"/>
      <c r="CG83" s="105"/>
      <c r="CH83" s="105"/>
      <c r="CI83" s="105"/>
      <c r="CJ83" s="105"/>
      <c r="CK83" s="105"/>
      <c r="CL83" s="105"/>
      <c r="CM83" s="105"/>
      <c r="CN83" s="105"/>
      <c r="CO83" s="105"/>
      <c r="CP83" s="105"/>
      <c r="CQ83" s="105"/>
      <c r="CR83" s="105"/>
      <c r="CS83" s="105"/>
      <c r="CT83" s="105"/>
      <c r="CU83" s="105"/>
      <c r="CV83" s="105"/>
      <c r="CW83" s="105"/>
      <c r="CX83" s="105"/>
      <c r="CY83" s="105"/>
      <c r="CZ83" s="105"/>
      <c r="DA83" s="105"/>
      <c r="DB83" s="105"/>
      <c r="DC83" s="105"/>
      <c r="DD83" s="105"/>
      <c r="DE83" s="105"/>
      <c r="DF83" s="105"/>
      <c r="DG83" s="105"/>
      <c r="DH83" s="105"/>
      <c r="DI83" s="105"/>
      <c r="DJ83" s="105"/>
      <c r="DK83" s="105"/>
      <c r="DL83" s="105"/>
      <c r="DM83" s="105"/>
      <c r="DN83" s="105"/>
      <c r="DO83" s="105"/>
      <c r="DP83" s="105"/>
      <c r="DQ83" s="105"/>
      <c r="DR83" s="105"/>
      <c r="DS83" s="105"/>
      <c r="DT83" s="105"/>
      <c r="DU83" s="105"/>
      <c r="DV83" s="105"/>
      <c r="DW83" s="105"/>
      <c r="DX83" s="105"/>
      <c r="DY83" s="105"/>
      <c r="DZ83" s="105"/>
      <c r="EA83" s="105"/>
      <c r="EB83" s="105"/>
      <c r="EC83" s="105"/>
      <c r="ED83" s="105"/>
      <c r="EE83" s="105"/>
      <c r="EF83" s="105"/>
      <c r="EG83" s="105"/>
      <c r="EH83" s="105"/>
      <c r="EI83" s="105"/>
      <c r="EJ83" s="106"/>
      <c r="EK83" s="106"/>
      <c r="EL83" s="106"/>
      <c r="EM83" s="106"/>
      <c r="EN83" s="106"/>
      <c r="EO83" s="106"/>
      <c r="EP83" s="106"/>
      <c r="EQ83" s="106"/>
      <c r="ER83" s="106"/>
      <c r="ES83" s="106"/>
      <c r="ET83" s="106"/>
      <c r="EU83" s="106"/>
      <c r="EV83" s="106"/>
      <c r="EW83" s="106"/>
      <c r="EX83" s="106"/>
      <c r="EY83" s="106"/>
      <c r="EZ83" s="106"/>
      <c r="FA83" s="106"/>
      <c r="FB83" s="106"/>
      <c r="FC83" s="106"/>
      <c r="FD83" s="106"/>
      <c r="FE83" s="106"/>
      <c r="FF83" s="106"/>
      <c r="FG83" s="106"/>
      <c r="FH83" s="106"/>
      <c r="FI83" s="106"/>
      <c r="FJ83" s="106"/>
      <c r="FK83" s="106"/>
      <c r="FL83" s="106"/>
      <c r="FM83" s="106"/>
      <c r="FN83" s="106"/>
      <c r="FO83" s="106"/>
      <c r="FP83" s="106"/>
      <c r="FQ83" s="106"/>
      <c r="FR83" s="106"/>
      <c r="FS83" s="106"/>
      <c r="FT83" s="106"/>
      <c r="FU83" s="106"/>
      <c r="FV83" s="106"/>
      <c r="FW83" s="106"/>
      <c r="FX83" s="106"/>
      <c r="FY83" s="106"/>
      <c r="FZ83" s="106"/>
      <c r="GA83" s="106"/>
      <c r="GB83" s="106"/>
      <c r="GC83" s="106"/>
      <c r="GD83" s="106"/>
      <c r="GE83" s="106"/>
      <c r="GF83" s="106"/>
      <c r="GG83" s="106"/>
      <c r="GH83" s="106"/>
      <c r="GI83" s="106"/>
      <c r="GJ83" s="106"/>
      <c r="GK83" s="106"/>
      <c r="GL83" s="106"/>
      <c r="GM83" s="106"/>
      <c r="GN83" s="106"/>
      <c r="GO83" s="106"/>
      <c r="GP83" s="106"/>
      <c r="GQ83" s="106"/>
      <c r="GR83" s="106"/>
      <c r="GS83" s="106"/>
      <c r="GT83" s="106"/>
      <c r="GU83" s="106"/>
      <c r="GV83" s="106"/>
      <c r="GW83" s="106"/>
      <c r="GX83" s="106"/>
      <c r="GY83" s="106"/>
      <c r="GZ83" s="106"/>
      <c r="HA83" s="106"/>
      <c r="HB83" s="106"/>
      <c r="HC83" s="106"/>
      <c r="HD83" s="106"/>
      <c r="HE83" s="106"/>
      <c r="HF83" s="106"/>
      <c r="HG83" s="106"/>
      <c r="HH83" s="106"/>
      <c r="HI83" s="106"/>
      <c r="HJ83" s="106"/>
      <c r="HK83" s="106"/>
      <c r="HL83" s="106"/>
      <c r="HM83" s="106"/>
      <c r="HN83" s="106"/>
      <c r="HO83" s="106"/>
      <c r="HP83" s="106"/>
      <c r="HQ83" s="106"/>
      <c r="HR83" s="106"/>
      <c r="HS83" s="106"/>
      <c r="HT83" s="106"/>
      <c r="HU83" s="106"/>
      <c r="HV83" s="106"/>
      <c r="HW83" s="106"/>
      <c r="HX83" s="106"/>
      <c r="HY83" s="106"/>
      <c r="HZ83" s="106"/>
      <c r="IA83" s="106"/>
      <c r="IB83" s="106"/>
      <c r="IC83" s="106"/>
      <c r="ID83" s="106"/>
      <c r="IE83" s="106"/>
      <c r="IF83" s="106"/>
      <c r="IG83" s="106"/>
      <c r="IH83" s="106"/>
      <c r="II83" s="106"/>
      <c r="IJ83" s="106"/>
      <c r="IK83" s="106"/>
      <c r="IL83" s="106"/>
      <c r="IM83" s="106"/>
      <c r="IN83" s="106"/>
      <c r="IO83" s="106"/>
      <c r="IP83" s="106"/>
      <c r="IQ83" s="106"/>
      <c r="IR83" s="106"/>
    </row>
    <row r="84" spans="2:252" outlineLevel="1">
      <c r="B84" s="86" t="s">
        <v>123</v>
      </c>
      <c r="C84" s="111" t="s">
        <v>130</v>
      </c>
      <c r="D84" s="103" t="s">
        <v>128</v>
      </c>
      <c r="E84" s="82">
        <v>46188</v>
      </c>
      <c r="F84" s="83">
        <f>NETWORKDAYS(E84,G84,Праздники!$A$1:$A$14)</f>
        <v>10</v>
      </c>
      <c r="G84" s="82">
        <v>46199</v>
      </c>
      <c r="H84" s="84">
        <v>1</v>
      </c>
      <c r="I84" s="103" t="s">
        <v>159</v>
      </c>
      <c r="J84" s="85"/>
      <c r="K84" s="85"/>
      <c r="L84" s="85"/>
      <c r="M84" s="154" t="s">
        <v>242</v>
      </c>
      <c r="N84" s="85"/>
      <c r="O84" s="85"/>
      <c r="P84" s="104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  <c r="BO84" s="105"/>
      <c r="BP84" s="105"/>
      <c r="BQ84" s="105"/>
      <c r="BR84" s="105"/>
      <c r="BS84" s="105"/>
      <c r="BT84" s="105"/>
      <c r="BU84" s="105"/>
      <c r="BV84" s="105"/>
      <c r="BW84" s="105"/>
      <c r="BX84" s="105"/>
      <c r="BY84" s="105"/>
      <c r="BZ84" s="105"/>
      <c r="CA84" s="105"/>
      <c r="CB84" s="105"/>
      <c r="CC84" s="105"/>
      <c r="CD84" s="105"/>
      <c r="CE84" s="105"/>
      <c r="CF84" s="105"/>
      <c r="CG84" s="105"/>
      <c r="CH84" s="105"/>
      <c r="CI84" s="105"/>
      <c r="CJ84" s="105"/>
      <c r="CK84" s="105"/>
      <c r="CL84" s="105"/>
      <c r="CM84" s="105"/>
      <c r="CN84" s="105"/>
      <c r="CO84" s="105"/>
      <c r="CP84" s="105"/>
      <c r="CQ84" s="105"/>
      <c r="CR84" s="105"/>
      <c r="CS84" s="105"/>
      <c r="CT84" s="105"/>
      <c r="CU84" s="105"/>
      <c r="CV84" s="105"/>
      <c r="CW84" s="105"/>
      <c r="CX84" s="105"/>
      <c r="CY84" s="105"/>
      <c r="CZ84" s="105"/>
      <c r="DA84" s="105"/>
      <c r="DB84" s="105"/>
      <c r="DC84" s="105"/>
      <c r="DD84" s="105"/>
      <c r="DE84" s="105"/>
      <c r="DF84" s="105"/>
      <c r="DG84" s="105"/>
      <c r="DH84" s="105"/>
      <c r="DI84" s="105"/>
      <c r="DJ84" s="105"/>
      <c r="DK84" s="105"/>
      <c r="DL84" s="105"/>
      <c r="DM84" s="105"/>
      <c r="DN84" s="105"/>
      <c r="DO84" s="105"/>
      <c r="DP84" s="105"/>
      <c r="DQ84" s="105"/>
      <c r="DR84" s="105"/>
      <c r="DS84" s="105"/>
      <c r="DT84" s="105"/>
      <c r="DU84" s="105"/>
      <c r="DV84" s="105"/>
      <c r="DW84" s="105"/>
      <c r="DX84" s="105"/>
      <c r="DY84" s="105"/>
      <c r="DZ84" s="105"/>
      <c r="EA84" s="105"/>
      <c r="EB84" s="105"/>
      <c r="EC84" s="105"/>
      <c r="ED84" s="105"/>
      <c r="EE84" s="105"/>
      <c r="EF84" s="105"/>
      <c r="EG84" s="105"/>
      <c r="EH84" s="105"/>
      <c r="EI84" s="105"/>
      <c r="EJ84" s="106"/>
      <c r="EK84" s="106"/>
      <c r="EL84" s="106"/>
      <c r="EM84" s="106"/>
      <c r="EN84" s="106"/>
      <c r="EO84" s="106"/>
      <c r="EP84" s="106"/>
      <c r="EQ84" s="106"/>
      <c r="ER84" s="106"/>
      <c r="ES84" s="106"/>
      <c r="ET84" s="106"/>
      <c r="EU84" s="106"/>
      <c r="EV84" s="106"/>
      <c r="EW84" s="106"/>
      <c r="EX84" s="106"/>
      <c r="EY84" s="106"/>
      <c r="EZ84" s="106"/>
      <c r="FA84" s="106"/>
      <c r="FB84" s="106"/>
      <c r="FC84" s="106"/>
      <c r="FD84" s="106"/>
      <c r="FE84" s="106"/>
      <c r="FF84" s="106"/>
      <c r="FG84" s="106"/>
      <c r="FH84" s="106"/>
      <c r="FI84" s="106"/>
      <c r="FJ84" s="106"/>
      <c r="FK84" s="106"/>
      <c r="FL84" s="106"/>
      <c r="FM84" s="106"/>
      <c r="FN84" s="106"/>
      <c r="FO84" s="106"/>
      <c r="FP84" s="106"/>
      <c r="FQ84" s="106"/>
      <c r="FR84" s="106"/>
      <c r="FS84" s="106"/>
      <c r="FT84" s="106"/>
      <c r="FU84" s="106"/>
      <c r="FV84" s="106"/>
      <c r="FW84" s="106"/>
      <c r="FX84" s="106"/>
      <c r="FY84" s="106"/>
      <c r="FZ84" s="106"/>
      <c r="GA84" s="106"/>
      <c r="GB84" s="106"/>
      <c r="GC84" s="106"/>
      <c r="GD84" s="106"/>
      <c r="GE84" s="106"/>
      <c r="GF84" s="106"/>
      <c r="GG84" s="106"/>
      <c r="GH84" s="106"/>
      <c r="GI84" s="106"/>
      <c r="GJ84" s="106"/>
      <c r="GK84" s="106"/>
      <c r="GL84" s="106"/>
      <c r="GM84" s="106"/>
      <c r="GN84" s="106"/>
      <c r="GO84" s="106"/>
      <c r="GP84" s="106"/>
      <c r="GQ84" s="106"/>
      <c r="GR84" s="106"/>
      <c r="GS84" s="106"/>
      <c r="GT84" s="106"/>
      <c r="GU84" s="106"/>
      <c r="GV84" s="106"/>
      <c r="GW84" s="106"/>
      <c r="GX84" s="106"/>
      <c r="GY84" s="106"/>
      <c r="GZ84" s="106"/>
      <c r="HA84" s="106"/>
      <c r="HB84" s="106"/>
      <c r="HC84" s="106"/>
      <c r="HD84" s="106"/>
      <c r="HE84" s="106"/>
      <c r="HF84" s="106"/>
      <c r="HG84" s="106"/>
      <c r="HH84" s="106"/>
      <c r="HI84" s="106"/>
      <c r="HJ84" s="106"/>
      <c r="HK84" s="106"/>
      <c r="HL84" s="106"/>
      <c r="HM84" s="106"/>
      <c r="HN84" s="106"/>
      <c r="HO84" s="106"/>
      <c r="HP84" s="106"/>
      <c r="HQ84" s="106"/>
      <c r="HR84" s="106"/>
      <c r="HS84" s="106"/>
      <c r="HT84" s="106"/>
      <c r="HU84" s="106"/>
      <c r="HV84" s="106"/>
      <c r="HW84" s="106"/>
      <c r="HX84" s="106"/>
      <c r="HY84" s="106"/>
      <c r="HZ84" s="106"/>
      <c r="IA84" s="106"/>
      <c r="IB84" s="106"/>
      <c r="IC84" s="106"/>
      <c r="ID84" s="106"/>
      <c r="IE84" s="106"/>
      <c r="IF84" s="106"/>
      <c r="IG84" s="106"/>
      <c r="IH84" s="106"/>
      <c r="II84" s="106"/>
      <c r="IJ84" s="106"/>
      <c r="IK84" s="106"/>
      <c r="IL84" s="106"/>
      <c r="IM84" s="106"/>
      <c r="IN84" s="106"/>
      <c r="IO84" s="106"/>
      <c r="IP84" s="106"/>
      <c r="IQ84" s="106"/>
      <c r="IR84" s="106"/>
    </row>
    <row r="85" spans="2:252" outlineLevel="1">
      <c r="B85" s="86" t="s">
        <v>124</v>
      </c>
      <c r="C85" s="111" t="s">
        <v>129</v>
      </c>
      <c r="D85" s="103" t="s">
        <v>98</v>
      </c>
      <c r="E85" s="82">
        <v>46191</v>
      </c>
      <c r="F85" s="83">
        <f>NETWORKDAYS(E85,G85,Праздники!$A$1:$A$14)</f>
        <v>7</v>
      </c>
      <c r="G85" s="82">
        <v>46199</v>
      </c>
      <c r="H85" s="84">
        <v>1</v>
      </c>
      <c r="I85" s="103" t="s">
        <v>149</v>
      </c>
      <c r="J85" s="85"/>
      <c r="K85" s="85"/>
      <c r="L85" s="85"/>
      <c r="M85" s="154" t="s">
        <v>242</v>
      </c>
      <c r="N85" s="85"/>
      <c r="O85" s="85"/>
      <c r="P85" s="104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  <c r="BO85" s="105"/>
      <c r="BP85" s="105"/>
      <c r="BQ85" s="105"/>
      <c r="BR85" s="105"/>
      <c r="BS85" s="105"/>
      <c r="BT85" s="105"/>
      <c r="BU85" s="105"/>
      <c r="BV85" s="105"/>
      <c r="BW85" s="105"/>
      <c r="BX85" s="105"/>
      <c r="BY85" s="105"/>
      <c r="BZ85" s="105"/>
      <c r="CA85" s="105"/>
      <c r="CB85" s="105"/>
      <c r="CC85" s="105"/>
      <c r="CD85" s="105"/>
      <c r="CE85" s="105"/>
      <c r="CF85" s="105"/>
      <c r="CG85" s="105"/>
      <c r="CH85" s="105"/>
      <c r="CI85" s="105"/>
      <c r="CJ85" s="105"/>
      <c r="CK85" s="105"/>
      <c r="CL85" s="105"/>
      <c r="CM85" s="105"/>
      <c r="CN85" s="105"/>
      <c r="CO85" s="105"/>
      <c r="CP85" s="105"/>
      <c r="CQ85" s="105"/>
      <c r="CR85" s="105"/>
      <c r="CS85" s="105"/>
      <c r="CT85" s="105"/>
      <c r="CU85" s="105"/>
      <c r="CV85" s="105"/>
      <c r="CW85" s="105"/>
      <c r="CX85" s="105"/>
      <c r="CY85" s="105"/>
      <c r="CZ85" s="105"/>
      <c r="DA85" s="105"/>
      <c r="DB85" s="105"/>
      <c r="DC85" s="105"/>
      <c r="DD85" s="105"/>
      <c r="DE85" s="105"/>
      <c r="DF85" s="105"/>
      <c r="DG85" s="105"/>
      <c r="DH85" s="105"/>
      <c r="DI85" s="105"/>
      <c r="DJ85" s="105"/>
      <c r="DK85" s="105"/>
      <c r="DL85" s="105"/>
      <c r="DM85" s="105"/>
      <c r="DN85" s="105"/>
      <c r="DO85" s="105"/>
      <c r="DP85" s="105"/>
      <c r="DQ85" s="105"/>
      <c r="DR85" s="105"/>
      <c r="DS85" s="105"/>
      <c r="DT85" s="105"/>
      <c r="DU85" s="105"/>
      <c r="DV85" s="105"/>
      <c r="DW85" s="105"/>
      <c r="DX85" s="105"/>
      <c r="DY85" s="105"/>
      <c r="DZ85" s="105"/>
      <c r="EA85" s="105"/>
      <c r="EB85" s="105"/>
      <c r="EC85" s="105"/>
      <c r="ED85" s="105"/>
      <c r="EE85" s="105"/>
      <c r="EF85" s="105"/>
      <c r="EG85" s="105"/>
      <c r="EH85" s="105"/>
      <c r="EI85" s="105"/>
      <c r="EJ85" s="106"/>
      <c r="EK85" s="106"/>
      <c r="EL85" s="106"/>
      <c r="EM85" s="106"/>
      <c r="EN85" s="106"/>
      <c r="EO85" s="106"/>
      <c r="EP85" s="106"/>
      <c r="EQ85" s="106"/>
      <c r="ER85" s="106"/>
      <c r="ES85" s="106"/>
      <c r="ET85" s="106"/>
      <c r="EU85" s="106"/>
      <c r="EV85" s="106"/>
      <c r="EW85" s="106"/>
      <c r="EX85" s="106"/>
      <c r="EY85" s="106"/>
      <c r="EZ85" s="106"/>
      <c r="FA85" s="106"/>
      <c r="FB85" s="106"/>
      <c r="FC85" s="106"/>
      <c r="FD85" s="106"/>
      <c r="FE85" s="106"/>
      <c r="FF85" s="106"/>
      <c r="FG85" s="106"/>
      <c r="FH85" s="106"/>
      <c r="FI85" s="106"/>
      <c r="FJ85" s="106"/>
      <c r="FK85" s="106"/>
      <c r="FL85" s="106"/>
      <c r="FM85" s="106"/>
      <c r="FN85" s="106"/>
      <c r="FO85" s="106"/>
      <c r="FP85" s="106"/>
      <c r="FQ85" s="106"/>
      <c r="FR85" s="106"/>
      <c r="FS85" s="106"/>
      <c r="FT85" s="106"/>
      <c r="FU85" s="106"/>
      <c r="FV85" s="106"/>
      <c r="FW85" s="106"/>
      <c r="FX85" s="106"/>
      <c r="FY85" s="106"/>
      <c r="FZ85" s="106"/>
      <c r="GA85" s="106"/>
      <c r="GB85" s="106"/>
      <c r="GC85" s="106"/>
      <c r="GD85" s="106"/>
      <c r="GE85" s="106"/>
      <c r="GF85" s="106"/>
      <c r="GG85" s="106"/>
      <c r="GH85" s="106"/>
      <c r="GI85" s="106"/>
      <c r="GJ85" s="106"/>
      <c r="GK85" s="106"/>
      <c r="GL85" s="106"/>
      <c r="GM85" s="106"/>
      <c r="GN85" s="106"/>
      <c r="GO85" s="106"/>
      <c r="GP85" s="106"/>
      <c r="GQ85" s="106"/>
      <c r="GR85" s="106"/>
      <c r="GS85" s="106"/>
      <c r="GT85" s="106"/>
      <c r="GU85" s="106"/>
      <c r="GV85" s="106"/>
      <c r="GW85" s="106"/>
      <c r="GX85" s="106"/>
      <c r="GY85" s="106"/>
      <c r="GZ85" s="106"/>
      <c r="HA85" s="106"/>
      <c r="HB85" s="106"/>
      <c r="HC85" s="106"/>
      <c r="HD85" s="106"/>
      <c r="HE85" s="106"/>
      <c r="HF85" s="106"/>
      <c r="HG85" s="106"/>
      <c r="HH85" s="106"/>
      <c r="HI85" s="106"/>
      <c r="HJ85" s="106"/>
      <c r="HK85" s="106"/>
      <c r="HL85" s="106"/>
      <c r="HM85" s="106"/>
      <c r="HN85" s="106"/>
      <c r="HO85" s="106"/>
      <c r="HP85" s="106"/>
      <c r="HQ85" s="106"/>
      <c r="HR85" s="106"/>
      <c r="HS85" s="106"/>
      <c r="HT85" s="106"/>
      <c r="HU85" s="106"/>
      <c r="HV85" s="106"/>
      <c r="HW85" s="106"/>
      <c r="HX85" s="106"/>
      <c r="HY85" s="106"/>
      <c r="HZ85" s="106"/>
      <c r="IA85" s="106"/>
      <c r="IB85" s="106"/>
      <c r="IC85" s="106"/>
      <c r="ID85" s="106"/>
      <c r="IE85" s="106"/>
      <c r="IF85" s="106"/>
      <c r="IG85" s="106"/>
      <c r="IH85" s="106"/>
      <c r="II85" s="106"/>
      <c r="IJ85" s="106"/>
      <c r="IK85" s="106"/>
      <c r="IL85" s="106"/>
      <c r="IM85" s="106"/>
      <c r="IN85" s="106"/>
      <c r="IO85" s="106"/>
      <c r="IP85" s="106"/>
      <c r="IQ85" s="106"/>
      <c r="IR85" s="106"/>
    </row>
    <row r="86" spans="2:252" outlineLevel="1">
      <c r="B86" s="86" t="s">
        <v>125</v>
      </c>
      <c r="C86" s="111" t="s">
        <v>131</v>
      </c>
      <c r="D86" s="103" t="s">
        <v>128</v>
      </c>
      <c r="E86" s="82">
        <v>46199</v>
      </c>
      <c r="F86" s="83">
        <f>NETWORKDAYS(E86,G86,Праздники!$A$1:$A$14)</f>
        <v>6</v>
      </c>
      <c r="G86" s="82">
        <v>46206</v>
      </c>
      <c r="H86" s="84">
        <v>1</v>
      </c>
      <c r="I86" s="103" t="s">
        <v>159</v>
      </c>
      <c r="J86" s="85"/>
      <c r="K86" s="85"/>
      <c r="L86" s="85"/>
      <c r="M86" s="154" t="s">
        <v>242</v>
      </c>
      <c r="N86" s="85"/>
      <c r="O86" s="85"/>
      <c r="P86" s="104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  <c r="BL86" s="105"/>
      <c r="BM86" s="105"/>
      <c r="BN86" s="105"/>
      <c r="BO86" s="105"/>
      <c r="BP86" s="105"/>
      <c r="BQ86" s="105"/>
      <c r="BR86" s="105"/>
      <c r="BS86" s="105"/>
      <c r="BT86" s="105"/>
      <c r="BU86" s="105"/>
      <c r="BV86" s="105"/>
      <c r="BW86" s="105"/>
      <c r="BX86" s="105"/>
      <c r="BY86" s="105"/>
      <c r="BZ86" s="105"/>
      <c r="CA86" s="105"/>
      <c r="CB86" s="105"/>
      <c r="CC86" s="105"/>
      <c r="CD86" s="105"/>
      <c r="CE86" s="105"/>
      <c r="CF86" s="105"/>
      <c r="CG86" s="105"/>
      <c r="CH86" s="105"/>
      <c r="CI86" s="105"/>
      <c r="CJ86" s="105"/>
      <c r="CK86" s="105"/>
      <c r="CL86" s="105"/>
      <c r="CM86" s="105"/>
      <c r="CN86" s="105"/>
      <c r="CO86" s="105"/>
      <c r="CP86" s="105"/>
      <c r="CQ86" s="105"/>
      <c r="CR86" s="105"/>
      <c r="CS86" s="105"/>
      <c r="CT86" s="105"/>
      <c r="CU86" s="105"/>
      <c r="CV86" s="105"/>
      <c r="CW86" s="105"/>
      <c r="CX86" s="105"/>
      <c r="CY86" s="105"/>
      <c r="CZ86" s="105"/>
      <c r="DA86" s="105"/>
      <c r="DB86" s="105"/>
      <c r="DC86" s="105"/>
      <c r="DD86" s="105"/>
      <c r="DE86" s="105"/>
      <c r="DF86" s="105"/>
      <c r="DG86" s="105"/>
      <c r="DH86" s="105"/>
      <c r="DI86" s="105"/>
      <c r="DJ86" s="105"/>
      <c r="DK86" s="105"/>
      <c r="DL86" s="105"/>
      <c r="DM86" s="105"/>
      <c r="DN86" s="105"/>
      <c r="DO86" s="105"/>
      <c r="DP86" s="105"/>
      <c r="DQ86" s="105"/>
      <c r="DR86" s="105"/>
      <c r="DS86" s="105"/>
      <c r="DT86" s="105"/>
      <c r="DU86" s="105"/>
      <c r="DV86" s="105"/>
      <c r="DW86" s="105"/>
      <c r="DX86" s="105"/>
      <c r="DY86" s="105"/>
      <c r="DZ86" s="105"/>
      <c r="EA86" s="105"/>
      <c r="EB86" s="105"/>
      <c r="EC86" s="105"/>
      <c r="ED86" s="105"/>
      <c r="EE86" s="105"/>
      <c r="EF86" s="105"/>
      <c r="EG86" s="105"/>
      <c r="EH86" s="105"/>
      <c r="EI86" s="105"/>
      <c r="EJ86" s="106"/>
      <c r="EK86" s="106"/>
      <c r="EL86" s="106"/>
      <c r="EM86" s="106"/>
      <c r="EN86" s="106"/>
      <c r="EO86" s="106"/>
      <c r="EP86" s="106"/>
      <c r="EQ86" s="106"/>
      <c r="ER86" s="106"/>
      <c r="ES86" s="106"/>
      <c r="ET86" s="106"/>
      <c r="EU86" s="106"/>
      <c r="EV86" s="106"/>
      <c r="EW86" s="106"/>
      <c r="EX86" s="106"/>
      <c r="EY86" s="106"/>
      <c r="EZ86" s="106"/>
      <c r="FA86" s="106"/>
      <c r="FB86" s="106"/>
      <c r="FC86" s="106"/>
      <c r="FD86" s="106"/>
      <c r="FE86" s="106"/>
      <c r="FF86" s="106"/>
      <c r="FG86" s="106"/>
      <c r="FH86" s="106"/>
      <c r="FI86" s="106"/>
      <c r="FJ86" s="106"/>
      <c r="FK86" s="106"/>
      <c r="FL86" s="106"/>
      <c r="FM86" s="106"/>
      <c r="FN86" s="106"/>
      <c r="FO86" s="106"/>
      <c r="FP86" s="106"/>
      <c r="FQ86" s="106"/>
      <c r="FR86" s="106"/>
      <c r="FS86" s="106"/>
      <c r="FT86" s="106"/>
      <c r="FU86" s="106"/>
      <c r="FV86" s="106"/>
      <c r="FW86" s="106"/>
      <c r="FX86" s="106"/>
      <c r="FY86" s="106"/>
      <c r="FZ86" s="106"/>
      <c r="GA86" s="106"/>
      <c r="GB86" s="106"/>
      <c r="GC86" s="106"/>
      <c r="GD86" s="106"/>
      <c r="GE86" s="106"/>
      <c r="GF86" s="106"/>
      <c r="GG86" s="106"/>
      <c r="GH86" s="106"/>
      <c r="GI86" s="106"/>
      <c r="GJ86" s="106"/>
      <c r="GK86" s="106"/>
      <c r="GL86" s="106"/>
      <c r="GM86" s="106"/>
      <c r="GN86" s="106"/>
      <c r="GO86" s="106"/>
      <c r="GP86" s="106"/>
      <c r="GQ86" s="106"/>
      <c r="GR86" s="106"/>
      <c r="GS86" s="106"/>
      <c r="GT86" s="106"/>
      <c r="GU86" s="106"/>
      <c r="GV86" s="106"/>
      <c r="GW86" s="106"/>
      <c r="GX86" s="106"/>
      <c r="GY86" s="106"/>
      <c r="GZ86" s="106"/>
      <c r="HA86" s="106"/>
      <c r="HB86" s="106"/>
      <c r="HC86" s="106"/>
      <c r="HD86" s="106"/>
      <c r="HE86" s="106"/>
      <c r="HF86" s="106"/>
      <c r="HG86" s="106"/>
      <c r="HH86" s="106"/>
      <c r="HI86" s="106"/>
      <c r="HJ86" s="106"/>
      <c r="HK86" s="106"/>
      <c r="HL86" s="106"/>
      <c r="HM86" s="106"/>
      <c r="HN86" s="106"/>
      <c r="HO86" s="106"/>
      <c r="HP86" s="106"/>
      <c r="HQ86" s="106"/>
      <c r="HR86" s="106"/>
      <c r="HS86" s="106"/>
      <c r="HT86" s="106"/>
      <c r="HU86" s="106"/>
      <c r="HV86" s="106"/>
      <c r="HW86" s="106"/>
      <c r="HX86" s="106"/>
      <c r="HY86" s="106"/>
      <c r="HZ86" s="106"/>
      <c r="IA86" s="106"/>
      <c r="IB86" s="106"/>
      <c r="IC86" s="106"/>
      <c r="ID86" s="106"/>
      <c r="IE86" s="106"/>
      <c r="IF86" s="106"/>
      <c r="IG86" s="106"/>
      <c r="IH86" s="106"/>
      <c r="II86" s="106"/>
      <c r="IJ86" s="106"/>
      <c r="IK86" s="106"/>
      <c r="IL86" s="106"/>
      <c r="IM86" s="106"/>
      <c r="IN86" s="106"/>
      <c r="IO86" s="106"/>
      <c r="IP86" s="106"/>
      <c r="IQ86" s="106"/>
      <c r="IR86" s="106"/>
    </row>
    <row r="87" spans="2:252" outlineLevel="1">
      <c r="B87" s="86" t="s">
        <v>126</v>
      </c>
      <c r="C87" s="111" t="s">
        <v>133</v>
      </c>
      <c r="D87" s="103" t="s">
        <v>132</v>
      </c>
      <c r="E87" s="82">
        <v>46206</v>
      </c>
      <c r="F87" s="83">
        <f>NETWORKDAYS(E87,G87,Праздники!$A$1:$A$14)</f>
        <v>7</v>
      </c>
      <c r="G87" s="82">
        <v>46216</v>
      </c>
      <c r="H87" s="84">
        <v>1</v>
      </c>
      <c r="I87" s="103" t="s">
        <v>151</v>
      </c>
      <c r="J87" s="85" t="s">
        <v>149</v>
      </c>
      <c r="K87" s="85"/>
      <c r="L87" s="85"/>
      <c r="M87" s="143" t="s">
        <v>292</v>
      </c>
      <c r="N87" s="85"/>
      <c r="O87" s="85"/>
      <c r="P87" s="104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5"/>
      <c r="BM87" s="105"/>
      <c r="BN87" s="105"/>
      <c r="BO87" s="105"/>
      <c r="BP87" s="105"/>
      <c r="BQ87" s="105"/>
      <c r="BR87" s="105"/>
      <c r="BS87" s="105"/>
      <c r="BT87" s="105"/>
      <c r="BU87" s="105"/>
      <c r="BV87" s="105"/>
      <c r="BW87" s="105"/>
      <c r="BX87" s="105"/>
      <c r="BY87" s="105"/>
      <c r="BZ87" s="105"/>
      <c r="CA87" s="105"/>
      <c r="CB87" s="105"/>
      <c r="CC87" s="105"/>
      <c r="CD87" s="105"/>
      <c r="CE87" s="105"/>
      <c r="CF87" s="105"/>
      <c r="CG87" s="105"/>
      <c r="CH87" s="105"/>
      <c r="CI87" s="105"/>
      <c r="CJ87" s="105"/>
      <c r="CK87" s="105"/>
      <c r="CL87" s="105"/>
      <c r="CM87" s="105"/>
      <c r="CN87" s="105"/>
      <c r="CO87" s="105"/>
      <c r="CP87" s="105"/>
      <c r="CQ87" s="105"/>
      <c r="CR87" s="105"/>
      <c r="CS87" s="105"/>
      <c r="CT87" s="105"/>
      <c r="CU87" s="105"/>
      <c r="CV87" s="105"/>
      <c r="CW87" s="105"/>
      <c r="CX87" s="105"/>
      <c r="CY87" s="105"/>
      <c r="CZ87" s="105"/>
      <c r="DA87" s="105"/>
      <c r="DB87" s="105"/>
      <c r="DC87" s="105"/>
      <c r="DD87" s="105"/>
      <c r="DE87" s="105"/>
      <c r="DF87" s="105"/>
      <c r="DG87" s="105"/>
      <c r="DH87" s="105"/>
      <c r="DI87" s="105"/>
      <c r="DJ87" s="105"/>
      <c r="DK87" s="105"/>
      <c r="DL87" s="105"/>
      <c r="DM87" s="105"/>
      <c r="DN87" s="105"/>
      <c r="DO87" s="105"/>
      <c r="DP87" s="105"/>
      <c r="DQ87" s="105"/>
      <c r="DR87" s="105"/>
      <c r="DS87" s="105"/>
      <c r="DT87" s="105"/>
      <c r="DU87" s="105"/>
      <c r="DV87" s="105"/>
      <c r="DW87" s="105"/>
      <c r="DX87" s="105"/>
      <c r="DY87" s="105"/>
      <c r="DZ87" s="105"/>
      <c r="EA87" s="105"/>
      <c r="EB87" s="105"/>
      <c r="EC87" s="105"/>
      <c r="ED87" s="105"/>
      <c r="EE87" s="105"/>
      <c r="EF87" s="105"/>
      <c r="EG87" s="105"/>
      <c r="EH87" s="105"/>
      <c r="EI87" s="105"/>
      <c r="EJ87" s="106"/>
      <c r="EK87" s="106"/>
      <c r="EL87" s="106"/>
      <c r="EM87" s="106"/>
      <c r="EN87" s="106"/>
      <c r="EO87" s="106"/>
      <c r="EP87" s="106"/>
      <c r="EQ87" s="106"/>
      <c r="ER87" s="106"/>
      <c r="ES87" s="106"/>
      <c r="ET87" s="106"/>
      <c r="EU87" s="106"/>
      <c r="EV87" s="106"/>
      <c r="EW87" s="106"/>
      <c r="EX87" s="106"/>
      <c r="EY87" s="106"/>
      <c r="EZ87" s="106"/>
      <c r="FA87" s="106"/>
      <c r="FB87" s="106"/>
      <c r="FC87" s="106"/>
      <c r="FD87" s="106"/>
      <c r="FE87" s="106"/>
      <c r="FF87" s="106"/>
      <c r="FG87" s="106"/>
      <c r="FH87" s="106"/>
      <c r="FI87" s="106"/>
      <c r="FJ87" s="106"/>
      <c r="FK87" s="106"/>
      <c r="FL87" s="106"/>
      <c r="FM87" s="106"/>
      <c r="FN87" s="106"/>
      <c r="FO87" s="106"/>
      <c r="FP87" s="106"/>
      <c r="FQ87" s="106"/>
      <c r="FR87" s="106"/>
      <c r="FS87" s="106"/>
      <c r="FT87" s="106"/>
      <c r="FU87" s="106"/>
      <c r="FV87" s="106"/>
      <c r="FW87" s="106"/>
      <c r="FX87" s="106"/>
      <c r="FY87" s="106"/>
      <c r="FZ87" s="106"/>
      <c r="GA87" s="106"/>
      <c r="GB87" s="106"/>
      <c r="GC87" s="106"/>
      <c r="GD87" s="106"/>
      <c r="GE87" s="106"/>
      <c r="GF87" s="106"/>
      <c r="GG87" s="106"/>
      <c r="GH87" s="106"/>
      <c r="GI87" s="106"/>
      <c r="GJ87" s="106"/>
      <c r="GK87" s="106"/>
      <c r="GL87" s="106"/>
      <c r="GM87" s="106"/>
      <c r="GN87" s="106"/>
      <c r="GO87" s="106"/>
      <c r="GP87" s="106"/>
      <c r="GQ87" s="106"/>
      <c r="GR87" s="106"/>
      <c r="GS87" s="106"/>
      <c r="GT87" s="106"/>
      <c r="GU87" s="106"/>
      <c r="GV87" s="106"/>
      <c r="GW87" s="106"/>
      <c r="GX87" s="106"/>
      <c r="GY87" s="106"/>
      <c r="GZ87" s="106"/>
      <c r="HA87" s="106"/>
      <c r="HB87" s="106"/>
      <c r="HC87" s="106"/>
      <c r="HD87" s="106"/>
      <c r="HE87" s="106"/>
      <c r="HF87" s="106"/>
      <c r="HG87" s="106"/>
      <c r="HH87" s="106"/>
      <c r="HI87" s="106"/>
      <c r="HJ87" s="106"/>
      <c r="HK87" s="106"/>
      <c r="HL87" s="106"/>
      <c r="HM87" s="106"/>
      <c r="HN87" s="106"/>
      <c r="HO87" s="106"/>
      <c r="HP87" s="106"/>
      <c r="HQ87" s="106"/>
      <c r="HR87" s="106"/>
      <c r="HS87" s="106"/>
      <c r="HT87" s="106"/>
      <c r="HU87" s="106"/>
      <c r="HV87" s="106"/>
      <c r="HW87" s="106"/>
      <c r="HX87" s="106"/>
      <c r="HY87" s="106"/>
      <c r="HZ87" s="106"/>
      <c r="IA87" s="106"/>
      <c r="IB87" s="106"/>
      <c r="IC87" s="106"/>
      <c r="ID87" s="106"/>
      <c r="IE87" s="106"/>
      <c r="IF87" s="106"/>
      <c r="IG87" s="106"/>
      <c r="IH87" s="106"/>
      <c r="II87" s="106"/>
      <c r="IJ87" s="106"/>
      <c r="IK87" s="106"/>
      <c r="IL87" s="106"/>
      <c r="IM87" s="106"/>
      <c r="IN87" s="106"/>
      <c r="IO87" s="106"/>
      <c r="IP87" s="106"/>
      <c r="IQ87" s="106"/>
      <c r="IR87" s="106"/>
    </row>
    <row r="88" spans="2:252" outlineLevel="1">
      <c r="B88" s="86" t="s">
        <v>127</v>
      </c>
      <c r="C88" s="111" t="s">
        <v>134</v>
      </c>
      <c r="D88" s="103" t="s">
        <v>51</v>
      </c>
      <c r="E88" s="82">
        <v>46216</v>
      </c>
      <c r="F88" s="83">
        <f>NETWORKDAYS(E88,G88,Праздники!$A$1:$A$14)</f>
        <v>5</v>
      </c>
      <c r="G88" s="82">
        <v>46220</v>
      </c>
      <c r="H88" s="84">
        <v>1</v>
      </c>
      <c r="I88" s="103" t="s">
        <v>244</v>
      </c>
      <c r="J88" s="85"/>
      <c r="K88" s="85"/>
      <c r="L88" s="85"/>
      <c r="M88" s="154" t="s">
        <v>242</v>
      </c>
      <c r="N88" s="85"/>
      <c r="O88" s="85"/>
      <c r="P88" s="104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5"/>
      <c r="BM88" s="105"/>
      <c r="BN88" s="105"/>
      <c r="BO88" s="105"/>
      <c r="BP88" s="105"/>
      <c r="BQ88" s="105"/>
      <c r="BR88" s="105"/>
      <c r="BS88" s="105"/>
      <c r="BT88" s="105"/>
      <c r="BU88" s="105"/>
      <c r="BV88" s="105"/>
      <c r="BW88" s="105"/>
      <c r="BX88" s="105"/>
      <c r="BY88" s="105"/>
      <c r="BZ88" s="105"/>
      <c r="CA88" s="105"/>
      <c r="CB88" s="105"/>
      <c r="CC88" s="105"/>
      <c r="CD88" s="105"/>
      <c r="CE88" s="105"/>
      <c r="CF88" s="105"/>
      <c r="CG88" s="105"/>
      <c r="CH88" s="105"/>
      <c r="CI88" s="105"/>
      <c r="CJ88" s="105"/>
      <c r="CK88" s="105"/>
      <c r="CL88" s="105"/>
      <c r="CM88" s="105"/>
      <c r="CN88" s="105"/>
      <c r="CO88" s="105"/>
      <c r="CP88" s="105"/>
      <c r="CQ88" s="105"/>
      <c r="CR88" s="105"/>
      <c r="CS88" s="105"/>
      <c r="CT88" s="105"/>
      <c r="CU88" s="105"/>
      <c r="CV88" s="105"/>
      <c r="CW88" s="105"/>
      <c r="CX88" s="105"/>
      <c r="CY88" s="105"/>
      <c r="CZ88" s="105"/>
      <c r="DA88" s="105"/>
      <c r="DB88" s="105"/>
      <c r="DC88" s="105"/>
      <c r="DD88" s="105"/>
      <c r="DE88" s="105"/>
      <c r="DF88" s="105"/>
      <c r="DG88" s="105"/>
      <c r="DH88" s="105"/>
      <c r="DI88" s="105"/>
      <c r="DJ88" s="105"/>
      <c r="DK88" s="105"/>
      <c r="DL88" s="105"/>
      <c r="DM88" s="105"/>
      <c r="DN88" s="105"/>
      <c r="DO88" s="105"/>
      <c r="DP88" s="105"/>
      <c r="DQ88" s="105"/>
      <c r="DR88" s="105"/>
      <c r="DS88" s="105"/>
      <c r="DT88" s="105"/>
      <c r="DU88" s="105"/>
      <c r="DV88" s="105"/>
      <c r="DW88" s="105"/>
      <c r="DX88" s="105"/>
      <c r="DY88" s="105"/>
      <c r="DZ88" s="105"/>
      <c r="EA88" s="105"/>
      <c r="EB88" s="105"/>
      <c r="EC88" s="105"/>
      <c r="ED88" s="105"/>
      <c r="EE88" s="105"/>
      <c r="EF88" s="105"/>
      <c r="EG88" s="105"/>
      <c r="EH88" s="105"/>
      <c r="EI88" s="105"/>
      <c r="EJ88" s="106"/>
      <c r="EK88" s="106"/>
      <c r="EL88" s="106"/>
      <c r="EM88" s="106"/>
      <c r="EN88" s="106"/>
      <c r="EO88" s="106"/>
      <c r="EP88" s="106"/>
      <c r="EQ88" s="106"/>
      <c r="ER88" s="106"/>
      <c r="ES88" s="106"/>
      <c r="ET88" s="106"/>
      <c r="EU88" s="106"/>
      <c r="EV88" s="106"/>
      <c r="EW88" s="106"/>
      <c r="EX88" s="106"/>
      <c r="EY88" s="106"/>
      <c r="EZ88" s="106"/>
      <c r="FA88" s="106"/>
      <c r="FB88" s="106"/>
      <c r="FC88" s="106"/>
      <c r="FD88" s="106"/>
      <c r="FE88" s="106"/>
      <c r="FF88" s="106"/>
      <c r="FG88" s="106"/>
      <c r="FH88" s="106"/>
      <c r="FI88" s="106"/>
      <c r="FJ88" s="106"/>
      <c r="FK88" s="106"/>
      <c r="FL88" s="106"/>
      <c r="FM88" s="106"/>
      <c r="FN88" s="106"/>
      <c r="FO88" s="106"/>
      <c r="FP88" s="106"/>
      <c r="FQ88" s="106"/>
      <c r="FR88" s="106"/>
      <c r="FS88" s="106"/>
      <c r="FT88" s="106"/>
      <c r="FU88" s="106"/>
      <c r="FV88" s="106"/>
      <c r="FW88" s="106"/>
      <c r="FX88" s="106"/>
      <c r="FY88" s="106"/>
      <c r="FZ88" s="106"/>
      <c r="GA88" s="106"/>
      <c r="GB88" s="106"/>
      <c r="GC88" s="106"/>
      <c r="GD88" s="106"/>
      <c r="GE88" s="106"/>
      <c r="GF88" s="106"/>
      <c r="GG88" s="106"/>
      <c r="GH88" s="106"/>
      <c r="GI88" s="106"/>
      <c r="GJ88" s="106"/>
      <c r="GK88" s="106"/>
      <c r="GL88" s="106"/>
      <c r="GM88" s="106"/>
      <c r="GN88" s="106"/>
      <c r="GO88" s="106"/>
      <c r="GP88" s="106"/>
      <c r="GQ88" s="106"/>
      <c r="GR88" s="106"/>
      <c r="GS88" s="106"/>
      <c r="GT88" s="106"/>
      <c r="GU88" s="106"/>
      <c r="GV88" s="106"/>
      <c r="GW88" s="106"/>
      <c r="GX88" s="106"/>
      <c r="GY88" s="106"/>
      <c r="GZ88" s="106"/>
      <c r="HA88" s="106"/>
      <c r="HB88" s="106"/>
      <c r="HC88" s="106"/>
      <c r="HD88" s="106"/>
      <c r="HE88" s="106"/>
      <c r="HF88" s="106"/>
      <c r="HG88" s="106"/>
      <c r="HH88" s="106"/>
      <c r="HI88" s="106"/>
      <c r="HJ88" s="106"/>
      <c r="HK88" s="106"/>
      <c r="HL88" s="106"/>
      <c r="HM88" s="106"/>
      <c r="HN88" s="106"/>
      <c r="HO88" s="106"/>
      <c r="HP88" s="106"/>
      <c r="HQ88" s="106"/>
      <c r="HR88" s="106"/>
      <c r="HS88" s="106"/>
      <c r="HT88" s="106"/>
      <c r="HU88" s="106"/>
      <c r="HV88" s="106"/>
      <c r="HW88" s="106"/>
      <c r="HX88" s="106"/>
      <c r="HY88" s="106"/>
      <c r="HZ88" s="106"/>
      <c r="IA88" s="106"/>
      <c r="IB88" s="106"/>
      <c r="IC88" s="106"/>
      <c r="ID88" s="106"/>
      <c r="IE88" s="106"/>
      <c r="IF88" s="106"/>
      <c r="IG88" s="106"/>
      <c r="IH88" s="106"/>
      <c r="II88" s="106"/>
      <c r="IJ88" s="106"/>
      <c r="IK88" s="106"/>
      <c r="IL88" s="106"/>
      <c r="IM88" s="106"/>
      <c r="IN88" s="106"/>
      <c r="IO88" s="106"/>
      <c r="IP88" s="106"/>
      <c r="IQ88" s="106"/>
      <c r="IR88" s="106"/>
    </row>
    <row r="89" spans="2:252" outlineLevel="1">
      <c r="B89" s="86" t="s">
        <v>90</v>
      </c>
      <c r="C89" s="86" t="s">
        <v>91</v>
      </c>
      <c r="D89" s="103" t="s">
        <v>51</v>
      </c>
      <c r="E89" s="82">
        <v>46266</v>
      </c>
      <c r="F89" s="83">
        <f>NETWORKDAYS(E89,G89,Праздники!$A$1:$A$14)</f>
        <v>22</v>
      </c>
      <c r="G89" s="82">
        <v>46295</v>
      </c>
      <c r="H89" s="84">
        <f>AVERAGE(H90:H92)</f>
        <v>0.66666666666666663</v>
      </c>
      <c r="I89" s="103" t="s">
        <v>151</v>
      </c>
      <c r="J89" s="85" t="s">
        <v>243</v>
      </c>
      <c r="K89" s="85"/>
      <c r="L89" s="85"/>
      <c r="M89" s="143"/>
      <c r="N89" s="85" t="s">
        <v>296</v>
      </c>
      <c r="O89" s="85"/>
      <c r="P89" s="104" t="str">
        <f t="shared" ca="1" si="82"/>
        <v/>
      </c>
      <c r="Q89" s="105" t="str">
        <f t="shared" ca="1" si="82"/>
        <v/>
      </c>
      <c r="R89" s="105" t="str">
        <f t="shared" ca="1" si="82"/>
        <v/>
      </c>
      <c r="S89" s="105" t="str">
        <f t="shared" ca="1" si="82"/>
        <v/>
      </c>
      <c r="T89" s="105" t="str">
        <f t="shared" ca="1" si="82"/>
        <v/>
      </c>
      <c r="U89" s="105" t="str">
        <f t="shared" ca="1" si="82"/>
        <v/>
      </c>
      <c r="V89" s="105" t="str">
        <f t="shared" ca="1" si="82"/>
        <v/>
      </c>
      <c r="W89" s="105" t="str">
        <f t="shared" ca="1" si="82"/>
        <v/>
      </c>
      <c r="X89" s="105" t="str">
        <f t="shared" ca="1" si="82"/>
        <v/>
      </c>
      <c r="Y89" s="105" t="str">
        <f t="shared" ca="1" si="82"/>
        <v/>
      </c>
      <c r="Z89" s="105" t="str">
        <f t="shared" ca="1" si="82"/>
        <v/>
      </c>
      <c r="AA89" s="105" t="str">
        <f t="shared" ca="1" si="82"/>
        <v/>
      </c>
      <c r="AB89" s="105" t="str">
        <f t="shared" ca="1" si="82"/>
        <v/>
      </c>
      <c r="AC89" s="105" t="str">
        <f t="shared" ca="1" si="82"/>
        <v/>
      </c>
      <c r="AD89" s="105" t="str">
        <f t="shared" ca="1" si="82"/>
        <v/>
      </c>
      <c r="AE89" s="105" t="str">
        <f t="shared" ca="1" si="82"/>
        <v/>
      </c>
      <c r="AF89" s="105" t="str">
        <f t="shared" ca="1" si="70"/>
        <v/>
      </c>
      <c r="AG89" s="105" t="str">
        <f t="shared" ca="1" si="70"/>
        <v/>
      </c>
      <c r="AH89" s="105" t="str">
        <f t="shared" ca="1" si="70"/>
        <v/>
      </c>
      <c r="AI89" s="105" t="str">
        <f t="shared" ca="1" si="70"/>
        <v/>
      </c>
      <c r="AJ89" s="105" t="str">
        <f t="shared" ca="1" si="70"/>
        <v/>
      </c>
      <c r="AK89" s="105" t="str">
        <f t="shared" ca="1" si="70"/>
        <v/>
      </c>
      <c r="AL89" s="105" t="str">
        <f t="shared" ca="1" si="70"/>
        <v/>
      </c>
      <c r="AM89" s="105" t="str">
        <f t="shared" ca="1" si="70"/>
        <v/>
      </c>
      <c r="AN89" s="105" t="str">
        <f t="shared" ca="1" si="70"/>
        <v/>
      </c>
      <c r="AO89" s="105" t="str">
        <f t="shared" ca="1" si="70"/>
        <v/>
      </c>
      <c r="AP89" s="105" t="str">
        <f t="shared" ca="1" si="70"/>
        <v/>
      </c>
      <c r="AQ89" s="105" t="str">
        <f t="shared" ca="1" si="70"/>
        <v/>
      </c>
      <c r="AR89" s="105" t="str">
        <f t="shared" ca="1" si="70"/>
        <v/>
      </c>
      <c r="AS89" s="105" t="str">
        <f t="shared" ca="1" si="70"/>
        <v/>
      </c>
      <c r="AT89" s="105" t="str">
        <f t="shared" ca="1" si="70"/>
        <v/>
      </c>
      <c r="AU89" s="105" t="str">
        <f t="shared" ca="1" si="70"/>
        <v/>
      </c>
      <c r="AV89" s="105" t="str">
        <f t="shared" ref="AV89:CQ89" ca="1" si="83">IF(AV$8=TODAY(),CHAR(124),"")</f>
        <v/>
      </c>
      <c r="AW89" s="105" t="str">
        <f t="shared" ca="1" si="83"/>
        <v/>
      </c>
      <c r="AX89" s="105" t="str">
        <f t="shared" ca="1" si="83"/>
        <v/>
      </c>
      <c r="AY89" s="105" t="str">
        <f t="shared" ca="1" si="83"/>
        <v/>
      </c>
      <c r="AZ89" s="105" t="str">
        <f t="shared" ca="1" si="83"/>
        <v/>
      </c>
      <c r="BA89" s="105" t="str">
        <f t="shared" ca="1" si="83"/>
        <v/>
      </c>
      <c r="BB89" s="105" t="str">
        <f t="shared" ca="1" si="83"/>
        <v/>
      </c>
      <c r="BC89" s="105" t="str">
        <f t="shared" ca="1" si="83"/>
        <v/>
      </c>
      <c r="BD89" s="105" t="str">
        <f t="shared" ca="1" si="83"/>
        <v/>
      </c>
      <c r="BE89" s="105" t="str">
        <f t="shared" ca="1" si="83"/>
        <v/>
      </c>
      <c r="BF89" s="105" t="str">
        <f t="shared" ca="1" si="83"/>
        <v/>
      </c>
      <c r="BG89" s="105" t="str">
        <f t="shared" ca="1" si="83"/>
        <v/>
      </c>
      <c r="BH89" s="105" t="str">
        <f t="shared" ca="1" si="83"/>
        <v/>
      </c>
      <c r="BI89" s="105" t="str">
        <f t="shared" ca="1" si="83"/>
        <v/>
      </c>
      <c r="BJ89" s="105" t="str">
        <f t="shared" ca="1" si="83"/>
        <v/>
      </c>
      <c r="BK89" s="105" t="str">
        <f t="shared" ca="1" si="83"/>
        <v/>
      </c>
      <c r="BL89" s="105" t="str">
        <f t="shared" ca="1" si="83"/>
        <v/>
      </c>
      <c r="BM89" s="105" t="str">
        <f t="shared" ca="1" si="83"/>
        <v/>
      </c>
      <c r="BN89" s="105" t="str">
        <f t="shared" ca="1" si="83"/>
        <v/>
      </c>
      <c r="BO89" s="105" t="str">
        <f t="shared" ca="1" si="83"/>
        <v/>
      </c>
      <c r="BP89" s="105" t="str">
        <f t="shared" ca="1" si="83"/>
        <v/>
      </c>
      <c r="BQ89" s="105" t="str">
        <f t="shared" ca="1" si="83"/>
        <v/>
      </c>
      <c r="BR89" s="105" t="str">
        <f t="shared" ca="1" si="83"/>
        <v/>
      </c>
      <c r="BS89" s="105" t="str">
        <f t="shared" ca="1" si="83"/>
        <v/>
      </c>
      <c r="BT89" s="105" t="str">
        <f t="shared" ca="1" si="83"/>
        <v/>
      </c>
      <c r="BU89" s="105" t="str">
        <f t="shared" ca="1" si="83"/>
        <v/>
      </c>
      <c r="BV89" s="105" t="str">
        <f t="shared" ca="1" si="83"/>
        <v/>
      </c>
      <c r="BW89" s="105" t="str">
        <f t="shared" ca="1" si="83"/>
        <v/>
      </c>
      <c r="BX89" s="105" t="str">
        <f t="shared" ca="1" si="83"/>
        <v/>
      </c>
      <c r="BY89" s="105" t="str">
        <f t="shared" ca="1" si="83"/>
        <v/>
      </c>
      <c r="BZ89" s="105" t="str">
        <f t="shared" ca="1" si="83"/>
        <v/>
      </c>
      <c r="CA89" s="105" t="str">
        <f t="shared" ca="1" si="83"/>
        <v/>
      </c>
      <c r="CB89" s="105" t="str">
        <f t="shared" ca="1" si="83"/>
        <v/>
      </c>
      <c r="CC89" s="105" t="str">
        <f t="shared" ca="1" si="83"/>
        <v/>
      </c>
      <c r="CD89" s="105" t="str">
        <f t="shared" ca="1" si="83"/>
        <v/>
      </c>
      <c r="CE89" s="105" t="str">
        <f t="shared" ca="1" si="83"/>
        <v/>
      </c>
      <c r="CF89" s="105" t="str">
        <f t="shared" ca="1" si="83"/>
        <v/>
      </c>
      <c r="CG89" s="105" t="str">
        <f t="shared" ca="1" si="83"/>
        <v/>
      </c>
      <c r="CH89" s="105" t="str">
        <f t="shared" ca="1" si="83"/>
        <v/>
      </c>
      <c r="CI89" s="105" t="str">
        <f t="shared" ca="1" si="83"/>
        <v/>
      </c>
      <c r="CJ89" s="105" t="str">
        <f t="shared" ca="1" si="83"/>
        <v/>
      </c>
      <c r="CK89" s="105" t="str">
        <f t="shared" ca="1" si="83"/>
        <v/>
      </c>
      <c r="CL89" s="105" t="str">
        <f t="shared" ca="1" si="83"/>
        <v/>
      </c>
      <c r="CM89" s="105" t="str">
        <f t="shared" ca="1" si="83"/>
        <v/>
      </c>
      <c r="CN89" s="105" t="str">
        <f t="shared" ca="1" si="83"/>
        <v/>
      </c>
      <c r="CO89" s="105" t="str">
        <f t="shared" ca="1" si="83"/>
        <v/>
      </c>
      <c r="CP89" s="105" t="str">
        <f t="shared" ca="1" si="83"/>
        <v/>
      </c>
      <c r="CQ89" s="105" t="str">
        <f t="shared" ca="1" si="83"/>
        <v/>
      </c>
      <c r="CR89" s="105" t="str">
        <f t="shared" ref="CR89:EX103" ca="1" si="84">IF(CR$8=TODAY(),CHAR(124),"")</f>
        <v/>
      </c>
      <c r="CS89" s="105" t="str">
        <f t="shared" ca="1" si="84"/>
        <v/>
      </c>
      <c r="CT89" s="105" t="str">
        <f t="shared" ca="1" si="84"/>
        <v/>
      </c>
      <c r="CU89" s="105" t="str">
        <f t="shared" ca="1" si="84"/>
        <v/>
      </c>
      <c r="CV89" s="105" t="str">
        <f t="shared" ca="1" si="84"/>
        <v/>
      </c>
      <c r="CW89" s="105" t="str">
        <f t="shared" ca="1" si="84"/>
        <v/>
      </c>
      <c r="CX89" s="105" t="str">
        <f t="shared" ca="1" si="84"/>
        <v/>
      </c>
      <c r="CY89" s="105" t="str">
        <f t="shared" ca="1" si="84"/>
        <v/>
      </c>
      <c r="CZ89" s="105" t="str">
        <f t="shared" ca="1" si="84"/>
        <v/>
      </c>
      <c r="DA89" s="105" t="str">
        <f t="shared" ca="1" si="84"/>
        <v/>
      </c>
      <c r="DB89" s="105" t="str">
        <f t="shared" ca="1" si="84"/>
        <v/>
      </c>
      <c r="DC89" s="105" t="str">
        <f t="shared" ca="1" si="84"/>
        <v/>
      </c>
      <c r="DD89" s="105" t="str">
        <f t="shared" ca="1" si="84"/>
        <v/>
      </c>
      <c r="DE89" s="105" t="str">
        <f t="shared" ca="1" si="84"/>
        <v/>
      </c>
      <c r="DF89" s="105" t="str">
        <f t="shared" ca="1" si="84"/>
        <v/>
      </c>
      <c r="DG89" s="105" t="str">
        <f t="shared" ca="1" si="84"/>
        <v/>
      </c>
      <c r="DH89" s="105" t="str">
        <f t="shared" ca="1" si="84"/>
        <v/>
      </c>
      <c r="DI89" s="105" t="str">
        <f t="shared" ca="1" si="84"/>
        <v/>
      </c>
      <c r="DJ89" s="105" t="str">
        <f t="shared" ca="1" si="84"/>
        <v/>
      </c>
      <c r="DK89" s="105" t="str">
        <f t="shared" ca="1" si="84"/>
        <v/>
      </c>
      <c r="DL89" s="105" t="str">
        <f t="shared" ca="1" si="84"/>
        <v/>
      </c>
      <c r="DM89" s="105" t="str">
        <f t="shared" ca="1" si="84"/>
        <v/>
      </c>
      <c r="DN89" s="105" t="str">
        <f t="shared" ca="1" si="84"/>
        <v/>
      </c>
      <c r="DO89" s="105" t="str">
        <f t="shared" ca="1" si="84"/>
        <v/>
      </c>
      <c r="DP89" s="105" t="str">
        <f t="shared" ca="1" si="84"/>
        <v/>
      </c>
      <c r="DQ89" s="105" t="str">
        <f t="shared" ca="1" si="84"/>
        <v/>
      </c>
      <c r="DR89" s="105" t="str">
        <f t="shared" ca="1" si="84"/>
        <v/>
      </c>
      <c r="DS89" s="105" t="str">
        <f t="shared" ca="1" si="84"/>
        <v/>
      </c>
      <c r="DT89" s="105" t="str">
        <f t="shared" ca="1" si="84"/>
        <v/>
      </c>
      <c r="DU89" s="105" t="str">
        <f t="shared" ca="1" si="84"/>
        <v/>
      </c>
      <c r="DV89" s="105" t="str">
        <f t="shared" ca="1" si="84"/>
        <v/>
      </c>
      <c r="DW89" s="105" t="str">
        <f t="shared" ca="1" si="84"/>
        <v/>
      </c>
      <c r="DX89" s="105" t="str">
        <f t="shared" ca="1" si="84"/>
        <v/>
      </c>
      <c r="DY89" s="105" t="str">
        <f t="shared" ca="1" si="84"/>
        <v/>
      </c>
      <c r="DZ89" s="105" t="str">
        <f t="shared" ca="1" si="84"/>
        <v/>
      </c>
      <c r="EA89" s="105" t="str">
        <f t="shared" ca="1" si="84"/>
        <v/>
      </c>
      <c r="EB89" s="105" t="str">
        <f t="shared" ca="1" si="84"/>
        <v/>
      </c>
      <c r="EC89" s="105" t="str">
        <f t="shared" ca="1" si="84"/>
        <v/>
      </c>
      <c r="ED89" s="105" t="str">
        <f t="shared" ca="1" si="84"/>
        <v/>
      </c>
      <c r="EE89" s="105" t="str">
        <f t="shared" ca="1" si="84"/>
        <v/>
      </c>
      <c r="EF89" s="105" t="str">
        <f t="shared" ca="1" si="84"/>
        <v/>
      </c>
      <c r="EG89" s="105" t="str">
        <f t="shared" ca="1" si="84"/>
        <v/>
      </c>
      <c r="EH89" s="105" t="str">
        <f t="shared" ca="1" si="84"/>
        <v/>
      </c>
      <c r="EI89" s="105" t="str">
        <f t="shared" ca="1" si="84"/>
        <v/>
      </c>
      <c r="EJ89" s="106" t="str">
        <f t="shared" ca="1" si="84"/>
        <v/>
      </c>
      <c r="EK89" s="106" t="str">
        <f t="shared" ca="1" si="84"/>
        <v/>
      </c>
      <c r="EL89" s="106" t="str">
        <f t="shared" ca="1" si="84"/>
        <v/>
      </c>
      <c r="EM89" s="106" t="str">
        <f t="shared" ca="1" si="84"/>
        <v/>
      </c>
      <c r="EN89" s="106" t="str">
        <f t="shared" ca="1" si="84"/>
        <v/>
      </c>
      <c r="EO89" s="106" t="str">
        <f t="shared" ca="1" si="84"/>
        <v/>
      </c>
      <c r="EP89" s="106" t="str">
        <f t="shared" ca="1" si="84"/>
        <v/>
      </c>
      <c r="EQ89" s="106" t="str">
        <f t="shared" ca="1" si="84"/>
        <v/>
      </c>
      <c r="ER89" s="106" t="str">
        <f t="shared" ca="1" si="84"/>
        <v/>
      </c>
      <c r="ES89" s="106" t="str">
        <f t="shared" ca="1" si="84"/>
        <v/>
      </c>
      <c r="ET89" s="106" t="str">
        <f t="shared" ca="1" si="84"/>
        <v/>
      </c>
      <c r="EU89" s="106" t="str">
        <f t="shared" ca="1" si="84"/>
        <v/>
      </c>
      <c r="EV89" s="106" t="str">
        <f t="shared" ca="1" si="84"/>
        <v/>
      </c>
      <c r="EW89" s="106" t="str">
        <f t="shared" ca="1" si="84"/>
        <v/>
      </c>
      <c r="EX89" s="106" t="str">
        <f t="shared" ca="1" si="84"/>
        <v/>
      </c>
      <c r="EY89" s="106"/>
      <c r="EZ89" s="106"/>
      <c r="FA89" s="106"/>
      <c r="FB89" s="106"/>
      <c r="FC89" s="106"/>
      <c r="FD89" s="106"/>
      <c r="FE89" s="106"/>
      <c r="FF89" s="106"/>
      <c r="FG89" s="106"/>
      <c r="FH89" s="106"/>
      <c r="FI89" s="106"/>
      <c r="FJ89" s="106"/>
      <c r="FK89" s="106"/>
      <c r="FL89" s="106"/>
      <c r="FM89" s="106"/>
      <c r="FN89" s="106"/>
      <c r="FO89" s="106"/>
      <c r="FP89" s="106"/>
      <c r="FQ89" s="106"/>
      <c r="FR89" s="106"/>
      <c r="FS89" s="106"/>
      <c r="FT89" s="106"/>
      <c r="FU89" s="106"/>
      <c r="FV89" s="106"/>
      <c r="FW89" s="106"/>
      <c r="FX89" s="106"/>
      <c r="FY89" s="106"/>
      <c r="FZ89" s="106"/>
      <c r="GA89" s="106"/>
      <c r="GB89" s="106"/>
      <c r="GC89" s="106"/>
      <c r="GD89" s="106"/>
      <c r="GE89" s="106"/>
      <c r="GF89" s="106"/>
      <c r="GG89" s="106"/>
      <c r="GH89" s="106"/>
      <c r="GI89" s="106"/>
      <c r="GJ89" s="106"/>
      <c r="GK89" s="106"/>
      <c r="GL89" s="106"/>
      <c r="GM89" s="106"/>
      <c r="GN89" s="106"/>
      <c r="GO89" s="106"/>
      <c r="GP89" s="106"/>
      <c r="GQ89" s="106"/>
      <c r="GR89" s="106"/>
      <c r="GS89" s="106"/>
      <c r="GT89" s="106"/>
      <c r="GU89" s="106"/>
      <c r="GV89" s="106"/>
      <c r="GW89" s="106"/>
      <c r="GX89" s="106"/>
      <c r="GY89" s="106"/>
      <c r="GZ89" s="106"/>
      <c r="HA89" s="106"/>
      <c r="HB89" s="106"/>
      <c r="HC89" s="106"/>
      <c r="HD89" s="106"/>
      <c r="HE89" s="106"/>
      <c r="HF89" s="106"/>
      <c r="HG89" s="106"/>
      <c r="HH89" s="106"/>
      <c r="HI89" s="106"/>
      <c r="HJ89" s="106"/>
      <c r="HK89" s="106"/>
      <c r="HL89" s="106"/>
      <c r="HM89" s="106"/>
      <c r="HN89" s="106"/>
      <c r="HO89" s="106"/>
      <c r="HP89" s="106"/>
      <c r="HQ89" s="106"/>
      <c r="HR89" s="106"/>
      <c r="HS89" s="106"/>
      <c r="HT89" s="106"/>
      <c r="HU89" s="106"/>
      <c r="HV89" s="106"/>
      <c r="HW89" s="106"/>
      <c r="HX89" s="106"/>
      <c r="HY89" s="106"/>
      <c r="HZ89" s="106"/>
      <c r="IA89" s="106"/>
      <c r="IB89" s="106"/>
      <c r="IC89" s="106"/>
      <c r="ID89" s="106"/>
      <c r="IE89" s="106"/>
      <c r="IF89" s="106"/>
      <c r="IG89" s="106"/>
      <c r="IH89" s="106"/>
      <c r="II89" s="106"/>
      <c r="IJ89" s="106"/>
      <c r="IK89" s="106"/>
      <c r="IL89" s="106"/>
      <c r="IM89" s="106"/>
      <c r="IN89" s="106"/>
      <c r="IO89" s="106"/>
      <c r="IP89" s="106"/>
      <c r="IQ89" s="106"/>
      <c r="IR89" s="106"/>
    </row>
    <row r="90" spans="2:252" outlineLevel="1">
      <c r="B90" s="111" t="s">
        <v>245</v>
      </c>
      <c r="C90" s="86" t="s">
        <v>294</v>
      </c>
      <c r="D90" s="103"/>
      <c r="E90" s="82">
        <v>46269</v>
      </c>
      <c r="F90" s="83">
        <f>NETWORKDAYS(E90,G90,Праздники!$A$1:$A$14)</f>
        <v>6</v>
      </c>
      <c r="G90" s="82">
        <v>46276</v>
      </c>
      <c r="H90" s="84">
        <v>1</v>
      </c>
      <c r="I90" s="103" t="s">
        <v>151</v>
      </c>
      <c r="J90" s="85" t="s">
        <v>149</v>
      </c>
      <c r="K90" s="85" t="s">
        <v>293</v>
      </c>
      <c r="L90" s="85"/>
      <c r="M90" s="145"/>
      <c r="N90" s="85"/>
      <c r="O90" s="85"/>
      <c r="P90" s="104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  <c r="BK90" s="105"/>
      <c r="BL90" s="105"/>
      <c r="BM90" s="105"/>
      <c r="BN90" s="105"/>
      <c r="BO90" s="105"/>
      <c r="BP90" s="105"/>
      <c r="BQ90" s="105"/>
      <c r="BR90" s="105"/>
      <c r="BS90" s="105"/>
      <c r="BT90" s="105"/>
      <c r="BU90" s="105"/>
      <c r="BV90" s="105"/>
      <c r="BW90" s="105"/>
      <c r="BX90" s="105"/>
      <c r="BY90" s="105"/>
      <c r="BZ90" s="105"/>
      <c r="CA90" s="105"/>
      <c r="CB90" s="105"/>
      <c r="CC90" s="105"/>
      <c r="CD90" s="105"/>
      <c r="CE90" s="105"/>
      <c r="CF90" s="105"/>
      <c r="CG90" s="105"/>
      <c r="CH90" s="105"/>
      <c r="CI90" s="105"/>
      <c r="CJ90" s="105"/>
      <c r="CK90" s="105"/>
      <c r="CL90" s="105"/>
      <c r="CM90" s="105"/>
      <c r="CN90" s="105"/>
      <c r="CO90" s="105"/>
      <c r="CP90" s="105"/>
      <c r="CQ90" s="105"/>
      <c r="CR90" s="105"/>
      <c r="CS90" s="105"/>
      <c r="CT90" s="105"/>
      <c r="CU90" s="105"/>
      <c r="CV90" s="105"/>
      <c r="CW90" s="105"/>
      <c r="CX90" s="105"/>
      <c r="CY90" s="105"/>
      <c r="CZ90" s="105"/>
      <c r="DA90" s="105"/>
      <c r="DB90" s="105"/>
      <c r="DC90" s="105"/>
      <c r="DD90" s="105"/>
      <c r="DE90" s="105"/>
      <c r="DF90" s="105"/>
      <c r="DG90" s="105"/>
      <c r="DH90" s="105"/>
      <c r="DI90" s="105"/>
      <c r="DJ90" s="105"/>
      <c r="DK90" s="105"/>
      <c r="DL90" s="105"/>
      <c r="DM90" s="105"/>
      <c r="DN90" s="105"/>
      <c r="DO90" s="105"/>
      <c r="DP90" s="105"/>
      <c r="DQ90" s="105"/>
      <c r="DR90" s="105"/>
      <c r="DS90" s="105"/>
      <c r="DT90" s="105"/>
      <c r="DU90" s="105"/>
      <c r="DV90" s="105"/>
      <c r="DW90" s="105"/>
      <c r="DX90" s="105"/>
      <c r="DY90" s="105"/>
      <c r="DZ90" s="105"/>
      <c r="EA90" s="105"/>
      <c r="EB90" s="105"/>
      <c r="EC90" s="105"/>
      <c r="ED90" s="105"/>
      <c r="EE90" s="105"/>
      <c r="EF90" s="105"/>
      <c r="EG90" s="105"/>
      <c r="EH90" s="105"/>
      <c r="EI90" s="105"/>
      <c r="EJ90" s="106"/>
      <c r="EK90" s="106"/>
      <c r="EL90" s="106"/>
      <c r="EM90" s="106"/>
      <c r="EN90" s="106"/>
      <c r="EO90" s="106"/>
      <c r="EP90" s="106"/>
      <c r="EQ90" s="106"/>
      <c r="ER90" s="106"/>
      <c r="ES90" s="106"/>
      <c r="ET90" s="106"/>
      <c r="EU90" s="106"/>
      <c r="EV90" s="106"/>
      <c r="EW90" s="106"/>
      <c r="EX90" s="106"/>
      <c r="EY90" s="106"/>
      <c r="EZ90" s="106"/>
      <c r="FA90" s="106"/>
      <c r="FB90" s="106"/>
      <c r="FC90" s="106"/>
      <c r="FD90" s="106"/>
      <c r="FE90" s="106"/>
      <c r="FF90" s="106"/>
      <c r="FG90" s="106"/>
      <c r="FH90" s="106"/>
      <c r="FI90" s="106"/>
      <c r="FJ90" s="106"/>
      <c r="FK90" s="106"/>
      <c r="FL90" s="106"/>
      <c r="FM90" s="106"/>
      <c r="FN90" s="106"/>
      <c r="FO90" s="106"/>
      <c r="FP90" s="106"/>
      <c r="FQ90" s="106"/>
      <c r="FR90" s="106"/>
      <c r="FS90" s="106"/>
      <c r="FT90" s="106"/>
      <c r="FU90" s="106"/>
      <c r="FV90" s="106"/>
      <c r="FW90" s="106"/>
      <c r="FX90" s="106"/>
      <c r="FY90" s="106"/>
      <c r="FZ90" s="106"/>
      <c r="GA90" s="106"/>
      <c r="GB90" s="106"/>
      <c r="GC90" s="106"/>
      <c r="GD90" s="106"/>
      <c r="GE90" s="106"/>
      <c r="GF90" s="106"/>
      <c r="GG90" s="106"/>
      <c r="GH90" s="106"/>
      <c r="GI90" s="106"/>
      <c r="GJ90" s="106"/>
      <c r="GK90" s="106"/>
      <c r="GL90" s="106"/>
      <c r="GM90" s="106"/>
      <c r="GN90" s="106"/>
      <c r="GO90" s="106"/>
      <c r="GP90" s="106"/>
      <c r="GQ90" s="106"/>
      <c r="GR90" s="106"/>
      <c r="GS90" s="106"/>
      <c r="GT90" s="106"/>
      <c r="GU90" s="106"/>
      <c r="GV90" s="106"/>
      <c r="GW90" s="106"/>
      <c r="GX90" s="106"/>
      <c r="GY90" s="106"/>
      <c r="GZ90" s="106"/>
      <c r="HA90" s="106"/>
      <c r="HB90" s="106"/>
      <c r="HC90" s="106"/>
      <c r="HD90" s="106"/>
      <c r="HE90" s="106"/>
      <c r="HF90" s="106"/>
      <c r="HG90" s="106"/>
      <c r="HH90" s="106"/>
      <c r="HI90" s="106"/>
      <c r="HJ90" s="106"/>
      <c r="HK90" s="106"/>
      <c r="HL90" s="106"/>
      <c r="HM90" s="106"/>
      <c r="HN90" s="106"/>
      <c r="HO90" s="106"/>
      <c r="HP90" s="106"/>
      <c r="HQ90" s="106"/>
      <c r="HR90" s="106"/>
      <c r="HS90" s="106"/>
      <c r="HT90" s="106"/>
      <c r="HU90" s="106"/>
      <c r="HV90" s="106"/>
      <c r="HW90" s="106"/>
      <c r="HX90" s="106"/>
      <c r="HY90" s="106"/>
      <c r="HZ90" s="106"/>
      <c r="IA90" s="106"/>
      <c r="IB90" s="106"/>
      <c r="IC90" s="106"/>
      <c r="ID90" s="106"/>
      <c r="IE90" s="106"/>
      <c r="IF90" s="106"/>
      <c r="IG90" s="106"/>
      <c r="IH90" s="106"/>
      <c r="II90" s="106"/>
      <c r="IJ90" s="106"/>
      <c r="IK90" s="106"/>
      <c r="IL90" s="106"/>
      <c r="IM90" s="106"/>
      <c r="IN90" s="106"/>
      <c r="IO90" s="106"/>
      <c r="IP90" s="106"/>
      <c r="IQ90" s="106"/>
      <c r="IR90" s="106"/>
    </row>
    <row r="91" spans="2:252" outlineLevel="1">
      <c r="B91" s="111" t="s">
        <v>246</v>
      </c>
      <c r="C91" s="86" t="s">
        <v>247</v>
      </c>
      <c r="D91" s="103"/>
      <c r="E91" s="82">
        <v>46269</v>
      </c>
      <c r="F91" s="83">
        <f>NETWORKDAYS(E91,G91,Праздники!$A$1:$A$14)</f>
        <v>6</v>
      </c>
      <c r="G91" s="82">
        <v>46276</v>
      </c>
      <c r="H91" s="84">
        <v>1</v>
      </c>
      <c r="I91" s="103" t="s">
        <v>236</v>
      </c>
      <c r="J91" s="85" t="s">
        <v>243</v>
      </c>
      <c r="K91" s="85"/>
      <c r="L91" s="85"/>
      <c r="M91" s="154" t="s">
        <v>295</v>
      </c>
      <c r="N91" s="85"/>
      <c r="O91" s="85"/>
      <c r="P91" s="104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  <c r="BO91" s="105"/>
      <c r="BP91" s="105"/>
      <c r="BQ91" s="105"/>
      <c r="BR91" s="105"/>
      <c r="BS91" s="105"/>
      <c r="BT91" s="105"/>
      <c r="BU91" s="105"/>
      <c r="BV91" s="105"/>
      <c r="BW91" s="105"/>
      <c r="BX91" s="105"/>
      <c r="BY91" s="105"/>
      <c r="BZ91" s="105"/>
      <c r="CA91" s="105"/>
      <c r="CB91" s="105"/>
      <c r="CC91" s="105"/>
      <c r="CD91" s="105"/>
      <c r="CE91" s="105"/>
      <c r="CF91" s="105"/>
      <c r="CG91" s="105"/>
      <c r="CH91" s="105"/>
      <c r="CI91" s="105"/>
      <c r="CJ91" s="105"/>
      <c r="CK91" s="105"/>
      <c r="CL91" s="105"/>
      <c r="CM91" s="105"/>
      <c r="CN91" s="105"/>
      <c r="CO91" s="105"/>
      <c r="CP91" s="105"/>
      <c r="CQ91" s="105"/>
      <c r="CR91" s="105"/>
      <c r="CS91" s="105"/>
      <c r="CT91" s="105"/>
      <c r="CU91" s="105"/>
      <c r="CV91" s="105"/>
      <c r="CW91" s="105"/>
      <c r="CX91" s="105"/>
      <c r="CY91" s="105"/>
      <c r="CZ91" s="105"/>
      <c r="DA91" s="105"/>
      <c r="DB91" s="105"/>
      <c r="DC91" s="105"/>
      <c r="DD91" s="105"/>
      <c r="DE91" s="105"/>
      <c r="DF91" s="105"/>
      <c r="DG91" s="105"/>
      <c r="DH91" s="105"/>
      <c r="DI91" s="105"/>
      <c r="DJ91" s="105"/>
      <c r="DK91" s="105"/>
      <c r="DL91" s="105"/>
      <c r="DM91" s="105"/>
      <c r="DN91" s="105"/>
      <c r="DO91" s="105"/>
      <c r="DP91" s="105"/>
      <c r="DQ91" s="105"/>
      <c r="DR91" s="105"/>
      <c r="DS91" s="105"/>
      <c r="DT91" s="105"/>
      <c r="DU91" s="105"/>
      <c r="DV91" s="105"/>
      <c r="DW91" s="105"/>
      <c r="DX91" s="105"/>
      <c r="DY91" s="105"/>
      <c r="DZ91" s="105"/>
      <c r="EA91" s="105"/>
      <c r="EB91" s="105"/>
      <c r="EC91" s="105"/>
      <c r="ED91" s="105"/>
      <c r="EE91" s="105"/>
      <c r="EF91" s="105"/>
      <c r="EG91" s="105"/>
      <c r="EH91" s="105"/>
      <c r="EI91" s="105"/>
      <c r="EJ91" s="106"/>
      <c r="EK91" s="106"/>
      <c r="EL91" s="106"/>
      <c r="EM91" s="106"/>
      <c r="EN91" s="106"/>
      <c r="EO91" s="106"/>
      <c r="EP91" s="106"/>
      <c r="EQ91" s="106"/>
      <c r="ER91" s="106"/>
      <c r="ES91" s="106"/>
      <c r="ET91" s="106"/>
      <c r="EU91" s="106"/>
      <c r="EV91" s="106"/>
      <c r="EW91" s="106"/>
      <c r="EX91" s="106"/>
      <c r="EY91" s="106"/>
      <c r="EZ91" s="106"/>
      <c r="FA91" s="106"/>
      <c r="FB91" s="106"/>
      <c r="FC91" s="106"/>
      <c r="FD91" s="106"/>
      <c r="FE91" s="106"/>
      <c r="FF91" s="106"/>
      <c r="FG91" s="106"/>
      <c r="FH91" s="106"/>
      <c r="FI91" s="106"/>
      <c r="FJ91" s="106"/>
      <c r="FK91" s="106"/>
      <c r="FL91" s="106"/>
      <c r="FM91" s="106"/>
      <c r="FN91" s="106"/>
      <c r="FO91" s="106"/>
      <c r="FP91" s="106"/>
      <c r="FQ91" s="106"/>
      <c r="FR91" s="106"/>
      <c r="FS91" s="106"/>
      <c r="FT91" s="106"/>
      <c r="FU91" s="106"/>
      <c r="FV91" s="106"/>
      <c r="FW91" s="106"/>
      <c r="FX91" s="106"/>
      <c r="FY91" s="106"/>
      <c r="FZ91" s="106"/>
      <c r="GA91" s="106"/>
      <c r="GB91" s="106"/>
      <c r="GC91" s="106"/>
      <c r="GD91" s="106"/>
      <c r="GE91" s="106"/>
      <c r="GF91" s="106"/>
      <c r="GG91" s="106"/>
      <c r="GH91" s="106"/>
      <c r="GI91" s="106"/>
      <c r="GJ91" s="106"/>
      <c r="GK91" s="106"/>
      <c r="GL91" s="106"/>
      <c r="GM91" s="106"/>
      <c r="GN91" s="106"/>
      <c r="GO91" s="106"/>
      <c r="GP91" s="106"/>
      <c r="GQ91" s="106"/>
      <c r="GR91" s="106"/>
      <c r="GS91" s="106"/>
      <c r="GT91" s="106"/>
      <c r="GU91" s="106"/>
      <c r="GV91" s="106"/>
      <c r="GW91" s="106"/>
      <c r="GX91" s="106"/>
      <c r="GY91" s="106"/>
      <c r="GZ91" s="106"/>
      <c r="HA91" s="106"/>
      <c r="HB91" s="106"/>
      <c r="HC91" s="106"/>
      <c r="HD91" s="106"/>
      <c r="HE91" s="106"/>
      <c r="HF91" s="106"/>
      <c r="HG91" s="106"/>
      <c r="HH91" s="106"/>
      <c r="HI91" s="106"/>
      <c r="HJ91" s="106"/>
      <c r="HK91" s="106"/>
      <c r="HL91" s="106"/>
      <c r="HM91" s="106"/>
      <c r="HN91" s="106"/>
      <c r="HO91" s="106"/>
      <c r="HP91" s="106"/>
      <c r="HQ91" s="106"/>
      <c r="HR91" s="106"/>
      <c r="HS91" s="106"/>
      <c r="HT91" s="106"/>
      <c r="HU91" s="106"/>
      <c r="HV91" s="106"/>
      <c r="HW91" s="106"/>
      <c r="HX91" s="106"/>
      <c r="HY91" s="106"/>
      <c r="HZ91" s="106"/>
      <c r="IA91" s="106"/>
      <c r="IB91" s="106"/>
      <c r="IC91" s="106"/>
      <c r="ID91" s="106"/>
      <c r="IE91" s="106"/>
      <c r="IF91" s="106"/>
      <c r="IG91" s="106"/>
      <c r="IH91" s="106"/>
      <c r="II91" s="106"/>
      <c r="IJ91" s="106"/>
      <c r="IK91" s="106"/>
      <c r="IL91" s="106"/>
      <c r="IM91" s="106"/>
      <c r="IN91" s="106"/>
      <c r="IO91" s="106"/>
      <c r="IP91" s="106"/>
      <c r="IQ91" s="106"/>
      <c r="IR91" s="106"/>
    </row>
    <row r="92" spans="2:252" outlineLevel="1">
      <c r="B92" s="111" t="s">
        <v>249</v>
      </c>
      <c r="C92" s="86" t="s">
        <v>248</v>
      </c>
      <c r="D92" s="103"/>
      <c r="E92" s="82">
        <v>46269</v>
      </c>
      <c r="F92" s="83">
        <f>NETWORKDAYS(E92,G92,Праздники!$A$1:$A$14)</f>
        <v>11</v>
      </c>
      <c r="G92" s="82">
        <v>46283</v>
      </c>
      <c r="H92" s="84">
        <v>0</v>
      </c>
      <c r="I92" s="103" t="s">
        <v>151</v>
      </c>
      <c r="J92" s="85" t="s">
        <v>243</v>
      </c>
      <c r="K92" s="85" t="s">
        <v>243</v>
      </c>
      <c r="L92" s="85"/>
      <c r="M92" s="143"/>
      <c r="N92" s="85" t="s">
        <v>303</v>
      </c>
      <c r="O92" s="85"/>
      <c r="P92" s="104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  <c r="CU92" s="105"/>
      <c r="CV92" s="105"/>
      <c r="CW92" s="105"/>
      <c r="CX92" s="105"/>
      <c r="CY92" s="105"/>
      <c r="CZ92" s="105"/>
      <c r="DA92" s="105"/>
      <c r="DB92" s="105"/>
      <c r="DC92" s="105"/>
      <c r="DD92" s="105"/>
      <c r="DE92" s="105"/>
      <c r="DF92" s="105"/>
      <c r="DG92" s="105"/>
      <c r="DH92" s="105"/>
      <c r="DI92" s="105"/>
      <c r="DJ92" s="105"/>
      <c r="DK92" s="105"/>
      <c r="DL92" s="105"/>
      <c r="DM92" s="105"/>
      <c r="DN92" s="105"/>
      <c r="DO92" s="105"/>
      <c r="DP92" s="105"/>
      <c r="DQ92" s="105"/>
      <c r="DR92" s="105"/>
      <c r="DS92" s="105"/>
      <c r="DT92" s="105"/>
      <c r="DU92" s="105"/>
      <c r="DV92" s="105"/>
      <c r="DW92" s="105"/>
      <c r="DX92" s="105"/>
      <c r="DY92" s="105"/>
      <c r="DZ92" s="105"/>
      <c r="EA92" s="105"/>
      <c r="EB92" s="105"/>
      <c r="EC92" s="105"/>
      <c r="ED92" s="105"/>
      <c r="EE92" s="105"/>
      <c r="EF92" s="105"/>
      <c r="EG92" s="105"/>
      <c r="EH92" s="105"/>
      <c r="EI92" s="105"/>
      <c r="EJ92" s="106"/>
      <c r="EK92" s="106"/>
      <c r="EL92" s="106"/>
      <c r="EM92" s="106"/>
      <c r="EN92" s="106"/>
      <c r="EO92" s="106"/>
      <c r="EP92" s="106"/>
      <c r="EQ92" s="106"/>
      <c r="ER92" s="106"/>
      <c r="ES92" s="106"/>
      <c r="ET92" s="106"/>
      <c r="EU92" s="106"/>
      <c r="EV92" s="106"/>
      <c r="EW92" s="106"/>
      <c r="EX92" s="106"/>
      <c r="EY92" s="106"/>
      <c r="EZ92" s="106"/>
      <c r="FA92" s="106"/>
      <c r="FB92" s="106"/>
      <c r="FC92" s="106"/>
      <c r="FD92" s="106"/>
      <c r="FE92" s="106"/>
      <c r="FF92" s="106"/>
      <c r="FG92" s="106"/>
      <c r="FH92" s="106"/>
      <c r="FI92" s="106"/>
      <c r="FJ92" s="106"/>
      <c r="FK92" s="106"/>
      <c r="FL92" s="106"/>
      <c r="FM92" s="106"/>
      <c r="FN92" s="106"/>
      <c r="FO92" s="106"/>
      <c r="FP92" s="106"/>
      <c r="FQ92" s="106"/>
      <c r="FR92" s="106"/>
      <c r="FS92" s="106"/>
      <c r="FT92" s="106"/>
      <c r="FU92" s="106"/>
      <c r="FV92" s="106"/>
      <c r="FW92" s="106"/>
      <c r="FX92" s="106"/>
      <c r="FY92" s="106"/>
      <c r="FZ92" s="106"/>
      <c r="GA92" s="106"/>
      <c r="GB92" s="106"/>
      <c r="GC92" s="106"/>
      <c r="GD92" s="106"/>
      <c r="GE92" s="106"/>
      <c r="GF92" s="106"/>
      <c r="GG92" s="106"/>
      <c r="GH92" s="106"/>
      <c r="GI92" s="106"/>
      <c r="GJ92" s="106"/>
      <c r="GK92" s="106"/>
      <c r="GL92" s="106"/>
      <c r="GM92" s="106"/>
      <c r="GN92" s="106"/>
      <c r="GO92" s="106"/>
      <c r="GP92" s="106"/>
      <c r="GQ92" s="106"/>
      <c r="GR92" s="106"/>
      <c r="GS92" s="106"/>
      <c r="GT92" s="106"/>
      <c r="GU92" s="106"/>
      <c r="GV92" s="106"/>
      <c r="GW92" s="106"/>
      <c r="GX92" s="106"/>
      <c r="GY92" s="106"/>
      <c r="GZ92" s="106"/>
      <c r="HA92" s="106"/>
      <c r="HB92" s="106"/>
      <c r="HC92" s="106"/>
      <c r="HD92" s="106"/>
      <c r="HE92" s="106"/>
      <c r="HF92" s="106"/>
      <c r="HG92" s="106"/>
      <c r="HH92" s="106"/>
      <c r="HI92" s="106"/>
      <c r="HJ92" s="106"/>
      <c r="HK92" s="106"/>
      <c r="HL92" s="106"/>
      <c r="HM92" s="106"/>
      <c r="HN92" s="106"/>
      <c r="HO92" s="106"/>
      <c r="HP92" s="106"/>
      <c r="HQ92" s="106"/>
      <c r="HR92" s="106"/>
      <c r="HS92" s="106"/>
      <c r="HT92" s="106"/>
      <c r="HU92" s="106"/>
      <c r="HV92" s="106"/>
      <c r="HW92" s="106"/>
      <c r="HX92" s="106"/>
      <c r="HY92" s="106"/>
      <c r="HZ92" s="106"/>
      <c r="IA92" s="106"/>
      <c r="IB92" s="106"/>
      <c r="IC92" s="106"/>
      <c r="ID92" s="106"/>
      <c r="IE92" s="106"/>
      <c r="IF92" s="106"/>
      <c r="IG92" s="106"/>
      <c r="IH92" s="106"/>
      <c r="II92" s="106"/>
      <c r="IJ92" s="106"/>
      <c r="IK92" s="106"/>
      <c r="IL92" s="106"/>
      <c r="IM92" s="106"/>
      <c r="IN92" s="106"/>
      <c r="IO92" s="106"/>
      <c r="IP92" s="106"/>
      <c r="IQ92" s="106"/>
      <c r="IR92" s="106"/>
    </row>
    <row r="93" spans="2:252" s="145" customFormat="1" outlineLevel="1">
      <c r="B93" s="137" t="s">
        <v>92</v>
      </c>
      <c r="C93" s="138" t="s">
        <v>297</v>
      </c>
      <c r="D93" s="139" t="s">
        <v>142</v>
      </c>
      <c r="E93" s="140">
        <v>46231</v>
      </c>
      <c r="F93" s="141">
        <f>NETWORKDAYS(E93,G93,Праздники!$A$1:$A$14)</f>
        <v>34</v>
      </c>
      <c r="G93" s="140">
        <v>46276</v>
      </c>
      <c r="H93" s="142">
        <v>0.5</v>
      </c>
      <c r="I93" s="139" t="s">
        <v>183</v>
      </c>
      <c r="J93" s="143" t="s">
        <v>236</v>
      </c>
      <c r="K93" s="143"/>
      <c r="L93" s="143"/>
      <c r="M93" s="143"/>
      <c r="N93" s="143" t="s">
        <v>304</v>
      </c>
      <c r="O93" s="143"/>
      <c r="P93" s="144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  <c r="CU93" s="105"/>
      <c r="CV93" s="105"/>
      <c r="CW93" s="105"/>
      <c r="CX93" s="105"/>
      <c r="CY93" s="105"/>
      <c r="CZ93" s="105"/>
      <c r="DA93" s="105"/>
      <c r="DB93" s="105"/>
      <c r="DC93" s="105"/>
      <c r="DD93" s="105"/>
      <c r="DE93" s="105"/>
      <c r="DF93" s="105"/>
      <c r="DG93" s="105"/>
      <c r="DH93" s="105"/>
      <c r="DI93" s="105"/>
      <c r="DJ93" s="105"/>
      <c r="DK93" s="105"/>
      <c r="DL93" s="105"/>
      <c r="DM93" s="105"/>
      <c r="DN93" s="105"/>
      <c r="DO93" s="105"/>
      <c r="DP93" s="105"/>
      <c r="DQ93" s="105"/>
      <c r="DR93" s="105"/>
      <c r="DS93" s="105"/>
      <c r="DT93" s="105"/>
      <c r="DU93" s="105"/>
      <c r="DV93" s="105"/>
      <c r="DW93" s="105"/>
      <c r="DX93" s="105"/>
      <c r="DY93" s="105"/>
      <c r="DZ93" s="105"/>
      <c r="EA93" s="105"/>
      <c r="EB93" s="105"/>
      <c r="EC93" s="105"/>
      <c r="ED93" s="105"/>
      <c r="EE93" s="105"/>
      <c r="EF93" s="105"/>
      <c r="EG93" s="105"/>
      <c r="EH93" s="105"/>
      <c r="EI93" s="105"/>
      <c r="EJ93" s="105"/>
      <c r="EK93" s="105"/>
      <c r="EL93" s="105"/>
      <c r="EM93" s="105"/>
      <c r="EN93" s="105"/>
      <c r="EO93" s="105"/>
      <c r="EP93" s="105"/>
      <c r="EQ93" s="105"/>
      <c r="ER93" s="105"/>
      <c r="ES93" s="105"/>
      <c r="ET93" s="105"/>
      <c r="EU93" s="105"/>
      <c r="EV93" s="105"/>
      <c r="EW93" s="105"/>
      <c r="EX93" s="105"/>
      <c r="EY93" s="105"/>
      <c r="EZ93" s="105"/>
      <c r="FA93" s="105"/>
      <c r="FB93" s="105"/>
      <c r="FC93" s="105"/>
      <c r="FD93" s="105"/>
      <c r="FE93" s="105"/>
      <c r="FF93" s="105"/>
      <c r="FG93" s="105"/>
      <c r="FH93" s="105"/>
      <c r="FI93" s="105"/>
      <c r="FJ93" s="105"/>
      <c r="FK93" s="105"/>
      <c r="FL93" s="105"/>
      <c r="FM93" s="105"/>
      <c r="FN93" s="105"/>
      <c r="FO93" s="105"/>
      <c r="FP93" s="105"/>
      <c r="FQ93" s="105"/>
      <c r="FR93" s="105"/>
      <c r="FS93" s="105"/>
      <c r="FT93" s="105"/>
      <c r="FU93" s="105"/>
      <c r="FV93" s="105"/>
      <c r="FW93" s="105"/>
      <c r="FX93" s="105"/>
      <c r="FY93" s="105"/>
      <c r="FZ93" s="105"/>
      <c r="GA93" s="105"/>
      <c r="GB93" s="105"/>
      <c r="GC93" s="105"/>
      <c r="GD93" s="105"/>
      <c r="GE93" s="105"/>
      <c r="GF93" s="105"/>
      <c r="GG93" s="105"/>
      <c r="GH93" s="105"/>
      <c r="GI93" s="105"/>
      <c r="GJ93" s="105"/>
      <c r="GK93" s="105"/>
      <c r="GL93" s="105"/>
      <c r="GM93" s="105"/>
      <c r="GN93" s="105"/>
      <c r="GO93" s="105"/>
      <c r="GP93" s="105"/>
      <c r="GQ93" s="105"/>
      <c r="GR93" s="105"/>
      <c r="GS93" s="105"/>
      <c r="GT93" s="105"/>
      <c r="GU93" s="105"/>
      <c r="GV93" s="105"/>
      <c r="GW93" s="105"/>
      <c r="GX93" s="105"/>
      <c r="GY93" s="105"/>
      <c r="GZ93" s="105"/>
      <c r="HA93" s="105"/>
      <c r="HB93" s="105"/>
      <c r="HC93" s="105"/>
      <c r="HD93" s="105"/>
      <c r="HE93" s="105"/>
      <c r="HF93" s="105"/>
      <c r="HG93" s="105"/>
      <c r="HH93" s="105"/>
      <c r="HI93" s="105"/>
      <c r="HJ93" s="105"/>
      <c r="HK93" s="105"/>
      <c r="HL93" s="105"/>
      <c r="HM93" s="105"/>
      <c r="HN93" s="105"/>
      <c r="HO93" s="105"/>
      <c r="HP93" s="105"/>
      <c r="HQ93" s="105"/>
      <c r="HR93" s="105"/>
      <c r="HS93" s="105"/>
      <c r="HT93" s="105"/>
      <c r="HU93" s="105"/>
      <c r="HV93" s="105"/>
      <c r="HW93" s="105"/>
      <c r="HX93" s="105"/>
      <c r="HY93" s="105"/>
      <c r="HZ93" s="105"/>
      <c r="IA93" s="105"/>
      <c r="IB93" s="105"/>
      <c r="IC93" s="105"/>
      <c r="ID93" s="105"/>
      <c r="IE93" s="105"/>
      <c r="IF93" s="105"/>
      <c r="IG93" s="105"/>
      <c r="IH93" s="105"/>
      <c r="II93" s="105"/>
      <c r="IJ93" s="105"/>
      <c r="IK93" s="105"/>
      <c r="IL93" s="105"/>
      <c r="IM93" s="105"/>
      <c r="IN93" s="105"/>
      <c r="IO93" s="105"/>
      <c r="IP93" s="105"/>
      <c r="IQ93" s="105"/>
      <c r="IR93" s="105"/>
    </row>
    <row r="94" spans="2:252" s="145" customFormat="1" outlineLevel="1">
      <c r="B94" s="137" t="s">
        <v>92</v>
      </c>
      <c r="C94" s="138" t="s">
        <v>298</v>
      </c>
      <c r="D94" s="139" t="s">
        <v>142</v>
      </c>
      <c r="E94" s="140">
        <v>46231</v>
      </c>
      <c r="F94" s="141">
        <f>NETWORKDAYS(E94,G94,Праздники!$A$1:$A$14)</f>
        <v>47</v>
      </c>
      <c r="G94" s="140">
        <v>46295</v>
      </c>
      <c r="H94" s="142">
        <v>0.6</v>
      </c>
      <c r="I94" s="139" t="s">
        <v>149</v>
      </c>
      <c r="J94" s="143" t="s">
        <v>160</v>
      </c>
      <c r="K94" s="143"/>
      <c r="L94" s="143"/>
      <c r="M94" s="143"/>
      <c r="N94" s="143"/>
      <c r="O94" s="143"/>
      <c r="P94" s="144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  <c r="CU94" s="105"/>
      <c r="CV94" s="105"/>
      <c r="CW94" s="105"/>
      <c r="CX94" s="105"/>
      <c r="CY94" s="105"/>
      <c r="CZ94" s="105"/>
      <c r="DA94" s="105"/>
      <c r="DB94" s="105"/>
      <c r="DC94" s="105"/>
      <c r="DD94" s="105"/>
      <c r="DE94" s="105"/>
      <c r="DF94" s="105"/>
      <c r="DG94" s="105"/>
      <c r="DH94" s="105"/>
      <c r="DI94" s="105"/>
      <c r="DJ94" s="105"/>
      <c r="DK94" s="105"/>
      <c r="DL94" s="105"/>
      <c r="DM94" s="105"/>
      <c r="DN94" s="105"/>
      <c r="DO94" s="105"/>
      <c r="DP94" s="105"/>
      <c r="DQ94" s="105"/>
      <c r="DR94" s="105"/>
      <c r="DS94" s="105"/>
      <c r="DT94" s="105"/>
      <c r="DU94" s="105"/>
      <c r="DV94" s="105"/>
      <c r="DW94" s="105"/>
      <c r="DX94" s="105"/>
      <c r="DY94" s="105"/>
      <c r="DZ94" s="105"/>
      <c r="EA94" s="105"/>
      <c r="EB94" s="105"/>
      <c r="EC94" s="105"/>
      <c r="ED94" s="105"/>
      <c r="EE94" s="105"/>
      <c r="EF94" s="105"/>
      <c r="EG94" s="105"/>
      <c r="EH94" s="105"/>
      <c r="EI94" s="105"/>
      <c r="EJ94" s="105"/>
      <c r="EK94" s="105"/>
      <c r="EL94" s="105"/>
      <c r="EM94" s="105"/>
      <c r="EN94" s="105"/>
      <c r="EO94" s="105"/>
      <c r="EP94" s="105"/>
      <c r="EQ94" s="105"/>
      <c r="ER94" s="105"/>
      <c r="ES94" s="105"/>
      <c r="ET94" s="105"/>
      <c r="EU94" s="105"/>
      <c r="EV94" s="105"/>
      <c r="EW94" s="105"/>
      <c r="EX94" s="105"/>
      <c r="EY94" s="105"/>
      <c r="EZ94" s="105"/>
      <c r="FA94" s="105"/>
      <c r="FB94" s="105"/>
      <c r="FC94" s="105"/>
      <c r="FD94" s="105"/>
      <c r="FE94" s="105"/>
      <c r="FF94" s="105"/>
      <c r="FG94" s="105"/>
      <c r="FH94" s="105"/>
      <c r="FI94" s="105"/>
      <c r="FJ94" s="105"/>
      <c r="FK94" s="105"/>
      <c r="FL94" s="105"/>
      <c r="FM94" s="105"/>
      <c r="FN94" s="105"/>
      <c r="FO94" s="105"/>
      <c r="FP94" s="105"/>
      <c r="FQ94" s="105"/>
      <c r="FR94" s="105"/>
      <c r="FS94" s="105"/>
      <c r="FT94" s="105"/>
      <c r="FU94" s="105"/>
      <c r="FV94" s="105"/>
      <c r="FW94" s="105"/>
      <c r="FX94" s="105"/>
      <c r="FY94" s="105"/>
      <c r="FZ94" s="105"/>
      <c r="GA94" s="105"/>
      <c r="GB94" s="105"/>
      <c r="GC94" s="105"/>
      <c r="GD94" s="105"/>
      <c r="GE94" s="105"/>
      <c r="GF94" s="105"/>
      <c r="GG94" s="105"/>
      <c r="GH94" s="105"/>
      <c r="GI94" s="105"/>
      <c r="GJ94" s="105"/>
      <c r="GK94" s="105"/>
      <c r="GL94" s="105"/>
      <c r="GM94" s="105"/>
      <c r="GN94" s="105"/>
      <c r="GO94" s="105"/>
      <c r="GP94" s="105"/>
      <c r="GQ94" s="105"/>
      <c r="GR94" s="105"/>
      <c r="GS94" s="105"/>
      <c r="GT94" s="105"/>
      <c r="GU94" s="105"/>
      <c r="GV94" s="105"/>
      <c r="GW94" s="105"/>
      <c r="GX94" s="105"/>
      <c r="GY94" s="105"/>
      <c r="GZ94" s="105"/>
      <c r="HA94" s="105"/>
      <c r="HB94" s="105"/>
      <c r="HC94" s="105"/>
      <c r="HD94" s="105"/>
      <c r="HE94" s="105"/>
      <c r="HF94" s="105"/>
      <c r="HG94" s="105"/>
      <c r="HH94" s="105"/>
      <c r="HI94" s="105"/>
      <c r="HJ94" s="105"/>
      <c r="HK94" s="105"/>
      <c r="HL94" s="105"/>
      <c r="HM94" s="105"/>
      <c r="HN94" s="105"/>
      <c r="HO94" s="105"/>
      <c r="HP94" s="105"/>
      <c r="HQ94" s="105"/>
      <c r="HR94" s="105"/>
      <c r="HS94" s="105"/>
      <c r="HT94" s="105"/>
      <c r="HU94" s="105"/>
      <c r="HV94" s="105"/>
      <c r="HW94" s="105"/>
      <c r="HX94" s="105"/>
      <c r="HY94" s="105"/>
      <c r="HZ94" s="105"/>
      <c r="IA94" s="105"/>
      <c r="IB94" s="105"/>
      <c r="IC94" s="105"/>
      <c r="ID94" s="105"/>
      <c r="IE94" s="105"/>
      <c r="IF94" s="105"/>
      <c r="IG94" s="105"/>
      <c r="IH94" s="105"/>
      <c r="II94" s="105"/>
      <c r="IJ94" s="105"/>
      <c r="IK94" s="105"/>
      <c r="IL94" s="105"/>
      <c r="IM94" s="105"/>
      <c r="IN94" s="105"/>
      <c r="IO94" s="105"/>
      <c r="IP94" s="105"/>
      <c r="IQ94" s="105"/>
      <c r="IR94" s="105"/>
    </row>
    <row r="95" spans="2:252" s="145" customFormat="1" outlineLevel="1">
      <c r="B95" s="137" t="s">
        <v>143</v>
      </c>
      <c r="C95" s="138" t="s">
        <v>144</v>
      </c>
      <c r="D95" s="139" t="s">
        <v>51</v>
      </c>
      <c r="E95" s="140">
        <v>46295</v>
      </c>
      <c r="F95" s="141"/>
      <c r="G95" s="140"/>
      <c r="H95" s="142"/>
      <c r="I95" s="139" t="s">
        <v>151</v>
      </c>
      <c r="J95" s="143" t="s">
        <v>243</v>
      </c>
      <c r="K95" s="143"/>
      <c r="L95" s="143"/>
      <c r="M95" s="143"/>
      <c r="N95" s="143"/>
      <c r="O95" s="143"/>
      <c r="P95" s="144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  <c r="CU95" s="105"/>
      <c r="CV95" s="105"/>
      <c r="CW95" s="105"/>
      <c r="CX95" s="105"/>
      <c r="CY95" s="105"/>
      <c r="CZ95" s="105"/>
      <c r="DA95" s="105"/>
      <c r="DB95" s="105"/>
      <c r="DC95" s="105"/>
      <c r="DD95" s="105"/>
      <c r="DE95" s="105"/>
      <c r="DF95" s="105"/>
      <c r="DG95" s="105"/>
      <c r="DH95" s="105"/>
      <c r="DI95" s="105"/>
      <c r="DJ95" s="105"/>
      <c r="DK95" s="105"/>
      <c r="DL95" s="105"/>
      <c r="DM95" s="105"/>
      <c r="DN95" s="105"/>
      <c r="DO95" s="105"/>
      <c r="DP95" s="105"/>
      <c r="DQ95" s="105"/>
      <c r="DR95" s="105"/>
      <c r="DS95" s="105"/>
      <c r="DT95" s="105"/>
      <c r="DU95" s="105"/>
      <c r="DV95" s="105"/>
      <c r="DW95" s="105"/>
      <c r="DX95" s="105"/>
      <c r="DY95" s="105"/>
      <c r="DZ95" s="105"/>
      <c r="EA95" s="105"/>
      <c r="EB95" s="105"/>
      <c r="EC95" s="105"/>
      <c r="ED95" s="105"/>
      <c r="EE95" s="105"/>
      <c r="EF95" s="105"/>
      <c r="EG95" s="105"/>
      <c r="EH95" s="105"/>
      <c r="EI95" s="105"/>
      <c r="EJ95" s="105"/>
      <c r="EK95" s="105"/>
      <c r="EL95" s="105"/>
      <c r="EM95" s="105"/>
      <c r="EN95" s="105"/>
      <c r="EO95" s="105"/>
      <c r="EP95" s="105"/>
      <c r="EQ95" s="105"/>
      <c r="ER95" s="105"/>
      <c r="ES95" s="105"/>
      <c r="ET95" s="105"/>
      <c r="EU95" s="105"/>
      <c r="EV95" s="105"/>
      <c r="EW95" s="105"/>
      <c r="EX95" s="105"/>
      <c r="EY95" s="105"/>
      <c r="EZ95" s="105"/>
      <c r="FA95" s="105"/>
      <c r="FB95" s="105"/>
      <c r="FC95" s="105"/>
      <c r="FD95" s="105"/>
      <c r="FE95" s="105"/>
      <c r="FF95" s="105"/>
      <c r="FG95" s="105"/>
      <c r="FH95" s="105"/>
      <c r="FI95" s="105"/>
      <c r="FJ95" s="105"/>
      <c r="FK95" s="105"/>
      <c r="FL95" s="105"/>
      <c r="FM95" s="105"/>
      <c r="FN95" s="105"/>
      <c r="FO95" s="105"/>
      <c r="FP95" s="105"/>
      <c r="FQ95" s="105"/>
      <c r="FR95" s="105"/>
      <c r="FS95" s="105"/>
      <c r="FT95" s="105"/>
      <c r="FU95" s="105"/>
      <c r="FV95" s="105"/>
      <c r="FW95" s="105"/>
      <c r="FX95" s="105"/>
      <c r="FY95" s="105"/>
      <c r="FZ95" s="105"/>
      <c r="GA95" s="105"/>
      <c r="GB95" s="105"/>
      <c r="GC95" s="105"/>
      <c r="GD95" s="105"/>
      <c r="GE95" s="105"/>
      <c r="GF95" s="105"/>
      <c r="GG95" s="105"/>
      <c r="GH95" s="105"/>
      <c r="GI95" s="105"/>
      <c r="GJ95" s="105"/>
      <c r="GK95" s="105"/>
      <c r="GL95" s="105"/>
      <c r="GM95" s="105"/>
      <c r="GN95" s="105"/>
      <c r="GO95" s="105"/>
      <c r="GP95" s="105"/>
      <c r="GQ95" s="105"/>
      <c r="GR95" s="105"/>
      <c r="GS95" s="105"/>
      <c r="GT95" s="105"/>
      <c r="GU95" s="105"/>
      <c r="GV95" s="105"/>
      <c r="GW95" s="105"/>
      <c r="GX95" s="105"/>
      <c r="GY95" s="105"/>
      <c r="GZ95" s="105"/>
      <c r="HA95" s="105"/>
      <c r="HB95" s="105"/>
      <c r="HC95" s="105"/>
      <c r="HD95" s="105"/>
      <c r="HE95" s="105"/>
      <c r="HF95" s="105"/>
      <c r="HG95" s="105"/>
      <c r="HH95" s="105"/>
      <c r="HI95" s="105"/>
      <c r="HJ95" s="105"/>
      <c r="HK95" s="105"/>
      <c r="HL95" s="105"/>
      <c r="HM95" s="105"/>
      <c r="HN95" s="105"/>
      <c r="HO95" s="105"/>
      <c r="HP95" s="105"/>
      <c r="HQ95" s="105"/>
      <c r="HR95" s="105"/>
      <c r="HS95" s="105"/>
      <c r="HT95" s="105"/>
      <c r="HU95" s="105"/>
      <c r="HV95" s="105"/>
      <c r="HW95" s="105"/>
      <c r="HX95" s="105"/>
      <c r="HY95" s="105"/>
      <c r="HZ95" s="105"/>
      <c r="IA95" s="105"/>
      <c r="IB95" s="105"/>
      <c r="IC95" s="105"/>
      <c r="ID95" s="105"/>
      <c r="IE95" s="105"/>
      <c r="IF95" s="105"/>
      <c r="IG95" s="105"/>
      <c r="IH95" s="105"/>
      <c r="II95" s="105"/>
      <c r="IJ95" s="105"/>
      <c r="IK95" s="105"/>
      <c r="IL95" s="105"/>
      <c r="IM95" s="105"/>
      <c r="IN95" s="105"/>
      <c r="IO95" s="105"/>
      <c r="IP95" s="105"/>
      <c r="IQ95" s="105"/>
      <c r="IR95" s="105"/>
    </row>
    <row r="96" spans="2:252" s="145" customFormat="1" outlineLevel="1">
      <c r="B96" s="137" t="s">
        <v>94</v>
      </c>
      <c r="C96" s="137" t="s">
        <v>93</v>
      </c>
      <c r="D96" s="139" t="s">
        <v>51</v>
      </c>
      <c r="E96" s="140">
        <v>46188</v>
      </c>
      <c r="F96" s="141">
        <f>NETWORKDAYS(E96,G96,Праздники!$A$1:$A$14)</f>
        <v>5</v>
      </c>
      <c r="G96" s="140">
        <v>46192</v>
      </c>
      <c r="H96" s="142">
        <v>1</v>
      </c>
      <c r="I96" s="139" t="s">
        <v>151</v>
      </c>
      <c r="J96" s="143" t="s">
        <v>243</v>
      </c>
      <c r="K96" s="143"/>
      <c r="L96" s="143"/>
      <c r="M96" s="143"/>
      <c r="N96" s="143"/>
      <c r="O96" s="143"/>
      <c r="P96" s="144" t="str">
        <f t="shared" ca="1" si="82"/>
        <v/>
      </c>
      <c r="Q96" s="105" t="str">
        <f t="shared" ca="1" si="82"/>
        <v/>
      </c>
      <c r="R96" s="105" t="str">
        <f t="shared" ca="1" si="82"/>
        <v/>
      </c>
      <c r="S96" s="105" t="str">
        <f t="shared" ca="1" si="82"/>
        <v/>
      </c>
      <c r="T96" s="105" t="str">
        <f t="shared" ca="1" si="82"/>
        <v/>
      </c>
      <c r="U96" s="105" t="str">
        <f t="shared" ca="1" si="82"/>
        <v/>
      </c>
      <c r="V96" s="105" t="str">
        <f t="shared" ca="1" si="82"/>
        <v/>
      </c>
      <c r="W96" s="105" t="str">
        <f t="shared" ca="1" si="82"/>
        <v/>
      </c>
      <c r="X96" s="105" t="str">
        <f t="shared" ca="1" si="82"/>
        <v/>
      </c>
      <c r="Y96" s="105" t="str">
        <f t="shared" ca="1" si="82"/>
        <v/>
      </c>
      <c r="Z96" s="105" t="str">
        <f t="shared" ca="1" si="82"/>
        <v/>
      </c>
      <c r="AA96" s="105" t="str">
        <f t="shared" ca="1" si="82"/>
        <v/>
      </c>
      <c r="AB96" s="105" t="str">
        <f t="shared" ca="1" si="82"/>
        <v/>
      </c>
      <c r="AC96" s="105" t="str">
        <f t="shared" ca="1" si="82"/>
        <v/>
      </c>
      <c r="AD96" s="105" t="str">
        <f t="shared" ca="1" si="82"/>
        <v/>
      </c>
      <c r="AE96" s="105" t="str">
        <f t="shared" ca="1" si="82"/>
        <v/>
      </c>
      <c r="AF96" s="105" t="str">
        <f t="shared" ca="1" si="70"/>
        <v/>
      </c>
      <c r="AG96" s="105" t="str">
        <f t="shared" ca="1" si="70"/>
        <v/>
      </c>
      <c r="AH96" s="105" t="str">
        <f t="shared" ca="1" si="70"/>
        <v/>
      </c>
      <c r="AI96" s="105" t="str">
        <f t="shared" ca="1" si="70"/>
        <v/>
      </c>
      <c r="AJ96" s="105" t="str">
        <f t="shared" ca="1" si="70"/>
        <v/>
      </c>
      <c r="AK96" s="105" t="str">
        <f t="shared" ca="1" si="70"/>
        <v/>
      </c>
      <c r="AL96" s="105" t="str">
        <f t="shared" ca="1" si="70"/>
        <v/>
      </c>
      <c r="AM96" s="105" t="str">
        <f t="shared" ca="1" si="70"/>
        <v/>
      </c>
      <c r="AN96" s="105" t="str">
        <f t="shared" ca="1" si="70"/>
        <v/>
      </c>
      <c r="AO96" s="105" t="str">
        <f t="shared" ca="1" si="70"/>
        <v/>
      </c>
      <c r="AP96" s="105" t="str">
        <f t="shared" ca="1" si="70"/>
        <v/>
      </c>
      <c r="AQ96" s="105" t="str">
        <f t="shared" ca="1" si="70"/>
        <v/>
      </c>
      <c r="AR96" s="105" t="str">
        <f t="shared" ca="1" si="70"/>
        <v/>
      </c>
      <c r="AS96" s="105" t="str">
        <f t="shared" ca="1" si="70"/>
        <v/>
      </c>
      <c r="AT96" s="105" t="str">
        <f t="shared" ca="1" si="70"/>
        <v/>
      </c>
      <c r="AU96" s="105" t="str">
        <f t="shared" ca="1" si="70"/>
        <v/>
      </c>
      <c r="AV96" s="105" t="str">
        <f t="shared" ref="AV96:BE103" ca="1" si="85">IF(AV$8=TODAY(),CHAR(124),"")</f>
        <v/>
      </c>
      <c r="AW96" s="105" t="str">
        <f t="shared" ca="1" si="85"/>
        <v/>
      </c>
      <c r="AX96" s="105" t="str">
        <f t="shared" ca="1" si="85"/>
        <v/>
      </c>
      <c r="AY96" s="105" t="str">
        <f t="shared" ca="1" si="85"/>
        <v/>
      </c>
      <c r="AZ96" s="105" t="str">
        <f t="shared" ca="1" si="85"/>
        <v/>
      </c>
      <c r="BA96" s="105" t="str">
        <f t="shared" ca="1" si="85"/>
        <v/>
      </c>
      <c r="BB96" s="105" t="str">
        <f t="shared" ca="1" si="85"/>
        <v/>
      </c>
      <c r="BC96" s="105" t="str">
        <f t="shared" ca="1" si="85"/>
        <v/>
      </c>
      <c r="BD96" s="105" t="str">
        <f t="shared" ca="1" si="85"/>
        <v/>
      </c>
      <c r="BE96" s="105" t="str">
        <f t="shared" ca="1" si="85"/>
        <v/>
      </c>
      <c r="BF96" s="105" t="str">
        <f t="shared" ref="BF96:BO103" ca="1" si="86">IF(BF$8=TODAY(),CHAR(124),"")</f>
        <v/>
      </c>
      <c r="BG96" s="105" t="str">
        <f t="shared" ca="1" si="86"/>
        <v/>
      </c>
      <c r="BH96" s="105" t="str">
        <f t="shared" ca="1" si="86"/>
        <v/>
      </c>
      <c r="BI96" s="105" t="str">
        <f t="shared" ca="1" si="86"/>
        <v/>
      </c>
      <c r="BJ96" s="105" t="str">
        <f t="shared" ca="1" si="86"/>
        <v/>
      </c>
      <c r="BK96" s="105" t="str">
        <f t="shared" ca="1" si="86"/>
        <v/>
      </c>
      <c r="BL96" s="105" t="str">
        <f t="shared" ca="1" si="86"/>
        <v/>
      </c>
      <c r="BM96" s="105" t="str">
        <f t="shared" ca="1" si="86"/>
        <v/>
      </c>
      <c r="BN96" s="105" t="str">
        <f t="shared" ca="1" si="86"/>
        <v/>
      </c>
      <c r="BO96" s="105" t="str">
        <f t="shared" ca="1" si="86"/>
        <v/>
      </c>
      <c r="BP96" s="105" t="str">
        <f t="shared" ref="BP96:BY103" ca="1" si="87">IF(BP$8=TODAY(),CHAR(124),"")</f>
        <v/>
      </c>
      <c r="BQ96" s="105" t="str">
        <f t="shared" ca="1" si="87"/>
        <v/>
      </c>
      <c r="BR96" s="105" t="str">
        <f t="shared" ca="1" si="87"/>
        <v/>
      </c>
      <c r="BS96" s="105" t="str">
        <f t="shared" ca="1" si="87"/>
        <v/>
      </c>
      <c r="BT96" s="105" t="str">
        <f t="shared" ca="1" si="87"/>
        <v/>
      </c>
      <c r="BU96" s="105" t="str">
        <f t="shared" ca="1" si="87"/>
        <v/>
      </c>
      <c r="BV96" s="105" t="str">
        <f t="shared" ca="1" si="87"/>
        <v/>
      </c>
      <c r="BW96" s="105" t="str">
        <f t="shared" ca="1" si="87"/>
        <v/>
      </c>
      <c r="BX96" s="105" t="str">
        <f t="shared" ca="1" si="87"/>
        <v/>
      </c>
      <c r="BY96" s="105" t="str">
        <f t="shared" ca="1" si="87"/>
        <v/>
      </c>
      <c r="BZ96" s="105" t="str">
        <f t="shared" ref="BZ96:CI103" ca="1" si="88">IF(BZ$8=TODAY(),CHAR(124),"")</f>
        <v/>
      </c>
      <c r="CA96" s="105" t="str">
        <f t="shared" ca="1" si="88"/>
        <v/>
      </c>
      <c r="CB96" s="105" t="str">
        <f t="shared" ca="1" si="88"/>
        <v/>
      </c>
      <c r="CC96" s="105" t="str">
        <f t="shared" ca="1" si="88"/>
        <v/>
      </c>
      <c r="CD96" s="105" t="str">
        <f t="shared" ca="1" si="88"/>
        <v/>
      </c>
      <c r="CE96" s="105" t="str">
        <f t="shared" ca="1" si="88"/>
        <v/>
      </c>
      <c r="CF96" s="105" t="str">
        <f t="shared" ca="1" si="88"/>
        <v/>
      </c>
      <c r="CG96" s="105" t="str">
        <f t="shared" ca="1" si="88"/>
        <v/>
      </c>
      <c r="CH96" s="105" t="str">
        <f t="shared" ca="1" si="88"/>
        <v/>
      </c>
      <c r="CI96" s="105" t="str">
        <f t="shared" ca="1" si="88"/>
        <v/>
      </c>
      <c r="CJ96" s="105" t="str">
        <f t="shared" ref="CJ96:CQ103" ca="1" si="89">IF(CJ$8=TODAY(),CHAR(124),"")</f>
        <v/>
      </c>
      <c r="CK96" s="105" t="str">
        <f t="shared" ca="1" si="89"/>
        <v/>
      </c>
      <c r="CL96" s="105" t="str">
        <f t="shared" ca="1" si="89"/>
        <v/>
      </c>
      <c r="CM96" s="105" t="str">
        <f t="shared" ca="1" si="89"/>
        <v/>
      </c>
      <c r="CN96" s="105" t="str">
        <f t="shared" ca="1" si="89"/>
        <v/>
      </c>
      <c r="CO96" s="105" t="str">
        <f t="shared" ca="1" si="89"/>
        <v/>
      </c>
      <c r="CP96" s="105" t="str">
        <f t="shared" ca="1" si="89"/>
        <v/>
      </c>
      <c r="CQ96" s="105" t="str">
        <f t="shared" ca="1" si="89"/>
        <v/>
      </c>
      <c r="CR96" s="105" t="str">
        <f t="shared" ref="CR96:DD103" ca="1" si="90">IF(CR$8=TODAY(),CHAR(124),"")</f>
        <v/>
      </c>
      <c r="CS96" s="105" t="str">
        <f t="shared" ca="1" si="90"/>
        <v/>
      </c>
      <c r="CT96" s="105" t="str">
        <f t="shared" ca="1" si="90"/>
        <v/>
      </c>
      <c r="CU96" s="105" t="str">
        <f t="shared" ca="1" si="90"/>
        <v/>
      </c>
      <c r="CV96" s="105" t="str">
        <f t="shared" ca="1" si="90"/>
        <v/>
      </c>
      <c r="CW96" s="105" t="str">
        <f t="shared" ca="1" si="90"/>
        <v/>
      </c>
      <c r="CX96" s="105" t="str">
        <f t="shared" ca="1" si="90"/>
        <v/>
      </c>
      <c r="CY96" s="105" t="str">
        <f t="shared" ca="1" si="90"/>
        <v/>
      </c>
      <c r="CZ96" s="105" t="str">
        <f t="shared" ca="1" si="90"/>
        <v/>
      </c>
      <c r="DA96" s="105" t="str">
        <f t="shared" ca="1" si="90"/>
        <v/>
      </c>
      <c r="DB96" s="105" t="str">
        <f t="shared" ca="1" si="90"/>
        <v/>
      </c>
      <c r="DC96" s="105" t="str">
        <f t="shared" ca="1" si="90"/>
        <v/>
      </c>
      <c r="DD96" s="105" t="str">
        <f t="shared" ca="1" si="90"/>
        <v/>
      </c>
      <c r="DE96" s="105" t="str">
        <f t="shared" ca="1" si="84"/>
        <v/>
      </c>
      <c r="DF96" s="105" t="str">
        <f t="shared" ca="1" si="84"/>
        <v/>
      </c>
      <c r="DG96" s="105" t="str">
        <f t="shared" ca="1" si="84"/>
        <v/>
      </c>
      <c r="DH96" s="105" t="str">
        <f t="shared" ca="1" si="84"/>
        <v/>
      </c>
      <c r="DI96" s="105" t="str">
        <f t="shared" ca="1" si="84"/>
        <v/>
      </c>
      <c r="DJ96" s="105" t="str">
        <f t="shared" ca="1" si="84"/>
        <v/>
      </c>
      <c r="DK96" s="105" t="str">
        <f t="shared" ca="1" si="84"/>
        <v/>
      </c>
      <c r="DL96" s="105" t="str">
        <f t="shared" ca="1" si="84"/>
        <v/>
      </c>
      <c r="DM96" s="105" t="str">
        <f t="shared" ca="1" si="84"/>
        <v/>
      </c>
      <c r="DN96" s="105" t="str">
        <f t="shared" ca="1" si="84"/>
        <v/>
      </c>
      <c r="DO96" s="105" t="str">
        <f t="shared" ca="1" si="84"/>
        <v/>
      </c>
      <c r="DP96" s="105" t="str">
        <f t="shared" ca="1" si="84"/>
        <v/>
      </c>
      <c r="DQ96" s="105" t="str">
        <f t="shared" ca="1" si="84"/>
        <v/>
      </c>
      <c r="DR96" s="105" t="str">
        <f t="shared" ca="1" si="84"/>
        <v/>
      </c>
      <c r="DS96" s="105" t="str">
        <f t="shared" ca="1" si="84"/>
        <v/>
      </c>
      <c r="DT96" s="105" t="str">
        <f t="shared" ca="1" si="84"/>
        <v/>
      </c>
      <c r="DU96" s="105" t="str">
        <f t="shared" ca="1" si="84"/>
        <v/>
      </c>
      <c r="DV96" s="105" t="str">
        <f t="shared" ca="1" si="84"/>
        <v/>
      </c>
      <c r="DW96" s="105" t="str">
        <f t="shared" ca="1" si="84"/>
        <v/>
      </c>
      <c r="DX96" s="105" t="str">
        <f t="shared" ca="1" si="84"/>
        <v/>
      </c>
      <c r="DY96" s="105" t="str">
        <f t="shared" ca="1" si="84"/>
        <v/>
      </c>
      <c r="DZ96" s="105" t="str">
        <f t="shared" ca="1" si="84"/>
        <v/>
      </c>
      <c r="EA96" s="105" t="str">
        <f t="shared" ca="1" si="84"/>
        <v/>
      </c>
      <c r="EB96" s="105" t="str">
        <f t="shared" ca="1" si="84"/>
        <v/>
      </c>
      <c r="EC96" s="105" t="str">
        <f t="shared" ca="1" si="84"/>
        <v/>
      </c>
      <c r="ED96" s="105" t="str">
        <f t="shared" ca="1" si="84"/>
        <v/>
      </c>
      <c r="EE96" s="105" t="str">
        <f t="shared" ca="1" si="84"/>
        <v/>
      </c>
      <c r="EF96" s="105" t="str">
        <f t="shared" ca="1" si="84"/>
        <v/>
      </c>
      <c r="EG96" s="105" t="str">
        <f t="shared" ca="1" si="84"/>
        <v/>
      </c>
      <c r="EH96" s="105" t="str">
        <f t="shared" ca="1" si="84"/>
        <v/>
      </c>
      <c r="EI96" s="105" t="str">
        <f t="shared" ca="1" si="84"/>
        <v/>
      </c>
      <c r="EJ96" s="105" t="str">
        <f t="shared" ca="1" si="84"/>
        <v/>
      </c>
      <c r="EK96" s="105" t="str">
        <f t="shared" ca="1" si="84"/>
        <v/>
      </c>
      <c r="EL96" s="105" t="str">
        <f t="shared" ca="1" si="84"/>
        <v/>
      </c>
      <c r="EM96" s="105" t="str">
        <f t="shared" ca="1" si="84"/>
        <v/>
      </c>
      <c r="EN96" s="105" t="str">
        <f t="shared" ca="1" si="84"/>
        <v/>
      </c>
      <c r="EO96" s="105" t="str">
        <f t="shared" ca="1" si="84"/>
        <v/>
      </c>
      <c r="EP96" s="105" t="str">
        <f t="shared" ca="1" si="84"/>
        <v/>
      </c>
      <c r="EQ96" s="105" t="str">
        <f t="shared" ca="1" si="84"/>
        <v/>
      </c>
      <c r="ER96" s="105" t="str">
        <f t="shared" ca="1" si="84"/>
        <v/>
      </c>
      <c r="ES96" s="105" t="str">
        <f t="shared" ca="1" si="84"/>
        <v/>
      </c>
      <c r="ET96" s="105" t="str">
        <f t="shared" ca="1" si="84"/>
        <v/>
      </c>
      <c r="EU96" s="105" t="str">
        <f t="shared" ca="1" si="84"/>
        <v/>
      </c>
      <c r="EV96" s="105" t="str">
        <f t="shared" ca="1" si="84"/>
        <v/>
      </c>
      <c r="EW96" s="105" t="str">
        <f t="shared" ca="1" si="84"/>
        <v/>
      </c>
      <c r="EX96" s="105" t="str">
        <f t="shared" ca="1" si="84"/>
        <v/>
      </c>
      <c r="EY96" s="105"/>
      <c r="EZ96" s="105"/>
      <c r="FA96" s="105"/>
      <c r="FB96" s="105"/>
      <c r="FC96" s="105"/>
      <c r="FD96" s="105"/>
      <c r="FE96" s="105"/>
      <c r="FF96" s="105"/>
      <c r="FG96" s="105"/>
      <c r="FH96" s="105"/>
      <c r="FI96" s="105"/>
      <c r="FJ96" s="105"/>
      <c r="FK96" s="105"/>
      <c r="FL96" s="105"/>
      <c r="FM96" s="105"/>
      <c r="FN96" s="105"/>
      <c r="FO96" s="105"/>
      <c r="FP96" s="105"/>
      <c r="FQ96" s="105"/>
      <c r="FR96" s="105"/>
      <c r="FS96" s="105"/>
      <c r="FT96" s="105"/>
      <c r="FU96" s="105"/>
      <c r="FV96" s="105"/>
      <c r="FW96" s="105"/>
      <c r="FX96" s="105"/>
      <c r="FY96" s="105"/>
      <c r="FZ96" s="105"/>
      <c r="GA96" s="105"/>
      <c r="GB96" s="105"/>
      <c r="GC96" s="105"/>
      <c r="GD96" s="105"/>
      <c r="GE96" s="105"/>
      <c r="GF96" s="105"/>
      <c r="GG96" s="105"/>
      <c r="GH96" s="105"/>
      <c r="GI96" s="105"/>
      <c r="GJ96" s="105"/>
      <c r="GK96" s="105"/>
      <c r="GL96" s="105"/>
      <c r="GM96" s="105"/>
      <c r="GN96" s="105"/>
      <c r="GO96" s="105"/>
      <c r="GP96" s="105"/>
      <c r="GQ96" s="105"/>
      <c r="GR96" s="105"/>
      <c r="GS96" s="105"/>
      <c r="GT96" s="105"/>
      <c r="GU96" s="105"/>
      <c r="GV96" s="105"/>
      <c r="GW96" s="105"/>
      <c r="GX96" s="105"/>
      <c r="GY96" s="105"/>
      <c r="GZ96" s="105"/>
      <c r="HA96" s="105"/>
      <c r="HB96" s="105"/>
      <c r="HC96" s="105"/>
      <c r="HD96" s="105"/>
      <c r="HE96" s="105"/>
      <c r="HF96" s="105"/>
      <c r="HG96" s="105"/>
      <c r="HH96" s="105"/>
      <c r="HI96" s="105"/>
      <c r="HJ96" s="105"/>
      <c r="HK96" s="105"/>
      <c r="HL96" s="105"/>
      <c r="HM96" s="105"/>
      <c r="HN96" s="105"/>
      <c r="HO96" s="105"/>
      <c r="HP96" s="105"/>
      <c r="HQ96" s="105"/>
      <c r="HR96" s="105"/>
      <c r="HS96" s="105"/>
      <c r="HT96" s="105"/>
      <c r="HU96" s="105"/>
      <c r="HV96" s="105"/>
      <c r="HW96" s="105"/>
      <c r="HX96" s="105"/>
      <c r="HY96" s="105"/>
      <c r="HZ96" s="105"/>
      <c r="IA96" s="105"/>
      <c r="IB96" s="105"/>
      <c r="IC96" s="105"/>
      <c r="ID96" s="105"/>
      <c r="IE96" s="105"/>
      <c r="IF96" s="105"/>
      <c r="IG96" s="105"/>
      <c r="IH96" s="105"/>
      <c r="II96" s="105"/>
      <c r="IJ96" s="105"/>
      <c r="IK96" s="105"/>
      <c r="IL96" s="105"/>
      <c r="IM96" s="105"/>
      <c r="IN96" s="105"/>
      <c r="IO96" s="105"/>
      <c r="IP96" s="105"/>
      <c r="IQ96" s="105"/>
      <c r="IR96" s="105"/>
    </row>
    <row r="97" spans="2:252" s="145" customFormat="1" outlineLevel="1">
      <c r="B97" s="137" t="s">
        <v>94</v>
      </c>
      <c r="C97" s="137" t="s">
        <v>95</v>
      </c>
      <c r="D97" s="139" t="s">
        <v>51</v>
      </c>
      <c r="E97" s="140">
        <v>46195</v>
      </c>
      <c r="F97" s="141">
        <f>NETWORKDAYS(E97,G97,Праздники!$A$1:$A$14)</f>
        <v>5</v>
      </c>
      <c r="G97" s="140">
        <v>46199</v>
      </c>
      <c r="H97" s="142">
        <v>0.4</v>
      </c>
      <c r="I97" s="139" t="s">
        <v>151</v>
      </c>
      <c r="J97" s="143" t="s">
        <v>243</v>
      </c>
      <c r="K97" s="143"/>
      <c r="L97" s="143"/>
      <c r="M97" s="143"/>
      <c r="N97" s="143"/>
      <c r="O97" s="143"/>
      <c r="P97" s="144" t="str">
        <f t="shared" ca="1" si="82"/>
        <v/>
      </c>
      <c r="Q97" s="105" t="str">
        <f t="shared" ca="1" si="82"/>
        <v/>
      </c>
      <c r="R97" s="105" t="str">
        <f t="shared" ca="1" si="82"/>
        <v/>
      </c>
      <c r="S97" s="105" t="str">
        <f t="shared" ca="1" si="82"/>
        <v/>
      </c>
      <c r="T97" s="105" t="str">
        <f t="shared" ca="1" si="82"/>
        <v/>
      </c>
      <c r="U97" s="105" t="str">
        <f t="shared" ca="1" si="82"/>
        <v/>
      </c>
      <c r="V97" s="105" t="str">
        <f t="shared" ca="1" si="82"/>
        <v/>
      </c>
      <c r="W97" s="105" t="str">
        <f t="shared" ca="1" si="82"/>
        <v/>
      </c>
      <c r="X97" s="105" t="str">
        <f t="shared" ca="1" si="82"/>
        <v/>
      </c>
      <c r="Y97" s="105" t="str">
        <f t="shared" ca="1" si="82"/>
        <v/>
      </c>
      <c r="Z97" s="105" t="str">
        <f t="shared" ca="1" si="82"/>
        <v/>
      </c>
      <c r="AA97" s="105" t="str">
        <f t="shared" ca="1" si="82"/>
        <v/>
      </c>
      <c r="AB97" s="105" t="str">
        <f t="shared" ca="1" si="82"/>
        <v/>
      </c>
      <c r="AC97" s="105" t="str">
        <f t="shared" ca="1" si="82"/>
        <v/>
      </c>
      <c r="AD97" s="105" t="str">
        <f t="shared" ca="1" si="82"/>
        <v/>
      </c>
      <c r="AE97" s="105" t="str">
        <f t="shared" ca="1" si="82"/>
        <v/>
      </c>
      <c r="AF97" s="105" t="str">
        <f t="shared" ca="1" si="70"/>
        <v/>
      </c>
      <c r="AG97" s="105" t="str">
        <f t="shared" ca="1" si="70"/>
        <v/>
      </c>
      <c r="AH97" s="105" t="str">
        <f t="shared" ca="1" si="70"/>
        <v/>
      </c>
      <c r="AI97" s="105" t="str">
        <f t="shared" ca="1" si="70"/>
        <v/>
      </c>
      <c r="AJ97" s="105" t="str">
        <f t="shared" ca="1" si="70"/>
        <v/>
      </c>
      <c r="AK97" s="105" t="str">
        <f t="shared" ca="1" si="70"/>
        <v/>
      </c>
      <c r="AL97" s="105" t="str">
        <f t="shared" ca="1" si="70"/>
        <v/>
      </c>
      <c r="AM97" s="105" t="str">
        <f t="shared" ca="1" si="70"/>
        <v/>
      </c>
      <c r="AN97" s="105" t="str">
        <f t="shared" ca="1" si="70"/>
        <v/>
      </c>
      <c r="AO97" s="105" t="str">
        <f t="shared" ca="1" si="70"/>
        <v/>
      </c>
      <c r="AP97" s="105" t="str">
        <f t="shared" ca="1" si="70"/>
        <v/>
      </c>
      <c r="AQ97" s="105" t="str">
        <f t="shared" ca="1" si="70"/>
        <v/>
      </c>
      <c r="AR97" s="105" t="str">
        <f t="shared" ca="1" si="70"/>
        <v/>
      </c>
      <c r="AS97" s="105" t="str">
        <f t="shared" ca="1" si="70"/>
        <v/>
      </c>
      <c r="AT97" s="105" t="str">
        <f t="shared" ca="1" si="70"/>
        <v/>
      </c>
      <c r="AU97" s="105" t="str">
        <f t="shared" ca="1" si="70"/>
        <v/>
      </c>
      <c r="AV97" s="105" t="str">
        <f t="shared" ca="1" si="85"/>
        <v/>
      </c>
      <c r="AW97" s="105" t="str">
        <f t="shared" ca="1" si="85"/>
        <v/>
      </c>
      <c r="AX97" s="105" t="str">
        <f t="shared" ca="1" si="85"/>
        <v/>
      </c>
      <c r="AY97" s="105" t="str">
        <f t="shared" ca="1" si="85"/>
        <v/>
      </c>
      <c r="AZ97" s="105" t="str">
        <f t="shared" ca="1" si="85"/>
        <v/>
      </c>
      <c r="BA97" s="105" t="str">
        <f t="shared" ca="1" si="85"/>
        <v/>
      </c>
      <c r="BB97" s="105" t="str">
        <f t="shared" ca="1" si="85"/>
        <v/>
      </c>
      <c r="BC97" s="105" t="str">
        <f t="shared" ca="1" si="85"/>
        <v/>
      </c>
      <c r="BD97" s="105" t="str">
        <f t="shared" ca="1" si="85"/>
        <v/>
      </c>
      <c r="BE97" s="105" t="str">
        <f t="shared" ca="1" si="85"/>
        <v/>
      </c>
      <c r="BF97" s="105" t="str">
        <f t="shared" ca="1" si="86"/>
        <v/>
      </c>
      <c r="BG97" s="105" t="str">
        <f t="shared" ca="1" si="86"/>
        <v/>
      </c>
      <c r="BH97" s="105" t="str">
        <f t="shared" ca="1" si="86"/>
        <v/>
      </c>
      <c r="BI97" s="105" t="str">
        <f t="shared" ca="1" si="86"/>
        <v/>
      </c>
      <c r="BJ97" s="105" t="str">
        <f t="shared" ca="1" si="86"/>
        <v/>
      </c>
      <c r="BK97" s="105" t="str">
        <f t="shared" ca="1" si="86"/>
        <v/>
      </c>
      <c r="BL97" s="105" t="str">
        <f t="shared" ca="1" si="86"/>
        <v/>
      </c>
      <c r="BM97" s="105" t="str">
        <f t="shared" ca="1" si="86"/>
        <v/>
      </c>
      <c r="BN97" s="105" t="str">
        <f t="shared" ca="1" si="86"/>
        <v/>
      </c>
      <c r="BO97" s="105" t="str">
        <f t="shared" ca="1" si="86"/>
        <v/>
      </c>
      <c r="BP97" s="105" t="str">
        <f t="shared" ca="1" si="87"/>
        <v/>
      </c>
      <c r="BQ97" s="105" t="str">
        <f t="shared" ca="1" si="87"/>
        <v/>
      </c>
      <c r="BR97" s="105" t="str">
        <f t="shared" ca="1" si="87"/>
        <v/>
      </c>
      <c r="BS97" s="105" t="str">
        <f t="shared" ca="1" si="87"/>
        <v/>
      </c>
      <c r="BT97" s="105" t="str">
        <f t="shared" ca="1" si="87"/>
        <v/>
      </c>
      <c r="BU97" s="105" t="str">
        <f t="shared" ca="1" si="87"/>
        <v/>
      </c>
      <c r="BV97" s="105" t="str">
        <f t="shared" ca="1" si="87"/>
        <v/>
      </c>
      <c r="BW97" s="105" t="str">
        <f t="shared" ca="1" si="87"/>
        <v/>
      </c>
      <c r="BX97" s="105" t="str">
        <f t="shared" ca="1" si="87"/>
        <v/>
      </c>
      <c r="BY97" s="105" t="str">
        <f t="shared" ca="1" si="87"/>
        <v/>
      </c>
      <c r="BZ97" s="105" t="str">
        <f t="shared" ca="1" si="88"/>
        <v/>
      </c>
      <c r="CA97" s="105" t="str">
        <f t="shared" ca="1" si="88"/>
        <v/>
      </c>
      <c r="CB97" s="105" t="str">
        <f t="shared" ca="1" si="88"/>
        <v/>
      </c>
      <c r="CC97" s="105" t="str">
        <f t="shared" ca="1" si="88"/>
        <v/>
      </c>
      <c r="CD97" s="105" t="str">
        <f t="shared" ca="1" si="88"/>
        <v/>
      </c>
      <c r="CE97" s="105" t="str">
        <f t="shared" ca="1" si="88"/>
        <v/>
      </c>
      <c r="CF97" s="105" t="str">
        <f t="shared" ca="1" si="88"/>
        <v/>
      </c>
      <c r="CG97" s="105" t="str">
        <f t="shared" ca="1" si="88"/>
        <v/>
      </c>
      <c r="CH97" s="105" t="str">
        <f t="shared" ca="1" si="88"/>
        <v/>
      </c>
      <c r="CI97" s="105" t="str">
        <f t="shared" ca="1" si="88"/>
        <v/>
      </c>
      <c r="CJ97" s="105" t="str">
        <f t="shared" ca="1" si="89"/>
        <v/>
      </c>
      <c r="CK97" s="105" t="str">
        <f t="shared" ca="1" si="89"/>
        <v/>
      </c>
      <c r="CL97" s="105" t="str">
        <f t="shared" ca="1" si="89"/>
        <v/>
      </c>
      <c r="CM97" s="105" t="str">
        <f t="shared" ca="1" si="89"/>
        <v/>
      </c>
      <c r="CN97" s="105" t="str">
        <f t="shared" ca="1" si="89"/>
        <v/>
      </c>
      <c r="CO97" s="105" t="str">
        <f t="shared" ca="1" si="89"/>
        <v/>
      </c>
      <c r="CP97" s="105" t="str">
        <f t="shared" ca="1" si="89"/>
        <v/>
      </c>
      <c r="CQ97" s="105" t="str">
        <f t="shared" ca="1" si="89"/>
        <v/>
      </c>
      <c r="CR97" s="105" t="str">
        <f t="shared" ca="1" si="90"/>
        <v/>
      </c>
      <c r="CS97" s="105" t="str">
        <f t="shared" ca="1" si="90"/>
        <v/>
      </c>
      <c r="CT97" s="105" t="str">
        <f t="shared" ca="1" si="90"/>
        <v/>
      </c>
      <c r="CU97" s="105" t="str">
        <f t="shared" ca="1" si="90"/>
        <v/>
      </c>
      <c r="CV97" s="105" t="str">
        <f t="shared" ca="1" si="90"/>
        <v/>
      </c>
      <c r="CW97" s="105" t="str">
        <f t="shared" ca="1" si="90"/>
        <v/>
      </c>
      <c r="CX97" s="105" t="str">
        <f t="shared" ca="1" si="90"/>
        <v/>
      </c>
      <c r="CY97" s="105" t="str">
        <f t="shared" ca="1" si="90"/>
        <v/>
      </c>
      <c r="CZ97" s="105" t="str">
        <f t="shared" ca="1" si="90"/>
        <v/>
      </c>
      <c r="DA97" s="105" t="str">
        <f t="shared" ca="1" si="90"/>
        <v/>
      </c>
      <c r="DB97" s="105" t="str">
        <f t="shared" ca="1" si="90"/>
        <v/>
      </c>
      <c r="DC97" s="105" t="str">
        <f t="shared" ca="1" si="90"/>
        <v/>
      </c>
      <c r="DD97" s="105" t="str">
        <f t="shared" ca="1" si="90"/>
        <v/>
      </c>
      <c r="DE97" s="105" t="str">
        <f t="shared" ca="1" si="84"/>
        <v/>
      </c>
      <c r="DF97" s="105" t="str">
        <f t="shared" ca="1" si="84"/>
        <v/>
      </c>
      <c r="DG97" s="105" t="str">
        <f t="shared" ca="1" si="84"/>
        <v/>
      </c>
      <c r="DH97" s="105" t="str">
        <f t="shared" ca="1" si="84"/>
        <v/>
      </c>
      <c r="DI97" s="105" t="str">
        <f t="shared" ca="1" si="84"/>
        <v/>
      </c>
      <c r="DJ97" s="105" t="str">
        <f t="shared" ca="1" si="84"/>
        <v/>
      </c>
      <c r="DK97" s="105" t="str">
        <f t="shared" ca="1" si="84"/>
        <v/>
      </c>
      <c r="DL97" s="105" t="str">
        <f t="shared" ca="1" si="84"/>
        <v/>
      </c>
      <c r="DM97" s="105" t="str">
        <f t="shared" ca="1" si="84"/>
        <v/>
      </c>
      <c r="DN97" s="105" t="str">
        <f t="shared" ca="1" si="84"/>
        <v/>
      </c>
      <c r="DO97" s="105" t="str">
        <f t="shared" ca="1" si="84"/>
        <v/>
      </c>
      <c r="DP97" s="105" t="str">
        <f t="shared" ca="1" si="84"/>
        <v/>
      </c>
      <c r="DQ97" s="105" t="str">
        <f t="shared" ca="1" si="84"/>
        <v/>
      </c>
      <c r="DR97" s="105" t="str">
        <f t="shared" ca="1" si="84"/>
        <v/>
      </c>
      <c r="DS97" s="105" t="str">
        <f t="shared" ca="1" si="84"/>
        <v/>
      </c>
      <c r="DT97" s="105" t="str">
        <f t="shared" ca="1" si="84"/>
        <v/>
      </c>
      <c r="DU97" s="105" t="str">
        <f t="shared" ca="1" si="84"/>
        <v/>
      </c>
      <c r="DV97" s="105" t="str">
        <f t="shared" ca="1" si="84"/>
        <v/>
      </c>
      <c r="DW97" s="105" t="str">
        <f t="shared" ca="1" si="84"/>
        <v/>
      </c>
      <c r="DX97" s="105" t="str">
        <f t="shared" ca="1" si="84"/>
        <v/>
      </c>
      <c r="DY97" s="105" t="str">
        <f t="shared" ca="1" si="84"/>
        <v/>
      </c>
      <c r="DZ97" s="105" t="str">
        <f t="shared" ca="1" si="84"/>
        <v/>
      </c>
      <c r="EA97" s="105" t="str">
        <f t="shared" ca="1" si="84"/>
        <v/>
      </c>
      <c r="EB97" s="105" t="str">
        <f t="shared" ca="1" si="84"/>
        <v/>
      </c>
      <c r="EC97" s="105" t="str">
        <f t="shared" ca="1" si="84"/>
        <v/>
      </c>
      <c r="ED97" s="105" t="str">
        <f t="shared" ca="1" si="84"/>
        <v/>
      </c>
      <c r="EE97" s="105" t="str">
        <f t="shared" ca="1" si="84"/>
        <v/>
      </c>
      <c r="EF97" s="105" t="str">
        <f t="shared" ca="1" si="84"/>
        <v/>
      </c>
      <c r="EG97" s="105" t="str">
        <f t="shared" ca="1" si="84"/>
        <v/>
      </c>
      <c r="EH97" s="105" t="str">
        <f t="shared" ca="1" si="84"/>
        <v/>
      </c>
      <c r="EI97" s="105" t="str">
        <f t="shared" ca="1" si="84"/>
        <v/>
      </c>
      <c r="EJ97" s="105" t="str">
        <f t="shared" ca="1" si="84"/>
        <v/>
      </c>
      <c r="EK97" s="105" t="str">
        <f t="shared" ca="1" si="84"/>
        <v/>
      </c>
      <c r="EL97" s="105" t="str">
        <f t="shared" ca="1" si="84"/>
        <v/>
      </c>
      <c r="EM97" s="105" t="str">
        <f t="shared" ca="1" si="84"/>
        <v/>
      </c>
      <c r="EN97" s="105" t="str">
        <f t="shared" ca="1" si="84"/>
        <v/>
      </c>
      <c r="EO97" s="105" t="str">
        <f t="shared" ca="1" si="84"/>
        <v/>
      </c>
      <c r="EP97" s="105" t="str">
        <f t="shared" ca="1" si="84"/>
        <v/>
      </c>
      <c r="EQ97" s="105" t="str">
        <f t="shared" ca="1" si="84"/>
        <v/>
      </c>
      <c r="ER97" s="105" t="str">
        <f t="shared" ca="1" si="84"/>
        <v/>
      </c>
      <c r="ES97" s="105" t="str">
        <f t="shared" ca="1" si="84"/>
        <v/>
      </c>
      <c r="ET97" s="105" t="str">
        <f t="shared" ca="1" si="84"/>
        <v/>
      </c>
      <c r="EU97" s="105" t="str">
        <f t="shared" ca="1" si="84"/>
        <v/>
      </c>
      <c r="EV97" s="105" t="str">
        <f t="shared" ca="1" si="84"/>
        <v/>
      </c>
      <c r="EW97" s="105" t="str">
        <f t="shared" ca="1" si="84"/>
        <v/>
      </c>
      <c r="EX97" s="105" t="str">
        <f t="shared" ca="1" si="84"/>
        <v/>
      </c>
      <c r="EY97" s="105"/>
      <c r="EZ97" s="105"/>
      <c r="FA97" s="105"/>
      <c r="FB97" s="105"/>
      <c r="FC97" s="105"/>
      <c r="FD97" s="105"/>
      <c r="FE97" s="105"/>
      <c r="FF97" s="105"/>
      <c r="FG97" s="105"/>
      <c r="FH97" s="105"/>
      <c r="FI97" s="105"/>
      <c r="FJ97" s="105"/>
      <c r="FK97" s="105"/>
      <c r="FL97" s="105"/>
      <c r="FM97" s="105"/>
      <c r="FN97" s="105"/>
      <c r="FO97" s="105"/>
      <c r="FP97" s="105"/>
      <c r="FQ97" s="105"/>
      <c r="FR97" s="105"/>
      <c r="FS97" s="105"/>
      <c r="FT97" s="105"/>
      <c r="FU97" s="105"/>
      <c r="FV97" s="105"/>
      <c r="FW97" s="105"/>
      <c r="FX97" s="105"/>
      <c r="FY97" s="105"/>
      <c r="FZ97" s="105"/>
      <c r="GA97" s="105"/>
      <c r="GB97" s="105"/>
      <c r="GC97" s="105"/>
      <c r="GD97" s="105"/>
      <c r="GE97" s="105"/>
      <c r="GF97" s="105"/>
      <c r="GG97" s="105"/>
      <c r="GH97" s="105"/>
      <c r="GI97" s="105"/>
      <c r="GJ97" s="105"/>
      <c r="GK97" s="105"/>
      <c r="GL97" s="105"/>
      <c r="GM97" s="105"/>
      <c r="GN97" s="105"/>
      <c r="GO97" s="105"/>
      <c r="GP97" s="105"/>
      <c r="GQ97" s="105"/>
      <c r="GR97" s="105"/>
      <c r="GS97" s="105"/>
      <c r="GT97" s="105"/>
      <c r="GU97" s="105"/>
      <c r="GV97" s="105"/>
      <c r="GW97" s="105"/>
      <c r="GX97" s="105"/>
      <c r="GY97" s="105"/>
      <c r="GZ97" s="105"/>
      <c r="HA97" s="105"/>
      <c r="HB97" s="105"/>
      <c r="HC97" s="105"/>
      <c r="HD97" s="105"/>
      <c r="HE97" s="105"/>
      <c r="HF97" s="105"/>
      <c r="HG97" s="105"/>
      <c r="HH97" s="105"/>
      <c r="HI97" s="105"/>
      <c r="HJ97" s="105"/>
      <c r="HK97" s="105"/>
      <c r="HL97" s="105"/>
      <c r="HM97" s="105"/>
      <c r="HN97" s="105"/>
      <c r="HO97" s="105"/>
      <c r="HP97" s="105"/>
      <c r="HQ97" s="105"/>
      <c r="HR97" s="105"/>
      <c r="HS97" s="105"/>
      <c r="HT97" s="105"/>
      <c r="HU97" s="105"/>
      <c r="HV97" s="105"/>
      <c r="HW97" s="105"/>
      <c r="HX97" s="105"/>
      <c r="HY97" s="105"/>
      <c r="HZ97" s="105"/>
      <c r="IA97" s="105"/>
      <c r="IB97" s="105"/>
      <c r="IC97" s="105"/>
      <c r="ID97" s="105"/>
      <c r="IE97" s="105"/>
      <c r="IF97" s="105"/>
      <c r="IG97" s="105"/>
      <c r="IH97" s="105"/>
      <c r="II97" s="105"/>
      <c r="IJ97" s="105"/>
      <c r="IK97" s="105"/>
      <c r="IL97" s="105"/>
      <c r="IM97" s="105"/>
      <c r="IN97" s="105"/>
      <c r="IO97" s="105"/>
      <c r="IP97" s="105"/>
      <c r="IQ97" s="105"/>
      <c r="IR97" s="105"/>
    </row>
    <row r="98" spans="2:252" s="149" customFormat="1" ht="15" customHeight="1" outlineLevel="1">
      <c r="B98" s="86" t="s">
        <v>251</v>
      </c>
      <c r="C98" s="146" t="s">
        <v>250</v>
      </c>
      <c r="D98" s="103"/>
      <c r="E98" s="82">
        <v>46023</v>
      </c>
      <c r="F98" s="83">
        <f>NETWORKDAYS(E98,G98,Праздники!$A$1:$A$14)</f>
        <v>115</v>
      </c>
      <c r="G98" s="82">
        <v>46199</v>
      </c>
      <c r="H98" s="84">
        <v>1</v>
      </c>
      <c r="I98" s="103" t="s">
        <v>151</v>
      </c>
      <c r="J98" s="85" t="s">
        <v>243</v>
      </c>
      <c r="K98" s="85"/>
      <c r="L98" s="85"/>
      <c r="M98" s="132" t="s">
        <v>242</v>
      </c>
      <c r="N98" s="85"/>
      <c r="O98" s="85"/>
      <c r="P98" s="147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148"/>
      <c r="AE98" s="148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  <c r="BI98" s="148"/>
      <c r="BJ98" s="148"/>
      <c r="BK98" s="148"/>
      <c r="BL98" s="148"/>
      <c r="BM98" s="148"/>
      <c r="BN98" s="148"/>
      <c r="BO98" s="148"/>
      <c r="BP98" s="148"/>
      <c r="BQ98" s="148"/>
      <c r="BR98" s="148"/>
      <c r="BS98" s="148"/>
      <c r="BT98" s="148"/>
      <c r="BU98" s="148"/>
      <c r="BV98" s="148"/>
      <c r="BW98" s="148"/>
      <c r="BX98" s="148"/>
      <c r="BY98" s="148"/>
      <c r="BZ98" s="148"/>
      <c r="CA98" s="148"/>
      <c r="CB98" s="148"/>
      <c r="CC98" s="148"/>
      <c r="CD98" s="148"/>
      <c r="CE98" s="148"/>
      <c r="CF98" s="148"/>
      <c r="CG98" s="148"/>
      <c r="CH98" s="148"/>
      <c r="CI98" s="148"/>
      <c r="CJ98" s="148"/>
      <c r="CK98" s="148"/>
      <c r="CL98" s="148"/>
      <c r="CM98" s="148"/>
      <c r="CN98" s="148"/>
      <c r="CO98" s="148"/>
      <c r="CP98" s="148"/>
      <c r="CQ98" s="148"/>
      <c r="CR98" s="148"/>
      <c r="CS98" s="148"/>
      <c r="CT98" s="148"/>
      <c r="CU98" s="148"/>
      <c r="CV98" s="148"/>
      <c r="CW98" s="148"/>
      <c r="CX98" s="148"/>
      <c r="CY98" s="148"/>
      <c r="CZ98" s="148"/>
      <c r="DA98" s="148"/>
      <c r="DB98" s="148"/>
      <c r="DC98" s="148"/>
      <c r="DD98" s="148"/>
      <c r="DE98" s="148"/>
      <c r="DF98" s="148"/>
      <c r="DG98" s="148"/>
      <c r="DH98" s="148"/>
      <c r="DI98" s="148"/>
      <c r="DJ98" s="148"/>
      <c r="DK98" s="148"/>
      <c r="DL98" s="148"/>
      <c r="DM98" s="148"/>
      <c r="DN98" s="148"/>
      <c r="DO98" s="148"/>
      <c r="DP98" s="148"/>
      <c r="DQ98" s="148"/>
      <c r="DR98" s="148"/>
      <c r="DS98" s="148"/>
      <c r="DT98" s="148"/>
      <c r="DU98" s="148"/>
      <c r="DV98" s="148"/>
      <c r="DW98" s="148"/>
      <c r="DX98" s="148"/>
      <c r="DY98" s="148"/>
      <c r="DZ98" s="148"/>
      <c r="EA98" s="148"/>
      <c r="EB98" s="148"/>
      <c r="EC98" s="148"/>
      <c r="ED98" s="148"/>
      <c r="EE98" s="148"/>
      <c r="EF98" s="148"/>
      <c r="EG98" s="148"/>
      <c r="EH98" s="148"/>
      <c r="EI98" s="148"/>
      <c r="EJ98" s="148"/>
      <c r="EK98" s="148"/>
      <c r="EL98" s="148"/>
      <c r="EM98" s="148"/>
      <c r="EN98" s="148"/>
      <c r="EO98" s="148"/>
      <c r="EP98" s="148"/>
      <c r="EQ98" s="148"/>
      <c r="ER98" s="148"/>
      <c r="ES98" s="148"/>
      <c r="ET98" s="148"/>
      <c r="EU98" s="148"/>
      <c r="EV98" s="148"/>
      <c r="EW98" s="148"/>
      <c r="EX98" s="148"/>
      <c r="EY98" s="148"/>
      <c r="EZ98" s="148"/>
      <c r="FA98" s="148"/>
      <c r="FB98" s="148"/>
      <c r="FC98" s="148"/>
      <c r="FD98" s="148"/>
      <c r="FE98" s="148"/>
      <c r="FF98" s="148"/>
      <c r="FG98" s="148"/>
      <c r="FH98" s="148"/>
      <c r="FI98" s="148"/>
      <c r="FJ98" s="148"/>
      <c r="FK98" s="148"/>
      <c r="FL98" s="148"/>
      <c r="FM98" s="148"/>
      <c r="FN98" s="148"/>
      <c r="FO98" s="148"/>
      <c r="FP98" s="148"/>
      <c r="FQ98" s="148"/>
      <c r="FR98" s="148"/>
      <c r="FS98" s="148"/>
      <c r="FT98" s="148"/>
      <c r="FU98" s="148"/>
      <c r="FV98" s="148"/>
      <c r="FW98" s="148"/>
      <c r="FX98" s="148"/>
      <c r="FY98" s="148"/>
      <c r="FZ98" s="148"/>
      <c r="GA98" s="148"/>
      <c r="GB98" s="148"/>
      <c r="GC98" s="148"/>
      <c r="GD98" s="148"/>
      <c r="GE98" s="148"/>
      <c r="GF98" s="148"/>
      <c r="GG98" s="148"/>
      <c r="GH98" s="148"/>
      <c r="GI98" s="148"/>
      <c r="GJ98" s="148"/>
      <c r="GK98" s="148"/>
      <c r="GL98" s="148"/>
      <c r="GM98" s="148"/>
      <c r="GN98" s="148"/>
      <c r="GO98" s="148"/>
      <c r="GP98" s="148"/>
      <c r="GQ98" s="148"/>
      <c r="GR98" s="148"/>
      <c r="GS98" s="148"/>
      <c r="GT98" s="148"/>
      <c r="GU98" s="148"/>
      <c r="GV98" s="148"/>
      <c r="GW98" s="148"/>
      <c r="GX98" s="148"/>
      <c r="GY98" s="148"/>
      <c r="GZ98" s="148"/>
      <c r="HA98" s="148"/>
      <c r="HB98" s="148"/>
      <c r="HC98" s="148"/>
      <c r="HD98" s="148"/>
      <c r="HE98" s="148"/>
      <c r="HF98" s="148"/>
      <c r="HG98" s="148"/>
      <c r="HH98" s="148"/>
      <c r="HI98" s="148"/>
      <c r="HJ98" s="148"/>
      <c r="HK98" s="148"/>
      <c r="HL98" s="148"/>
      <c r="HM98" s="148"/>
      <c r="HN98" s="148"/>
      <c r="HO98" s="148"/>
      <c r="HP98" s="148"/>
      <c r="HQ98" s="148"/>
      <c r="HR98" s="148"/>
      <c r="HS98" s="148"/>
      <c r="HT98" s="148"/>
      <c r="HU98" s="148"/>
      <c r="HV98" s="148"/>
      <c r="HW98" s="148"/>
      <c r="HX98" s="148"/>
      <c r="HY98" s="148"/>
      <c r="HZ98" s="148"/>
      <c r="IA98" s="148"/>
      <c r="IB98" s="148"/>
      <c r="IC98" s="148"/>
      <c r="ID98" s="148"/>
      <c r="IE98" s="148"/>
      <c r="IF98" s="148"/>
      <c r="IG98" s="148"/>
      <c r="IH98" s="148"/>
      <c r="II98" s="148"/>
      <c r="IJ98" s="148"/>
      <c r="IK98" s="148"/>
      <c r="IL98" s="148"/>
      <c r="IM98" s="148"/>
      <c r="IN98" s="148"/>
      <c r="IO98" s="148"/>
      <c r="IP98" s="148"/>
      <c r="IQ98" s="148"/>
      <c r="IR98" s="148"/>
    </row>
    <row r="99" spans="2:252" s="149" customFormat="1" outlineLevel="1">
      <c r="B99" s="86" t="s">
        <v>255</v>
      </c>
      <c r="C99" s="146" t="s">
        <v>252</v>
      </c>
      <c r="D99" s="103"/>
      <c r="E99" s="82">
        <v>46272</v>
      </c>
      <c r="F99" s="83">
        <f>NETWORKDAYS(E99,G99,Праздники!$A$1:$A$14)</f>
        <v>10</v>
      </c>
      <c r="G99" s="82">
        <v>46283</v>
      </c>
      <c r="H99" s="84">
        <v>0.2</v>
      </c>
      <c r="I99" s="103" t="s">
        <v>253</v>
      </c>
      <c r="J99" s="85" t="s">
        <v>254</v>
      </c>
      <c r="K99" s="103" t="s">
        <v>151</v>
      </c>
      <c r="L99" s="85"/>
      <c r="M99" s="85"/>
      <c r="N99" s="85" t="s">
        <v>256</v>
      </c>
      <c r="O99" s="85"/>
      <c r="P99" s="147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  <c r="AC99" s="148"/>
      <c r="AD99" s="148"/>
      <c r="AE99" s="148"/>
      <c r="AF99" s="148"/>
      <c r="AG99" s="148"/>
      <c r="AH99" s="148"/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  <c r="BI99" s="148"/>
      <c r="BJ99" s="148"/>
      <c r="BK99" s="148"/>
      <c r="BL99" s="148"/>
      <c r="BM99" s="148"/>
      <c r="BN99" s="148"/>
      <c r="BO99" s="148"/>
      <c r="BP99" s="148"/>
      <c r="BQ99" s="148"/>
      <c r="BR99" s="148"/>
      <c r="BS99" s="148"/>
      <c r="BT99" s="148"/>
      <c r="BU99" s="148"/>
      <c r="BV99" s="148"/>
      <c r="BW99" s="148"/>
      <c r="BX99" s="148"/>
      <c r="BY99" s="148"/>
      <c r="BZ99" s="148"/>
      <c r="CA99" s="148"/>
      <c r="CB99" s="148"/>
      <c r="CC99" s="148"/>
      <c r="CD99" s="148"/>
      <c r="CE99" s="148"/>
      <c r="CF99" s="148"/>
      <c r="CG99" s="148"/>
      <c r="CH99" s="148"/>
      <c r="CI99" s="148"/>
      <c r="CJ99" s="148"/>
      <c r="CK99" s="148"/>
      <c r="CL99" s="148"/>
      <c r="CM99" s="148"/>
      <c r="CN99" s="148"/>
      <c r="CO99" s="148"/>
      <c r="CP99" s="148"/>
      <c r="CQ99" s="148"/>
      <c r="CR99" s="148"/>
      <c r="CS99" s="148"/>
      <c r="CT99" s="148"/>
      <c r="CU99" s="148"/>
      <c r="CV99" s="148"/>
      <c r="CW99" s="148"/>
      <c r="CX99" s="148"/>
      <c r="CY99" s="148"/>
      <c r="CZ99" s="148"/>
      <c r="DA99" s="148"/>
      <c r="DB99" s="148"/>
      <c r="DC99" s="148"/>
      <c r="DD99" s="148"/>
      <c r="DE99" s="148"/>
      <c r="DF99" s="148"/>
      <c r="DG99" s="148"/>
      <c r="DH99" s="148"/>
      <c r="DI99" s="148"/>
      <c r="DJ99" s="148"/>
      <c r="DK99" s="148"/>
      <c r="DL99" s="148"/>
      <c r="DM99" s="148"/>
      <c r="DN99" s="148"/>
      <c r="DO99" s="148"/>
      <c r="DP99" s="148"/>
      <c r="DQ99" s="148"/>
      <c r="DR99" s="148"/>
      <c r="DS99" s="148"/>
      <c r="DT99" s="148"/>
      <c r="DU99" s="148"/>
      <c r="DV99" s="148"/>
      <c r="DW99" s="148"/>
      <c r="DX99" s="148"/>
      <c r="DY99" s="148"/>
      <c r="DZ99" s="148"/>
      <c r="EA99" s="148"/>
      <c r="EB99" s="148"/>
      <c r="EC99" s="148"/>
      <c r="ED99" s="148"/>
      <c r="EE99" s="148"/>
      <c r="EF99" s="148"/>
      <c r="EG99" s="148"/>
      <c r="EH99" s="148"/>
      <c r="EI99" s="148"/>
      <c r="EJ99" s="148"/>
      <c r="EK99" s="148"/>
      <c r="EL99" s="148"/>
      <c r="EM99" s="148"/>
      <c r="EN99" s="148"/>
      <c r="EO99" s="148"/>
      <c r="EP99" s="148"/>
      <c r="EQ99" s="148"/>
      <c r="ER99" s="148"/>
      <c r="ES99" s="148"/>
      <c r="ET99" s="148"/>
      <c r="EU99" s="148"/>
      <c r="EV99" s="148"/>
      <c r="EW99" s="148"/>
      <c r="EX99" s="148"/>
      <c r="EY99" s="148"/>
      <c r="EZ99" s="148"/>
      <c r="FA99" s="148"/>
      <c r="FB99" s="148"/>
      <c r="FC99" s="148"/>
      <c r="FD99" s="148"/>
      <c r="FE99" s="148"/>
      <c r="FF99" s="148"/>
      <c r="FG99" s="148"/>
      <c r="FH99" s="148"/>
      <c r="FI99" s="148"/>
      <c r="FJ99" s="148"/>
      <c r="FK99" s="148"/>
      <c r="FL99" s="148"/>
      <c r="FM99" s="148"/>
      <c r="FN99" s="148"/>
      <c r="FO99" s="148"/>
      <c r="FP99" s="148"/>
      <c r="FQ99" s="148"/>
      <c r="FR99" s="148"/>
      <c r="FS99" s="148"/>
      <c r="FT99" s="148"/>
      <c r="FU99" s="148"/>
      <c r="FV99" s="148"/>
      <c r="FW99" s="148"/>
      <c r="FX99" s="148"/>
      <c r="FY99" s="148"/>
      <c r="FZ99" s="148"/>
      <c r="GA99" s="148"/>
      <c r="GB99" s="148"/>
      <c r="GC99" s="148"/>
      <c r="GD99" s="148"/>
      <c r="GE99" s="148"/>
      <c r="GF99" s="148"/>
      <c r="GG99" s="148"/>
      <c r="GH99" s="148"/>
      <c r="GI99" s="148"/>
      <c r="GJ99" s="148"/>
      <c r="GK99" s="148"/>
      <c r="GL99" s="148"/>
      <c r="GM99" s="148"/>
      <c r="GN99" s="148"/>
      <c r="GO99" s="148"/>
      <c r="GP99" s="148"/>
      <c r="GQ99" s="148"/>
      <c r="GR99" s="148"/>
      <c r="GS99" s="148"/>
      <c r="GT99" s="148"/>
      <c r="GU99" s="148"/>
      <c r="GV99" s="148"/>
      <c r="GW99" s="148"/>
      <c r="GX99" s="148"/>
      <c r="GY99" s="148"/>
      <c r="GZ99" s="148"/>
      <c r="HA99" s="148"/>
      <c r="HB99" s="148"/>
      <c r="HC99" s="148"/>
      <c r="HD99" s="148"/>
      <c r="HE99" s="148"/>
      <c r="HF99" s="148"/>
      <c r="HG99" s="148"/>
      <c r="HH99" s="148"/>
      <c r="HI99" s="148"/>
      <c r="HJ99" s="148"/>
      <c r="HK99" s="148"/>
      <c r="HL99" s="148"/>
      <c r="HM99" s="148"/>
      <c r="HN99" s="148"/>
      <c r="HO99" s="148"/>
      <c r="HP99" s="148"/>
      <c r="HQ99" s="148"/>
      <c r="HR99" s="148"/>
      <c r="HS99" s="148"/>
      <c r="HT99" s="148"/>
      <c r="HU99" s="148"/>
      <c r="HV99" s="148"/>
      <c r="HW99" s="148"/>
      <c r="HX99" s="148"/>
      <c r="HY99" s="148"/>
      <c r="HZ99" s="148"/>
      <c r="IA99" s="148"/>
      <c r="IB99" s="148"/>
      <c r="IC99" s="148"/>
      <c r="ID99" s="148"/>
      <c r="IE99" s="148"/>
      <c r="IF99" s="148"/>
      <c r="IG99" s="148"/>
      <c r="IH99" s="148"/>
      <c r="II99" s="148"/>
      <c r="IJ99" s="148"/>
      <c r="IK99" s="148"/>
      <c r="IL99" s="148"/>
      <c r="IM99" s="148"/>
      <c r="IN99" s="148"/>
      <c r="IO99" s="148"/>
      <c r="IP99" s="148"/>
      <c r="IQ99" s="148"/>
      <c r="IR99" s="148"/>
    </row>
    <row r="100" spans="2:252" s="149" customFormat="1" outlineLevel="1">
      <c r="B100" s="146" t="s">
        <v>96</v>
      </c>
      <c r="C100" s="146" t="s">
        <v>68</v>
      </c>
      <c r="D100" s="103" t="s">
        <v>18</v>
      </c>
      <c r="E100" s="82">
        <v>46230</v>
      </c>
      <c r="F100" s="83">
        <f>NETWORKDAYS(E100,G100,Праздники!$A$1:$A$14)</f>
        <v>15</v>
      </c>
      <c r="G100" s="82">
        <v>46249</v>
      </c>
      <c r="H100" s="84"/>
      <c r="I100" s="103" t="s">
        <v>160</v>
      </c>
      <c r="J100" s="85"/>
      <c r="K100" s="85"/>
      <c r="L100" s="85"/>
      <c r="M100" s="85"/>
      <c r="N100" s="85"/>
      <c r="O100" s="85"/>
      <c r="P100" s="147" t="str">
        <f t="shared" ca="1" si="82"/>
        <v/>
      </c>
      <c r="Q100" s="148" t="str">
        <f t="shared" ca="1" si="82"/>
        <v/>
      </c>
      <c r="R100" s="148" t="str">
        <f t="shared" ca="1" si="82"/>
        <v/>
      </c>
      <c r="S100" s="148" t="str">
        <f t="shared" ca="1" si="82"/>
        <v/>
      </c>
      <c r="T100" s="148" t="str">
        <f t="shared" ca="1" si="82"/>
        <v/>
      </c>
      <c r="U100" s="148" t="str">
        <f t="shared" ca="1" si="82"/>
        <v/>
      </c>
      <c r="V100" s="148" t="str">
        <f t="shared" ca="1" si="82"/>
        <v/>
      </c>
      <c r="W100" s="148" t="str">
        <f t="shared" ca="1" si="82"/>
        <v/>
      </c>
      <c r="X100" s="148" t="str">
        <f t="shared" ca="1" si="82"/>
        <v/>
      </c>
      <c r="Y100" s="148" t="str">
        <f t="shared" ca="1" si="82"/>
        <v/>
      </c>
      <c r="Z100" s="148" t="str">
        <f t="shared" ca="1" si="82"/>
        <v/>
      </c>
      <c r="AA100" s="148" t="str">
        <f t="shared" ca="1" si="82"/>
        <v/>
      </c>
      <c r="AB100" s="148" t="str">
        <f t="shared" ca="1" si="82"/>
        <v/>
      </c>
      <c r="AC100" s="148" t="str">
        <f t="shared" ca="1" si="82"/>
        <v/>
      </c>
      <c r="AD100" s="148" t="str">
        <f t="shared" ca="1" si="82"/>
        <v/>
      </c>
      <c r="AE100" s="148" t="str">
        <f t="shared" ca="1" si="82"/>
        <v/>
      </c>
      <c r="AF100" s="148" t="str">
        <f t="shared" ca="1" si="70"/>
        <v/>
      </c>
      <c r="AG100" s="148" t="str">
        <f t="shared" ca="1" si="70"/>
        <v/>
      </c>
      <c r="AH100" s="148" t="str">
        <f t="shared" ca="1" si="70"/>
        <v/>
      </c>
      <c r="AI100" s="148" t="str">
        <f t="shared" ca="1" si="70"/>
        <v/>
      </c>
      <c r="AJ100" s="148" t="str">
        <f t="shared" ca="1" si="70"/>
        <v/>
      </c>
      <c r="AK100" s="148" t="str">
        <f t="shared" ca="1" si="70"/>
        <v/>
      </c>
      <c r="AL100" s="148" t="str">
        <f t="shared" ca="1" si="70"/>
        <v/>
      </c>
      <c r="AM100" s="148" t="str">
        <f t="shared" ca="1" si="70"/>
        <v/>
      </c>
      <c r="AN100" s="148" t="str">
        <f t="shared" ca="1" si="70"/>
        <v/>
      </c>
      <c r="AO100" s="148" t="str">
        <f t="shared" ca="1" si="70"/>
        <v/>
      </c>
      <c r="AP100" s="148" t="str">
        <f t="shared" ca="1" si="70"/>
        <v/>
      </c>
      <c r="AQ100" s="148" t="str">
        <f t="shared" ca="1" si="70"/>
        <v/>
      </c>
      <c r="AR100" s="148" t="str">
        <f t="shared" ca="1" si="70"/>
        <v/>
      </c>
      <c r="AS100" s="148" t="str">
        <f t="shared" ca="1" si="70"/>
        <v/>
      </c>
      <c r="AT100" s="148" t="str">
        <f t="shared" ca="1" si="70"/>
        <v/>
      </c>
      <c r="AU100" s="148" t="str">
        <f t="shared" ca="1" si="70"/>
        <v/>
      </c>
      <c r="AV100" s="148" t="str">
        <f t="shared" ca="1" si="85"/>
        <v/>
      </c>
      <c r="AW100" s="148" t="str">
        <f t="shared" ca="1" si="85"/>
        <v/>
      </c>
      <c r="AX100" s="148" t="str">
        <f t="shared" ca="1" si="85"/>
        <v/>
      </c>
      <c r="AY100" s="148" t="str">
        <f t="shared" ca="1" si="85"/>
        <v/>
      </c>
      <c r="AZ100" s="148" t="str">
        <f t="shared" ca="1" si="85"/>
        <v/>
      </c>
      <c r="BA100" s="148" t="str">
        <f t="shared" ca="1" si="85"/>
        <v/>
      </c>
      <c r="BB100" s="148" t="str">
        <f t="shared" ca="1" si="85"/>
        <v/>
      </c>
      <c r="BC100" s="148" t="str">
        <f t="shared" ca="1" si="85"/>
        <v/>
      </c>
      <c r="BD100" s="148" t="str">
        <f t="shared" ca="1" si="85"/>
        <v/>
      </c>
      <c r="BE100" s="148" t="str">
        <f t="shared" ca="1" si="85"/>
        <v/>
      </c>
      <c r="BF100" s="148" t="str">
        <f t="shared" ca="1" si="86"/>
        <v/>
      </c>
      <c r="BG100" s="148" t="str">
        <f t="shared" ca="1" si="86"/>
        <v/>
      </c>
      <c r="BH100" s="148" t="str">
        <f t="shared" ca="1" si="86"/>
        <v/>
      </c>
      <c r="BI100" s="148" t="str">
        <f t="shared" ca="1" si="86"/>
        <v/>
      </c>
      <c r="BJ100" s="148" t="str">
        <f t="shared" ca="1" si="86"/>
        <v/>
      </c>
      <c r="BK100" s="148" t="str">
        <f t="shared" ca="1" si="86"/>
        <v/>
      </c>
      <c r="BL100" s="148" t="str">
        <f t="shared" ca="1" si="86"/>
        <v/>
      </c>
      <c r="BM100" s="148" t="str">
        <f t="shared" ca="1" si="86"/>
        <v/>
      </c>
      <c r="BN100" s="148" t="str">
        <f t="shared" ca="1" si="86"/>
        <v/>
      </c>
      <c r="BO100" s="148" t="str">
        <f t="shared" ca="1" si="86"/>
        <v/>
      </c>
      <c r="BP100" s="148" t="str">
        <f t="shared" ca="1" si="87"/>
        <v/>
      </c>
      <c r="BQ100" s="148" t="str">
        <f t="shared" ca="1" si="87"/>
        <v/>
      </c>
      <c r="BR100" s="148" t="str">
        <f t="shared" ca="1" si="87"/>
        <v/>
      </c>
      <c r="BS100" s="148" t="str">
        <f t="shared" ca="1" si="87"/>
        <v/>
      </c>
      <c r="BT100" s="148" t="str">
        <f t="shared" ca="1" si="87"/>
        <v/>
      </c>
      <c r="BU100" s="148" t="str">
        <f t="shared" ca="1" si="87"/>
        <v/>
      </c>
      <c r="BV100" s="148" t="str">
        <f t="shared" ca="1" si="87"/>
        <v/>
      </c>
      <c r="BW100" s="148" t="str">
        <f t="shared" ca="1" si="87"/>
        <v/>
      </c>
      <c r="BX100" s="148" t="str">
        <f t="shared" ca="1" si="87"/>
        <v/>
      </c>
      <c r="BY100" s="148" t="str">
        <f t="shared" ca="1" si="87"/>
        <v/>
      </c>
      <c r="BZ100" s="148" t="str">
        <f t="shared" ca="1" si="88"/>
        <v/>
      </c>
      <c r="CA100" s="148" t="str">
        <f t="shared" ca="1" si="88"/>
        <v/>
      </c>
      <c r="CB100" s="148" t="str">
        <f t="shared" ca="1" si="88"/>
        <v/>
      </c>
      <c r="CC100" s="148" t="str">
        <f t="shared" ca="1" si="88"/>
        <v/>
      </c>
      <c r="CD100" s="148" t="str">
        <f t="shared" ca="1" si="88"/>
        <v/>
      </c>
      <c r="CE100" s="148" t="str">
        <f t="shared" ca="1" si="88"/>
        <v/>
      </c>
      <c r="CF100" s="148" t="str">
        <f t="shared" ca="1" si="88"/>
        <v/>
      </c>
      <c r="CG100" s="148" t="str">
        <f t="shared" ca="1" si="88"/>
        <v/>
      </c>
      <c r="CH100" s="148" t="str">
        <f t="shared" ca="1" si="88"/>
        <v/>
      </c>
      <c r="CI100" s="148" t="str">
        <f t="shared" ca="1" si="88"/>
        <v/>
      </c>
      <c r="CJ100" s="148" t="str">
        <f t="shared" ca="1" si="89"/>
        <v/>
      </c>
      <c r="CK100" s="148" t="str">
        <f t="shared" ca="1" si="89"/>
        <v/>
      </c>
      <c r="CL100" s="148" t="str">
        <f t="shared" ca="1" si="89"/>
        <v/>
      </c>
      <c r="CM100" s="148" t="str">
        <f t="shared" ca="1" si="89"/>
        <v/>
      </c>
      <c r="CN100" s="148" t="str">
        <f t="shared" ca="1" si="89"/>
        <v/>
      </c>
      <c r="CO100" s="148" t="str">
        <f t="shared" ca="1" si="89"/>
        <v/>
      </c>
      <c r="CP100" s="148" t="str">
        <f t="shared" ca="1" si="89"/>
        <v/>
      </c>
      <c r="CQ100" s="148" t="str">
        <f t="shared" ca="1" si="89"/>
        <v/>
      </c>
      <c r="CR100" s="148" t="str">
        <f t="shared" ca="1" si="90"/>
        <v/>
      </c>
      <c r="CS100" s="148" t="str">
        <f t="shared" ca="1" si="90"/>
        <v/>
      </c>
      <c r="CT100" s="148" t="str">
        <f t="shared" ca="1" si="90"/>
        <v/>
      </c>
      <c r="CU100" s="148" t="str">
        <f t="shared" ca="1" si="90"/>
        <v/>
      </c>
      <c r="CV100" s="148" t="str">
        <f t="shared" ca="1" si="90"/>
        <v/>
      </c>
      <c r="CW100" s="148" t="str">
        <f t="shared" ca="1" si="90"/>
        <v/>
      </c>
      <c r="CX100" s="148" t="str">
        <f t="shared" ca="1" si="90"/>
        <v/>
      </c>
      <c r="CY100" s="148" t="str">
        <f t="shared" ca="1" si="90"/>
        <v/>
      </c>
      <c r="CZ100" s="148" t="str">
        <f t="shared" ca="1" si="90"/>
        <v/>
      </c>
      <c r="DA100" s="148" t="str">
        <f t="shared" ca="1" si="90"/>
        <v/>
      </c>
      <c r="DB100" s="148" t="str">
        <f t="shared" ca="1" si="90"/>
        <v/>
      </c>
      <c r="DC100" s="148" t="str">
        <f t="shared" ca="1" si="90"/>
        <v/>
      </c>
      <c r="DD100" s="148" t="str">
        <f t="shared" ca="1" si="90"/>
        <v/>
      </c>
      <c r="DE100" s="148" t="str">
        <f t="shared" ca="1" si="84"/>
        <v/>
      </c>
      <c r="DF100" s="148" t="str">
        <f t="shared" ca="1" si="84"/>
        <v/>
      </c>
      <c r="DG100" s="148" t="str">
        <f t="shared" ca="1" si="84"/>
        <v/>
      </c>
      <c r="DH100" s="148" t="str">
        <f t="shared" ca="1" si="84"/>
        <v/>
      </c>
      <c r="DI100" s="148" t="str">
        <f t="shared" ca="1" si="84"/>
        <v/>
      </c>
      <c r="DJ100" s="148" t="str">
        <f t="shared" ca="1" si="84"/>
        <v/>
      </c>
      <c r="DK100" s="148" t="str">
        <f t="shared" ca="1" si="84"/>
        <v/>
      </c>
      <c r="DL100" s="148" t="str">
        <f t="shared" ca="1" si="84"/>
        <v/>
      </c>
      <c r="DM100" s="148" t="str">
        <f t="shared" ca="1" si="84"/>
        <v/>
      </c>
      <c r="DN100" s="148" t="str">
        <f t="shared" ca="1" si="84"/>
        <v/>
      </c>
      <c r="DO100" s="148" t="str">
        <f t="shared" ca="1" si="84"/>
        <v/>
      </c>
      <c r="DP100" s="148" t="str">
        <f t="shared" ca="1" si="84"/>
        <v/>
      </c>
      <c r="DQ100" s="148" t="str">
        <f t="shared" ca="1" si="84"/>
        <v/>
      </c>
      <c r="DR100" s="148" t="str">
        <f t="shared" ca="1" si="84"/>
        <v/>
      </c>
      <c r="DS100" s="148" t="str">
        <f t="shared" ca="1" si="84"/>
        <v/>
      </c>
      <c r="DT100" s="148" t="str">
        <f t="shared" ca="1" si="84"/>
        <v/>
      </c>
      <c r="DU100" s="148" t="str">
        <f t="shared" ca="1" si="84"/>
        <v/>
      </c>
      <c r="DV100" s="148" t="str">
        <f t="shared" ca="1" si="84"/>
        <v/>
      </c>
      <c r="DW100" s="148" t="str">
        <f t="shared" ca="1" si="84"/>
        <v/>
      </c>
      <c r="DX100" s="148" t="str">
        <f t="shared" ca="1" si="84"/>
        <v/>
      </c>
      <c r="DY100" s="148" t="str">
        <f t="shared" ca="1" si="84"/>
        <v/>
      </c>
      <c r="DZ100" s="148" t="str">
        <f t="shared" ca="1" si="84"/>
        <v/>
      </c>
      <c r="EA100" s="148" t="str">
        <f t="shared" ca="1" si="84"/>
        <v/>
      </c>
      <c r="EB100" s="148" t="str">
        <f t="shared" ca="1" si="84"/>
        <v/>
      </c>
      <c r="EC100" s="148" t="str">
        <f t="shared" ca="1" si="84"/>
        <v/>
      </c>
      <c r="ED100" s="148" t="str">
        <f t="shared" ca="1" si="84"/>
        <v/>
      </c>
      <c r="EE100" s="148" t="str">
        <f t="shared" ca="1" si="84"/>
        <v/>
      </c>
      <c r="EF100" s="148" t="str">
        <f t="shared" ca="1" si="84"/>
        <v/>
      </c>
      <c r="EG100" s="148" t="str">
        <f t="shared" ca="1" si="84"/>
        <v/>
      </c>
      <c r="EH100" s="148" t="str">
        <f t="shared" ca="1" si="84"/>
        <v/>
      </c>
      <c r="EI100" s="148" t="str">
        <f t="shared" ca="1" si="84"/>
        <v/>
      </c>
      <c r="EJ100" s="148" t="str">
        <f t="shared" ca="1" si="84"/>
        <v/>
      </c>
      <c r="EK100" s="148" t="str">
        <f t="shared" ca="1" si="84"/>
        <v/>
      </c>
      <c r="EL100" s="148" t="str">
        <f t="shared" ca="1" si="84"/>
        <v/>
      </c>
      <c r="EM100" s="148" t="str">
        <f t="shared" ca="1" si="84"/>
        <v/>
      </c>
      <c r="EN100" s="148" t="str">
        <f t="shared" ca="1" si="84"/>
        <v/>
      </c>
      <c r="EO100" s="148" t="str">
        <f t="shared" ca="1" si="84"/>
        <v/>
      </c>
      <c r="EP100" s="148" t="str">
        <f t="shared" ca="1" si="84"/>
        <v/>
      </c>
      <c r="EQ100" s="148" t="str">
        <f t="shared" ca="1" si="84"/>
        <v/>
      </c>
      <c r="ER100" s="148" t="str">
        <f t="shared" ca="1" si="84"/>
        <v/>
      </c>
      <c r="ES100" s="148" t="str">
        <f t="shared" ca="1" si="84"/>
        <v/>
      </c>
      <c r="ET100" s="148" t="str">
        <f t="shared" ca="1" si="84"/>
        <v/>
      </c>
      <c r="EU100" s="148" t="str">
        <f t="shared" ca="1" si="84"/>
        <v/>
      </c>
      <c r="EV100" s="148" t="str">
        <f t="shared" ca="1" si="84"/>
        <v/>
      </c>
      <c r="EW100" s="148" t="str">
        <f t="shared" ca="1" si="84"/>
        <v/>
      </c>
      <c r="EX100" s="148" t="str">
        <f t="shared" ca="1" si="84"/>
        <v/>
      </c>
      <c r="EY100" s="148"/>
      <c r="EZ100" s="148"/>
      <c r="FA100" s="148"/>
      <c r="FB100" s="148"/>
      <c r="FC100" s="148"/>
      <c r="FD100" s="148"/>
      <c r="FE100" s="148"/>
      <c r="FF100" s="148"/>
      <c r="FG100" s="148"/>
      <c r="FH100" s="148"/>
      <c r="FI100" s="148"/>
      <c r="FJ100" s="148"/>
      <c r="FK100" s="148"/>
      <c r="FL100" s="148"/>
      <c r="FM100" s="148"/>
      <c r="FN100" s="148"/>
      <c r="FO100" s="148"/>
      <c r="FP100" s="148"/>
      <c r="FQ100" s="148"/>
      <c r="FR100" s="148"/>
      <c r="FS100" s="148"/>
      <c r="FT100" s="148"/>
      <c r="FU100" s="148"/>
      <c r="FV100" s="148"/>
      <c r="FW100" s="148"/>
      <c r="FX100" s="148"/>
      <c r="FY100" s="148"/>
      <c r="FZ100" s="148"/>
      <c r="GA100" s="148"/>
      <c r="GB100" s="148"/>
      <c r="GC100" s="148"/>
      <c r="GD100" s="148"/>
      <c r="GE100" s="148"/>
      <c r="GF100" s="148"/>
      <c r="GG100" s="148"/>
      <c r="GH100" s="148"/>
      <c r="GI100" s="148"/>
      <c r="GJ100" s="148"/>
      <c r="GK100" s="148"/>
      <c r="GL100" s="148"/>
      <c r="GM100" s="148"/>
      <c r="GN100" s="148"/>
      <c r="GO100" s="148"/>
      <c r="GP100" s="148"/>
      <c r="GQ100" s="148"/>
      <c r="GR100" s="148"/>
      <c r="GS100" s="148"/>
      <c r="GT100" s="148"/>
      <c r="GU100" s="148"/>
      <c r="GV100" s="148"/>
      <c r="GW100" s="148"/>
      <c r="GX100" s="148"/>
      <c r="GY100" s="148"/>
      <c r="GZ100" s="148"/>
      <c r="HA100" s="148"/>
      <c r="HB100" s="148"/>
      <c r="HC100" s="148"/>
      <c r="HD100" s="148"/>
      <c r="HE100" s="148"/>
      <c r="HF100" s="148"/>
      <c r="HG100" s="148"/>
      <c r="HH100" s="148"/>
      <c r="HI100" s="148"/>
      <c r="HJ100" s="148"/>
      <c r="HK100" s="148"/>
      <c r="HL100" s="148"/>
      <c r="HM100" s="148"/>
      <c r="HN100" s="148"/>
      <c r="HO100" s="148"/>
      <c r="HP100" s="148"/>
      <c r="HQ100" s="148"/>
      <c r="HR100" s="148"/>
      <c r="HS100" s="148"/>
      <c r="HT100" s="148"/>
      <c r="HU100" s="148"/>
      <c r="HV100" s="148"/>
      <c r="HW100" s="148"/>
      <c r="HX100" s="148"/>
      <c r="HY100" s="148"/>
      <c r="HZ100" s="148"/>
      <c r="IA100" s="148"/>
      <c r="IB100" s="148"/>
      <c r="IC100" s="148"/>
      <c r="ID100" s="148"/>
      <c r="IE100" s="148"/>
      <c r="IF100" s="148"/>
      <c r="IG100" s="148"/>
      <c r="IH100" s="148"/>
      <c r="II100" s="148"/>
      <c r="IJ100" s="148"/>
      <c r="IK100" s="148"/>
      <c r="IL100" s="148"/>
      <c r="IM100" s="148"/>
      <c r="IN100" s="148"/>
      <c r="IO100" s="148"/>
      <c r="IP100" s="148"/>
      <c r="IQ100" s="148"/>
      <c r="IR100" s="148"/>
    </row>
    <row r="101" spans="2:252">
      <c r="B101" s="76" t="s">
        <v>299</v>
      </c>
      <c r="C101" s="77" t="s">
        <v>97</v>
      </c>
      <c r="D101" s="78" t="s">
        <v>18</v>
      </c>
      <c r="E101" s="79">
        <v>46174</v>
      </c>
      <c r="F101" s="78">
        <f>NETWORKDAYS(E101,G101,Праздники!$A$1:$A$14)</f>
        <v>87</v>
      </c>
      <c r="G101" s="79">
        <v>46295</v>
      </c>
      <c r="H101" s="133">
        <v>0.5</v>
      </c>
      <c r="I101" s="78" t="s">
        <v>160</v>
      </c>
      <c r="J101" s="58" t="s">
        <v>254</v>
      </c>
      <c r="K101" s="108"/>
      <c r="L101" s="108"/>
      <c r="M101" s="108"/>
      <c r="N101" s="108"/>
      <c r="O101" s="58"/>
      <c r="P101" s="104" t="str">
        <f t="shared" ca="1" si="82"/>
        <v/>
      </c>
      <c r="Q101" s="105" t="str">
        <f t="shared" ca="1" si="82"/>
        <v/>
      </c>
      <c r="R101" s="105" t="str">
        <f t="shared" ca="1" si="82"/>
        <v/>
      </c>
      <c r="S101" s="105" t="str">
        <f t="shared" ca="1" si="82"/>
        <v/>
      </c>
      <c r="T101" s="105" t="str">
        <f t="shared" ca="1" si="82"/>
        <v/>
      </c>
      <c r="U101" s="105" t="str">
        <f t="shared" ca="1" si="82"/>
        <v/>
      </c>
      <c r="V101" s="105" t="str">
        <f t="shared" ca="1" si="82"/>
        <v/>
      </c>
      <c r="W101" s="105" t="str">
        <f t="shared" ca="1" si="82"/>
        <v/>
      </c>
      <c r="X101" s="105" t="str">
        <f t="shared" ca="1" si="82"/>
        <v/>
      </c>
      <c r="Y101" s="105" t="str">
        <f t="shared" ca="1" si="82"/>
        <v/>
      </c>
      <c r="Z101" s="105" t="str">
        <f t="shared" ca="1" si="82"/>
        <v/>
      </c>
      <c r="AA101" s="105" t="str">
        <f t="shared" ca="1" si="82"/>
        <v/>
      </c>
      <c r="AB101" s="105" t="str">
        <f t="shared" ca="1" si="82"/>
        <v/>
      </c>
      <c r="AC101" s="105" t="str">
        <f t="shared" ca="1" si="82"/>
        <v/>
      </c>
      <c r="AD101" s="105" t="str">
        <f t="shared" ca="1" si="82"/>
        <v/>
      </c>
      <c r="AE101" s="105" t="str">
        <f t="shared" ca="1" si="82"/>
        <v/>
      </c>
      <c r="AF101" s="105" t="str">
        <f t="shared" ca="1" si="70"/>
        <v/>
      </c>
      <c r="AG101" s="105" t="str">
        <f t="shared" ca="1" si="70"/>
        <v/>
      </c>
      <c r="AH101" s="105" t="str">
        <f t="shared" ca="1" si="70"/>
        <v/>
      </c>
      <c r="AI101" s="105" t="str">
        <f t="shared" ca="1" si="70"/>
        <v/>
      </c>
      <c r="AJ101" s="105" t="str">
        <f t="shared" ca="1" si="70"/>
        <v/>
      </c>
      <c r="AK101" s="105" t="str">
        <f t="shared" ca="1" si="70"/>
        <v/>
      </c>
      <c r="AL101" s="105" t="str">
        <f t="shared" ca="1" si="70"/>
        <v/>
      </c>
      <c r="AM101" s="105" t="str">
        <f t="shared" ca="1" si="70"/>
        <v/>
      </c>
      <c r="AN101" s="105" t="str">
        <f t="shared" ca="1" si="70"/>
        <v/>
      </c>
      <c r="AO101" s="105" t="str">
        <f t="shared" ca="1" si="70"/>
        <v/>
      </c>
      <c r="AP101" s="105" t="str">
        <f t="shared" ca="1" si="70"/>
        <v/>
      </c>
      <c r="AQ101" s="105" t="str">
        <f t="shared" ca="1" si="70"/>
        <v/>
      </c>
      <c r="AR101" s="105" t="str">
        <f t="shared" ca="1" si="70"/>
        <v/>
      </c>
      <c r="AS101" s="105" t="str">
        <f t="shared" ca="1" si="70"/>
        <v/>
      </c>
      <c r="AT101" s="105" t="str">
        <f t="shared" ca="1" si="70"/>
        <v/>
      </c>
      <c r="AU101" s="105" t="str">
        <f t="shared" ca="1" si="70"/>
        <v/>
      </c>
      <c r="AV101" s="105" t="str">
        <f t="shared" ca="1" si="85"/>
        <v/>
      </c>
      <c r="AW101" s="105" t="str">
        <f t="shared" ca="1" si="85"/>
        <v/>
      </c>
      <c r="AX101" s="105" t="str">
        <f t="shared" ca="1" si="85"/>
        <v/>
      </c>
      <c r="AY101" s="105" t="str">
        <f t="shared" ca="1" si="85"/>
        <v/>
      </c>
      <c r="AZ101" s="105" t="str">
        <f t="shared" ca="1" si="85"/>
        <v/>
      </c>
      <c r="BA101" s="105" t="str">
        <f t="shared" ca="1" si="85"/>
        <v/>
      </c>
      <c r="BB101" s="105" t="str">
        <f t="shared" ca="1" si="85"/>
        <v/>
      </c>
      <c r="BC101" s="105" t="str">
        <f t="shared" ca="1" si="85"/>
        <v/>
      </c>
      <c r="BD101" s="105" t="str">
        <f t="shared" ca="1" si="85"/>
        <v/>
      </c>
      <c r="BE101" s="105" t="str">
        <f t="shared" ca="1" si="85"/>
        <v/>
      </c>
      <c r="BF101" s="105" t="str">
        <f t="shared" ca="1" si="86"/>
        <v/>
      </c>
      <c r="BG101" s="105" t="str">
        <f t="shared" ca="1" si="86"/>
        <v/>
      </c>
      <c r="BH101" s="105" t="str">
        <f t="shared" ca="1" si="86"/>
        <v/>
      </c>
      <c r="BI101" s="105" t="str">
        <f t="shared" ca="1" si="86"/>
        <v/>
      </c>
      <c r="BJ101" s="105" t="str">
        <f t="shared" ca="1" si="86"/>
        <v/>
      </c>
      <c r="BK101" s="105" t="str">
        <f t="shared" ca="1" si="86"/>
        <v/>
      </c>
      <c r="BL101" s="105" t="str">
        <f t="shared" ca="1" si="86"/>
        <v/>
      </c>
      <c r="BM101" s="105" t="str">
        <f t="shared" ca="1" si="86"/>
        <v/>
      </c>
      <c r="BN101" s="105" t="str">
        <f t="shared" ca="1" si="86"/>
        <v/>
      </c>
      <c r="BO101" s="105" t="str">
        <f t="shared" ca="1" si="86"/>
        <v/>
      </c>
      <c r="BP101" s="105" t="str">
        <f t="shared" ca="1" si="87"/>
        <v/>
      </c>
      <c r="BQ101" s="105" t="str">
        <f t="shared" ca="1" si="87"/>
        <v/>
      </c>
      <c r="BR101" s="105" t="str">
        <f t="shared" ca="1" si="87"/>
        <v/>
      </c>
      <c r="BS101" s="105" t="str">
        <f t="shared" ca="1" si="87"/>
        <v/>
      </c>
      <c r="BT101" s="105" t="str">
        <f t="shared" ca="1" si="87"/>
        <v/>
      </c>
      <c r="BU101" s="105" t="str">
        <f t="shared" ca="1" si="87"/>
        <v/>
      </c>
      <c r="BV101" s="105" t="str">
        <f t="shared" ca="1" si="87"/>
        <v/>
      </c>
      <c r="BW101" s="105" t="str">
        <f t="shared" ca="1" si="87"/>
        <v/>
      </c>
      <c r="BX101" s="105" t="str">
        <f t="shared" ca="1" si="87"/>
        <v/>
      </c>
      <c r="BY101" s="105" t="str">
        <f t="shared" ca="1" si="87"/>
        <v/>
      </c>
      <c r="BZ101" s="105" t="str">
        <f t="shared" ca="1" si="88"/>
        <v/>
      </c>
      <c r="CA101" s="105" t="str">
        <f t="shared" ca="1" si="88"/>
        <v/>
      </c>
      <c r="CB101" s="105" t="str">
        <f t="shared" ca="1" si="88"/>
        <v/>
      </c>
      <c r="CC101" s="105" t="str">
        <f t="shared" ca="1" si="88"/>
        <v/>
      </c>
      <c r="CD101" s="105" t="str">
        <f t="shared" ca="1" si="88"/>
        <v/>
      </c>
      <c r="CE101" s="105" t="str">
        <f t="shared" ca="1" si="88"/>
        <v/>
      </c>
      <c r="CF101" s="105" t="str">
        <f t="shared" ca="1" si="88"/>
        <v/>
      </c>
      <c r="CG101" s="105" t="str">
        <f t="shared" ca="1" si="88"/>
        <v/>
      </c>
      <c r="CH101" s="105" t="str">
        <f t="shared" ca="1" si="88"/>
        <v/>
      </c>
      <c r="CI101" s="105" t="str">
        <f t="shared" ca="1" si="88"/>
        <v/>
      </c>
      <c r="CJ101" s="105" t="str">
        <f t="shared" ca="1" si="89"/>
        <v/>
      </c>
      <c r="CK101" s="105" t="str">
        <f t="shared" ca="1" si="89"/>
        <v/>
      </c>
      <c r="CL101" s="105" t="str">
        <f t="shared" ca="1" si="89"/>
        <v/>
      </c>
      <c r="CM101" s="105" t="str">
        <f t="shared" ca="1" si="89"/>
        <v/>
      </c>
      <c r="CN101" s="105" t="str">
        <f t="shared" ca="1" si="89"/>
        <v/>
      </c>
      <c r="CO101" s="105" t="str">
        <f t="shared" ca="1" si="89"/>
        <v/>
      </c>
      <c r="CP101" s="105" t="str">
        <f t="shared" ca="1" si="89"/>
        <v/>
      </c>
      <c r="CQ101" s="105" t="str">
        <f t="shared" ca="1" si="89"/>
        <v/>
      </c>
      <c r="CR101" s="105" t="str">
        <f t="shared" ca="1" si="90"/>
        <v/>
      </c>
      <c r="CS101" s="105" t="str">
        <f t="shared" ca="1" si="90"/>
        <v/>
      </c>
      <c r="CT101" s="105" t="str">
        <f t="shared" ca="1" si="90"/>
        <v/>
      </c>
      <c r="CU101" s="105" t="str">
        <f t="shared" ca="1" si="90"/>
        <v/>
      </c>
      <c r="CV101" s="105" t="str">
        <f t="shared" ca="1" si="90"/>
        <v/>
      </c>
      <c r="CW101" s="105" t="str">
        <f t="shared" ca="1" si="90"/>
        <v/>
      </c>
      <c r="CX101" s="105" t="str">
        <f t="shared" ca="1" si="90"/>
        <v/>
      </c>
      <c r="CY101" s="105" t="str">
        <f t="shared" ca="1" si="90"/>
        <v/>
      </c>
      <c r="CZ101" s="105" t="str">
        <f t="shared" ca="1" si="90"/>
        <v/>
      </c>
      <c r="DA101" s="105" t="str">
        <f t="shared" ca="1" si="90"/>
        <v/>
      </c>
      <c r="DB101" s="105" t="str">
        <f t="shared" ca="1" si="90"/>
        <v/>
      </c>
      <c r="DC101" s="105" t="str">
        <f t="shared" ca="1" si="90"/>
        <v/>
      </c>
      <c r="DD101" s="105" t="str">
        <f t="shared" ca="1" si="90"/>
        <v/>
      </c>
      <c r="DE101" s="105" t="str">
        <f t="shared" ca="1" si="84"/>
        <v/>
      </c>
      <c r="DF101" s="105" t="str">
        <f t="shared" ca="1" si="84"/>
        <v/>
      </c>
      <c r="DG101" s="105" t="str">
        <f t="shared" ca="1" si="84"/>
        <v/>
      </c>
      <c r="DH101" s="105" t="str">
        <f t="shared" ca="1" si="84"/>
        <v/>
      </c>
      <c r="DI101" s="105" t="str">
        <f t="shared" ca="1" si="84"/>
        <v/>
      </c>
      <c r="DJ101" s="105" t="str">
        <f t="shared" ca="1" si="84"/>
        <v/>
      </c>
      <c r="DK101" s="105" t="str">
        <f t="shared" ca="1" si="84"/>
        <v/>
      </c>
      <c r="DL101" s="105" t="str">
        <f t="shared" ca="1" si="84"/>
        <v/>
      </c>
      <c r="DM101" s="105" t="str">
        <f t="shared" ca="1" si="84"/>
        <v/>
      </c>
      <c r="DN101" s="105" t="str">
        <f t="shared" ca="1" si="84"/>
        <v/>
      </c>
      <c r="DO101" s="105" t="str">
        <f t="shared" ca="1" si="84"/>
        <v/>
      </c>
      <c r="DP101" s="105" t="str">
        <f t="shared" ca="1" si="84"/>
        <v/>
      </c>
      <c r="DQ101" s="105" t="str">
        <f t="shared" ca="1" si="84"/>
        <v/>
      </c>
      <c r="DR101" s="105" t="str">
        <f t="shared" ca="1" si="84"/>
        <v/>
      </c>
      <c r="DS101" s="105" t="str">
        <f t="shared" ca="1" si="84"/>
        <v/>
      </c>
      <c r="DT101" s="105" t="str">
        <f t="shared" ca="1" si="84"/>
        <v/>
      </c>
      <c r="DU101" s="105" t="str">
        <f t="shared" ca="1" si="84"/>
        <v/>
      </c>
      <c r="DV101" s="105" t="str">
        <f t="shared" ca="1" si="84"/>
        <v/>
      </c>
      <c r="DW101" s="105" t="str">
        <f t="shared" ca="1" si="84"/>
        <v/>
      </c>
      <c r="DX101" s="105" t="str">
        <f t="shared" ca="1" si="84"/>
        <v/>
      </c>
      <c r="DY101" s="105" t="str">
        <f t="shared" ca="1" si="84"/>
        <v/>
      </c>
      <c r="DZ101" s="105" t="str">
        <f t="shared" ca="1" si="84"/>
        <v/>
      </c>
      <c r="EA101" s="105" t="str">
        <f t="shared" ca="1" si="84"/>
        <v/>
      </c>
      <c r="EB101" s="105" t="str">
        <f t="shared" ca="1" si="84"/>
        <v/>
      </c>
      <c r="EC101" s="105" t="str">
        <f t="shared" ca="1" si="84"/>
        <v/>
      </c>
      <c r="ED101" s="105" t="str">
        <f t="shared" ca="1" si="84"/>
        <v/>
      </c>
      <c r="EE101" s="105" t="str">
        <f t="shared" ca="1" si="84"/>
        <v/>
      </c>
      <c r="EF101" s="105" t="str">
        <f t="shared" ca="1" si="84"/>
        <v/>
      </c>
      <c r="EG101" s="105" t="str">
        <f t="shared" ca="1" si="84"/>
        <v/>
      </c>
      <c r="EH101" s="105" t="str">
        <f t="shared" ca="1" si="84"/>
        <v/>
      </c>
      <c r="EI101" s="105" t="str">
        <f t="shared" ca="1" si="84"/>
        <v/>
      </c>
      <c r="EJ101" s="106" t="str">
        <f t="shared" ca="1" si="84"/>
        <v/>
      </c>
      <c r="EK101" s="106" t="str">
        <f t="shared" ca="1" si="84"/>
        <v/>
      </c>
      <c r="EL101" s="106" t="str">
        <f t="shared" ca="1" si="84"/>
        <v/>
      </c>
      <c r="EM101" s="106" t="str">
        <f t="shared" ca="1" si="84"/>
        <v/>
      </c>
      <c r="EN101" s="106" t="str">
        <f t="shared" ca="1" si="84"/>
        <v/>
      </c>
      <c r="EO101" s="106" t="str">
        <f t="shared" ca="1" si="84"/>
        <v/>
      </c>
      <c r="EP101" s="106" t="str">
        <f t="shared" ca="1" si="84"/>
        <v/>
      </c>
      <c r="EQ101" s="106" t="str">
        <f t="shared" ca="1" si="84"/>
        <v/>
      </c>
      <c r="ER101" s="106" t="str">
        <f t="shared" ca="1" si="84"/>
        <v/>
      </c>
      <c r="ES101" s="106" t="str">
        <f t="shared" ca="1" si="84"/>
        <v/>
      </c>
      <c r="ET101" s="106" t="str">
        <f t="shared" ca="1" si="84"/>
        <v/>
      </c>
      <c r="EU101" s="106" t="str">
        <f t="shared" ca="1" si="84"/>
        <v/>
      </c>
      <c r="EV101" s="106" t="str">
        <f t="shared" ca="1" si="84"/>
        <v/>
      </c>
      <c r="EW101" s="106" t="str">
        <f t="shared" ca="1" si="84"/>
        <v/>
      </c>
      <c r="EX101" s="106" t="str">
        <f t="shared" ca="1" si="84"/>
        <v/>
      </c>
      <c r="EY101" s="106"/>
      <c r="EZ101" s="106"/>
      <c r="FA101" s="106"/>
      <c r="FB101" s="106"/>
      <c r="FC101" s="106"/>
      <c r="FD101" s="106"/>
      <c r="FE101" s="106"/>
      <c r="FF101" s="106"/>
      <c r="FG101" s="106"/>
      <c r="FH101" s="106"/>
      <c r="FI101" s="106"/>
      <c r="FJ101" s="106"/>
      <c r="FK101" s="106"/>
      <c r="FL101" s="106"/>
      <c r="FM101" s="106"/>
      <c r="FN101" s="106"/>
      <c r="FO101" s="106"/>
      <c r="FP101" s="106"/>
      <c r="FQ101" s="106"/>
      <c r="FR101" s="106"/>
      <c r="FS101" s="106"/>
      <c r="FT101" s="106"/>
      <c r="FU101" s="106"/>
      <c r="FV101" s="106"/>
      <c r="FW101" s="106"/>
      <c r="FX101" s="106"/>
      <c r="FY101" s="106"/>
      <c r="FZ101" s="106"/>
      <c r="GA101" s="106"/>
      <c r="GB101" s="106"/>
      <c r="GC101" s="106"/>
      <c r="GD101" s="106"/>
      <c r="GE101" s="106"/>
      <c r="GF101" s="106"/>
      <c r="GG101" s="106"/>
      <c r="GH101" s="106"/>
      <c r="GI101" s="106"/>
      <c r="GJ101" s="106"/>
      <c r="GK101" s="106"/>
      <c r="GL101" s="106"/>
      <c r="GM101" s="106"/>
      <c r="GN101" s="106"/>
      <c r="GO101" s="106"/>
      <c r="GP101" s="106"/>
      <c r="GQ101" s="106"/>
      <c r="GR101" s="106"/>
      <c r="GS101" s="106"/>
      <c r="GT101" s="106"/>
      <c r="GU101" s="106"/>
      <c r="GV101" s="106"/>
      <c r="GW101" s="106"/>
      <c r="GX101" s="106"/>
      <c r="GY101" s="106"/>
      <c r="GZ101" s="106"/>
      <c r="HA101" s="106"/>
      <c r="HB101" s="106"/>
      <c r="HC101" s="106"/>
      <c r="HD101" s="106"/>
      <c r="HE101" s="106"/>
      <c r="HF101" s="106"/>
      <c r="HG101" s="106"/>
      <c r="HH101" s="106"/>
      <c r="HI101" s="106"/>
      <c r="HJ101" s="106"/>
      <c r="HK101" s="106"/>
      <c r="HL101" s="106"/>
      <c r="HM101" s="106"/>
      <c r="HN101" s="106"/>
      <c r="HO101" s="106"/>
      <c r="HP101" s="106"/>
      <c r="HQ101" s="106"/>
      <c r="HR101" s="106"/>
      <c r="HS101" s="106"/>
      <c r="HT101" s="106"/>
      <c r="HU101" s="106"/>
      <c r="HV101" s="106"/>
      <c r="HW101" s="106"/>
      <c r="HX101" s="106"/>
      <c r="HY101" s="106"/>
      <c r="HZ101" s="106"/>
      <c r="IA101" s="106"/>
      <c r="IB101" s="106"/>
      <c r="IC101" s="106"/>
      <c r="ID101" s="106"/>
      <c r="IE101" s="106"/>
      <c r="IF101" s="106"/>
      <c r="IG101" s="106"/>
      <c r="IH101" s="106"/>
      <c r="II101" s="106"/>
      <c r="IJ101" s="106"/>
      <c r="IK101" s="106"/>
      <c r="IL101" s="106"/>
      <c r="IM101" s="106"/>
      <c r="IN101" s="106"/>
      <c r="IO101" s="106"/>
      <c r="IP101" s="106"/>
      <c r="IQ101" s="106"/>
      <c r="IR101" s="106"/>
    </row>
    <row r="102" spans="2:252">
      <c r="B102" s="76" t="s">
        <v>300</v>
      </c>
      <c r="C102" s="77" t="s">
        <v>97</v>
      </c>
      <c r="D102" s="78" t="s">
        <v>18</v>
      </c>
      <c r="E102" s="79">
        <v>46174</v>
      </c>
      <c r="F102" s="78">
        <f>NETWORKDAYS(E102,G102,Праздники!$A$1:$A$14)</f>
        <v>99</v>
      </c>
      <c r="G102" s="79">
        <v>46313</v>
      </c>
      <c r="H102" s="133">
        <v>0.2</v>
      </c>
      <c r="I102" s="78" t="s">
        <v>160</v>
      </c>
      <c r="J102" s="58" t="s">
        <v>254</v>
      </c>
      <c r="K102" s="108"/>
      <c r="L102" s="108"/>
      <c r="M102" s="108"/>
      <c r="N102" s="108"/>
      <c r="O102" s="58"/>
      <c r="P102" s="104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  <c r="CU102" s="105"/>
      <c r="CV102" s="105"/>
      <c r="CW102" s="105"/>
      <c r="CX102" s="105"/>
      <c r="CY102" s="105"/>
      <c r="CZ102" s="105"/>
      <c r="DA102" s="105"/>
      <c r="DB102" s="105"/>
      <c r="DC102" s="105"/>
      <c r="DD102" s="105"/>
      <c r="DE102" s="105"/>
      <c r="DF102" s="105"/>
      <c r="DG102" s="105"/>
      <c r="DH102" s="105"/>
      <c r="DI102" s="105"/>
      <c r="DJ102" s="105"/>
      <c r="DK102" s="105"/>
      <c r="DL102" s="105"/>
      <c r="DM102" s="105"/>
      <c r="DN102" s="105"/>
      <c r="DO102" s="105"/>
      <c r="DP102" s="105"/>
      <c r="DQ102" s="105"/>
      <c r="DR102" s="105"/>
      <c r="DS102" s="105"/>
      <c r="DT102" s="105"/>
      <c r="DU102" s="105"/>
      <c r="DV102" s="105"/>
      <c r="DW102" s="105"/>
      <c r="DX102" s="105"/>
      <c r="DY102" s="105"/>
      <c r="DZ102" s="105"/>
      <c r="EA102" s="105"/>
      <c r="EB102" s="105"/>
      <c r="EC102" s="105"/>
      <c r="ED102" s="105"/>
      <c r="EE102" s="105"/>
      <c r="EF102" s="105"/>
      <c r="EG102" s="105"/>
      <c r="EH102" s="105"/>
      <c r="EI102" s="105"/>
      <c r="EJ102" s="106"/>
      <c r="EK102" s="106"/>
      <c r="EL102" s="106"/>
      <c r="EM102" s="106"/>
      <c r="EN102" s="106"/>
      <c r="EO102" s="106"/>
      <c r="EP102" s="106"/>
      <c r="EQ102" s="106"/>
      <c r="ER102" s="106"/>
      <c r="ES102" s="106"/>
      <c r="ET102" s="106"/>
      <c r="EU102" s="106"/>
      <c r="EV102" s="106"/>
      <c r="EW102" s="106"/>
      <c r="EX102" s="106"/>
      <c r="EY102" s="106"/>
      <c r="EZ102" s="106"/>
      <c r="FA102" s="106"/>
      <c r="FB102" s="106"/>
      <c r="FC102" s="106"/>
      <c r="FD102" s="106"/>
      <c r="FE102" s="106"/>
      <c r="FF102" s="106"/>
      <c r="FG102" s="106"/>
      <c r="FH102" s="106"/>
      <c r="FI102" s="106"/>
      <c r="FJ102" s="106"/>
      <c r="FK102" s="106"/>
      <c r="FL102" s="106"/>
      <c r="FM102" s="106"/>
      <c r="FN102" s="106"/>
      <c r="FO102" s="106"/>
      <c r="FP102" s="106"/>
      <c r="FQ102" s="106"/>
      <c r="FR102" s="106"/>
      <c r="FS102" s="106"/>
      <c r="FT102" s="106"/>
      <c r="FU102" s="106"/>
      <c r="FV102" s="106"/>
      <c r="FW102" s="106"/>
      <c r="FX102" s="106"/>
      <c r="FY102" s="106"/>
      <c r="FZ102" s="106"/>
      <c r="GA102" s="106"/>
      <c r="GB102" s="106"/>
      <c r="GC102" s="106"/>
      <c r="GD102" s="106"/>
      <c r="GE102" s="106"/>
      <c r="GF102" s="106"/>
      <c r="GG102" s="106"/>
      <c r="GH102" s="106"/>
      <c r="GI102" s="106"/>
      <c r="GJ102" s="106"/>
      <c r="GK102" s="106"/>
      <c r="GL102" s="106"/>
      <c r="GM102" s="106"/>
      <c r="GN102" s="106"/>
      <c r="GO102" s="106"/>
      <c r="GP102" s="106"/>
      <c r="GQ102" s="106"/>
      <c r="GR102" s="106"/>
      <c r="GS102" s="106"/>
      <c r="GT102" s="106"/>
      <c r="GU102" s="106"/>
      <c r="GV102" s="106"/>
      <c r="GW102" s="106"/>
      <c r="GX102" s="106"/>
      <c r="GY102" s="106"/>
      <c r="GZ102" s="106"/>
      <c r="HA102" s="106"/>
      <c r="HB102" s="106"/>
      <c r="HC102" s="106"/>
      <c r="HD102" s="106"/>
      <c r="HE102" s="106"/>
      <c r="HF102" s="106"/>
      <c r="HG102" s="106"/>
      <c r="HH102" s="106"/>
      <c r="HI102" s="106"/>
      <c r="HJ102" s="106"/>
      <c r="HK102" s="106"/>
      <c r="HL102" s="106"/>
      <c r="HM102" s="106"/>
      <c r="HN102" s="106"/>
      <c r="HO102" s="106"/>
      <c r="HP102" s="106"/>
      <c r="HQ102" s="106"/>
      <c r="HR102" s="106"/>
      <c r="HS102" s="106"/>
      <c r="HT102" s="106"/>
      <c r="HU102" s="106"/>
      <c r="HV102" s="106"/>
      <c r="HW102" s="106"/>
      <c r="HX102" s="106"/>
      <c r="HY102" s="106"/>
      <c r="HZ102" s="106"/>
      <c r="IA102" s="106"/>
      <c r="IB102" s="106"/>
      <c r="IC102" s="106"/>
      <c r="ID102" s="106"/>
      <c r="IE102" s="106"/>
      <c r="IF102" s="106"/>
      <c r="IG102" s="106"/>
      <c r="IH102" s="106"/>
      <c r="II102" s="106"/>
      <c r="IJ102" s="106"/>
      <c r="IK102" s="106"/>
      <c r="IL102" s="106"/>
      <c r="IM102" s="106"/>
      <c r="IN102" s="106"/>
      <c r="IO102" s="106"/>
      <c r="IP102" s="106"/>
      <c r="IQ102" s="106"/>
      <c r="IR102" s="106"/>
    </row>
    <row r="103" spans="2:252" ht="18.75">
      <c r="B103" s="60" t="s">
        <v>322</v>
      </c>
      <c r="C103" s="60"/>
      <c r="D103" s="61"/>
      <c r="E103" s="62">
        <v>46146</v>
      </c>
      <c r="F103" s="61">
        <f>NETWORKDAYS(E103,G103,Праздники!$A$1:$A$14)</f>
        <v>43</v>
      </c>
      <c r="G103" s="62">
        <v>46206</v>
      </c>
      <c r="H103" s="63"/>
      <c r="I103" s="61"/>
      <c r="J103" s="64"/>
      <c r="K103" s="64"/>
      <c r="L103" s="64"/>
      <c r="M103" s="64"/>
      <c r="N103" s="64"/>
      <c r="O103" s="64"/>
      <c r="P103" s="87" t="str">
        <f t="shared" ca="1" si="82"/>
        <v/>
      </c>
      <c r="Q103" s="88" t="str">
        <f t="shared" ca="1" si="82"/>
        <v/>
      </c>
      <c r="R103" s="88" t="str">
        <f t="shared" ca="1" si="82"/>
        <v/>
      </c>
      <c r="S103" s="88" t="str">
        <f t="shared" ca="1" si="82"/>
        <v/>
      </c>
      <c r="T103" s="88" t="str">
        <f t="shared" ca="1" si="82"/>
        <v/>
      </c>
      <c r="U103" s="88" t="str">
        <f t="shared" ca="1" si="82"/>
        <v/>
      </c>
      <c r="V103" s="88" t="str">
        <f t="shared" ca="1" si="82"/>
        <v/>
      </c>
      <c r="W103" s="88" t="str">
        <f t="shared" ca="1" si="82"/>
        <v/>
      </c>
      <c r="X103" s="88" t="str">
        <f t="shared" ca="1" si="82"/>
        <v/>
      </c>
      <c r="Y103" s="88" t="str">
        <f t="shared" ca="1" si="82"/>
        <v/>
      </c>
      <c r="Z103" s="88" t="str">
        <f t="shared" ca="1" si="82"/>
        <v/>
      </c>
      <c r="AA103" s="88" t="str">
        <f t="shared" ca="1" si="82"/>
        <v/>
      </c>
      <c r="AB103" s="88" t="str">
        <f t="shared" ca="1" si="82"/>
        <v/>
      </c>
      <c r="AC103" s="88" t="str">
        <f t="shared" ca="1" si="82"/>
        <v/>
      </c>
      <c r="AD103" s="88" t="str">
        <f t="shared" ca="1" si="82"/>
        <v/>
      </c>
      <c r="AE103" s="88" t="str">
        <f t="shared" ca="1" si="82"/>
        <v/>
      </c>
      <c r="AF103" s="88" t="str">
        <f t="shared" ca="1" si="70"/>
        <v/>
      </c>
      <c r="AG103" s="88" t="str">
        <f t="shared" ca="1" si="70"/>
        <v/>
      </c>
      <c r="AH103" s="88" t="str">
        <f t="shared" ca="1" si="70"/>
        <v/>
      </c>
      <c r="AI103" s="88" t="str">
        <f t="shared" ca="1" si="70"/>
        <v/>
      </c>
      <c r="AJ103" s="88" t="str">
        <f t="shared" ca="1" si="70"/>
        <v/>
      </c>
      <c r="AK103" s="88" t="str">
        <f t="shared" ca="1" si="70"/>
        <v/>
      </c>
      <c r="AL103" s="88" t="str">
        <f t="shared" ca="1" si="70"/>
        <v/>
      </c>
      <c r="AM103" s="88" t="str">
        <f t="shared" ca="1" si="70"/>
        <v/>
      </c>
      <c r="AN103" s="88" t="str">
        <f t="shared" ca="1" si="70"/>
        <v/>
      </c>
      <c r="AO103" s="88" t="str">
        <f t="shared" ca="1" si="70"/>
        <v/>
      </c>
      <c r="AP103" s="88" t="str">
        <f t="shared" ca="1" si="70"/>
        <v/>
      </c>
      <c r="AQ103" s="88" t="str">
        <f t="shared" ca="1" si="70"/>
        <v/>
      </c>
      <c r="AR103" s="88" t="str">
        <f t="shared" ca="1" si="70"/>
        <v/>
      </c>
      <c r="AS103" s="88" t="str">
        <f t="shared" ca="1" si="70"/>
        <v/>
      </c>
      <c r="AT103" s="88" t="str">
        <f t="shared" ca="1" si="70"/>
        <v/>
      </c>
      <c r="AU103" s="88" t="str">
        <f t="shared" ca="1" si="70"/>
        <v/>
      </c>
      <c r="AV103" s="88" t="str">
        <f t="shared" ca="1" si="85"/>
        <v/>
      </c>
      <c r="AW103" s="88" t="str">
        <f t="shared" ca="1" si="85"/>
        <v/>
      </c>
      <c r="AX103" s="88" t="str">
        <f t="shared" ca="1" si="85"/>
        <v/>
      </c>
      <c r="AY103" s="88" t="str">
        <f t="shared" ca="1" si="85"/>
        <v/>
      </c>
      <c r="AZ103" s="88" t="str">
        <f t="shared" ca="1" si="85"/>
        <v/>
      </c>
      <c r="BA103" s="88" t="str">
        <f t="shared" ca="1" si="85"/>
        <v/>
      </c>
      <c r="BB103" s="88" t="str">
        <f t="shared" ca="1" si="85"/>
        <v/>
      </c>
      <c r="BC103" s="88" t="str">
        <f t="shared" ca="1" si="85"/>
        <v/>
      </c>
      <c r="BD103" s="88" t="str">
        <f t="shared" ca="1" si="85"/>
        <v/>
      </c>
      <c r="BE103" s="88" t="str">
        <f t="shared" ca="1" si="85"/>
        <v/>
      </c>
      <c r="BF103" s="88" t="str">
        <f t="shared" ca="1" si="86"/>
        <v/>
      </c>
      <c r="BG103" s="88" t="str">
        <f t="shared" ca="1" si="86"/>
        <v/>
      </c>
      <c r="BH103" s="88" t="str">
        <f t="shared" ca="1" si="86"/>
        <v/>
      </c>
      <c r="BI103" s="88" t="str">
        <f t="shared" ca="1" si="86"/>
        <v/>
      </c>
      <c r="BJ103" s="88" t="str">
        <f t="shared" ca="1" si="86"/>
        <v/>
      </c>
      <c r="BK103" s="88" t="str">
        <f t="shared" ca="1" si="86"/>
        <v/>
      </c>
      <c r="BL103" s="88" t="str">
        <f t="shared" ca="1" si="86"/>
        <v/>
      </c>
      <c r="BM103" s="88" t="str">
        <f t="shared" ca="1" si="86"/>
        <v/>
      </c>
      <c r="BN103" s="88" t="str">
        <f t="shared" ca="1" si="86"/>
        <v/>
      </c>
      <c r="BO103" s="88" t="str">
        <f t="shared" ca="1" si="86"/>
        <v/>
      </c>
      <c r="BP103" s="88" t="str">
        <f t="shared" ca="1" si="87"/>
        <v/>
      </c>
      <c r="BQ103" s="88" t="str">
        <f t="shared" ca="1" si="87"/>
        <v/>
      </c>
      <c r="BR103" s="88" t="str">
        <f t="shared" ca="1" si="87"/>
        <v/>
      </c>
      <c r="BS103" s="88" t="str">
        <f t="shared" ca="1" si="87"/>
        <v/>
      </c>
      <c r="BT103" s="88" t="str">
        <f t="shared" ca="1" si="87"/>
        <v/>
      </c>
      <c r="BU103" s="88" t="str">
        <f t="shared" ca="1" si="87"/>
        <v/>
      </c>
      <c r="BV103" s="88" t="str">
        <f t="shared" ca="1" si="87"/>
        <v/>
      </c>
      <c r="BW103" s="88" t="str">
        <f t="shared" ca="1" si="87"/>
        <v/>
      </c>
      <c r="BX103" s="88" t="str">
        <f t="shared" ca="1" si="87"/>
        <v/>
      </c>
      <c r="BY103" s="88" t="str">
        <f t="shared" ca="1" si="87"/>
        <v/>
      </c>
      <c r="BZ103" s="88" t="str">
        <f t="shared" ca="1" si="88"/>
        <v/>
      </c>
      <c r="CA103" s="88" t="str">
        <f t="shared" ca="1" si="88"/>
        <v/>
      </c>
      <c r="CB103" s="88" t="str">
        <f t="shared" ca="1" si="88"/>
        <v/>
      </c>
      <c r="CC103" s="88" t="str">
        <f t="shared" ca="1" si="88"/>
        <v/>
      </c>
      <c r="CD103" s="88" t="str">
        <f t="shared" ca="1" si="88"/>
        <v/>
      </c>
      <c r="CE103" s="88" t="str">
        <f t="shared" ca="1" si="88"/>
        <v/>
      </c>
      <c r="CF103" s="88" t="str">
        <f t="shared" ca="1" si="88"/>
        <v/>
      </c>
      <c r="CG103" s="88" t="str">
        <f t="shared" ca="1" si="88"/>
        <v/>
      </c>
      <c r="CH103" s="88" t="str">
        <f t="shared" ca="1" si="88"/>
        <v/>
      </c>
      <c r="CI103" s="88" t="str">
        <f t="shared" ca="1" si="88"/>
        <v/>
      </c>
      <c r="CJ103" s="88" t="str">
        <f t="shared" ca="1" si="89"/>
        <v/>
      </c>
      <c r="CK103" s="88" t="str">
        <f t="shared" ca="1" si="89"/>
        <v/>
      </c>
      <c r="CL103" s="88" t="str">
        <f t="shared" ca="1" si="89"/>
        <v/>
      </c>
      <c r="CM103" s="88" t="str">
        <f t="shared" ca="1" si="89"/>
        <v/>
      </c>
      <c r="CN103" s="88" t="str">
        <f t="shared" ca="1" si="89"/>
        <v/>
      </c>
      <c r="CO103" s="88" t="str">
        <f t="shared" ca="1" si="89"/>
        <v/>
      </c>
      <c r="CP103" s="88" t="str">
        <f t="shared" ca="1" si="89"/>
        <v/>
      </c>
      <c r="CQ103" s="88" t="str">
        <f t="shared" ca="1" si="89"/>
        <v/>
      </c>
      <c r="CR103" s="88" t="str">
        <f t="shared" ca="1" si="90"/>
        <v/>
      </c>
      <c r="CS103" s="88" t="str">
        <f t="shared" ca="1" si="90"/>
        <v/>
      </c>
      <c r="CT103" s="88" t="str">
        <f t="shared" ca="1" si="90"/>
        <v/>
      </c>
      <c r="CU103" s="88" t="str">
        <f t="shared" ca="1" si="90"/>
        <v/>
      </c>
      <c r="CV103" s="88" t="str">
        <f t="shared" ca="1" si="90"/>
        <v/>
      </c>
      <c r="CW103" s="88" t="str">
        <f t="shared" ca="1" si="90"/>
        <v/>
      </c>
      <c r="CX103" s="88" t="str">
        <f t="shared" ca="1" si="90"/>
        <v/>
      </c>
      <c r="CY103" s="88" t="str">
        <f t="shared" ca="1" si="90"/>
        <v/>
      </c>
      <c r="CZ103" s="88" t="str">
        <f t="shared" ca="1" si="90"/>
        <v/>
      </c>
      <c r="DA103" s="88" t="str">
        <f t="shared" ca="1" si="90"/>
        <v/>
      </c>
      <c r="DB103" s="88" t="str">
        <f t="shared" ca="1" si="90"/>
        <v/>
      </c>
      <c r="DC103" s="88" t="str">
        <f t="shared" ca="1" si="90"/>
        <v/>
      </c>
      <c r="DD103" s="88" t="str">
        <f t="shared" ca="1" si="90"/>
        <v/>
      </c>
      <c r="DE103" s="88" t="str">
        <f t="shared" ca="1" si="84"/>
        <v/>
      </c>
      <c r="DF103" s="88" t="str">
        <f t="shared" ca="1" si="84"/>
        <v/>
      </c>
      <c r="DG103" s="88" t="str">
        <f t="shared" ca="1" si="84"/>
        <v/>
      </c>
      <c r="DH103" s="88" t="str">
        <f t="shared" ca="1" si="84"/>
        <v/>
      </c>
      <c r="DI103" s="88" t="str">
        <f t="shared" ca="1" si="84"/>
        <v/>
      </c>
      <c r="DJ103" s="88" t="str">
        <f t="shared" ca="1" si="84"/>
        <v/>
      </c>
      <c r="DK103" s="88" t="str">
        <f t="shared" ca="1" si="84"/>
        <v/>
      </c>
      <c r="DL103" s="88" t="str">
        <f t="shared" ca="1" si="84"/>
        <v/>
      </c>
      <c r="DM103" s="88" t="str">
        <f t="shared" ca="1" si="84"/>
        <v/>
      </c>
      <c r="DN103" s="88" t="str">
        <f t="shared" ca="1" si="84"/>
        <v/>
      </c>
      <c r="DO103" s="88" t="str">
        <f t="shared" ca="1" si="84"/>
        <v/>
      </c>
      <c r="DP103" s="88" t="str">
        <f t="shared" ca="1" si="84"/>
        <v/>
      </c>
      <c r="DQ103" s="88" t="str">
        <f t="shared" ref="DQ103:EX103" ca="1" si="91">IF(DQ$8=TODAY(),CHAR(124),"")</f>
        <v/>
      </c>
      <c r="DR103" s="88" t="str">
        <f t="shared" ca="1" si="91"/>
        <v/>
      </c>
      <c r="DS103" s="88" t="str">
        <f t="shared" ca="1" si="91"/>
        <v/>
      </c>
      <c r="DT103" s="88" t="str">
        <f t="shared" ca="1" si="91"/>
        <v/>
      </c>
      <c r="DU103" s="88" t="str">
        <f t="shared" ca="1" si="91"/>
        <v/>
      </c>
      <c r="DV103" s="88" t="str">
        <f t="shared" ca="1" si="91"/>
        <v/>
      </c>
      <c r="DW103" s="88" t="str">
        <f t="shared" ca="1" si="91"/>
        <v/>
      </c>
      <c r="DX103" s="88" t="str">
        <f t="shared" ca="1" si="91"/>
        <v/>
      </c>
      <c r="DY103" s="88" t="str">
        <f t="shared" ca="1" si="91"/>
        <v/>
      </c>
      <c r="DZ103" s="88" t="str">
        <f t="shared" ca="1" si="91"/>
        <v/>
      </c>
      <c r="EA103" s="88" t="str">
        <f t="shared" ca="1" si="91"/>
        <v/>
      </c>
      <c r="EB103" s="88" t="str">
        <f t="shared" ca="1" si="91"/>
        <v/>
      </c>
      <c r="EC103" s="88" t="str">
        <f t="shared" ca="1" si="91"/>
        <v/>
      </c>
      <c r="ED103" s="88" t="str">
        <f t="shared" ca="1" si="91"/>
        <v/>
      </c>
      <c r="EE103" s="88" t="str">
        <f t="shared" ca="1" si="91"/>
        <v/>
      </c>
      <c r="EF103" s="88" t="str">
        <f t="shared" ca="1" si="91"/>
        <v/>
      </c>
      <c r="EG103" s="88" t="str">
        <f t="shared" ca="1" si="91"/>
        <v/>
      </c>
      <c r="EH103" s="88" t="str">
        <f t="shared" ca="1" si="91"/>
        <v/>
      </c>
      <c r="EI103" s="88" t="str">
        <f t="shared" ca="1" si="91"/>
        <v/>
      </c>
      <c r="EJ103" s="9" t="str">
        <f t="shared" ca="1" si="91"/>
        <v/>
      </c>
      <c r="EK103" s="9" t="str">
        <f t="shared" ca="1" si="91"/>
        <v/>
      </c>
      <c r="EL103" s="9" t="str">
        <f t="shared" ca="1" si="91"/>
        <v/>
      </c>
      <c r="EM103" s="9" t="str">
        <f t="shared" ca="1" si="91"/>
        <v/>
      </c>
      <c r="EN103" s="9" t="str">
        <f t="shared" ca="1" si="91"/>
        <v/>
      </c>
      <c r="EO103" s="9" t="str">
        <f t="shared" ca="1" si="91"/>
        <v/>
      </c>
      <c r="EP103" s="9" t="str">
        <f t="shared" ca="1" si="91"/>
        <v/>
      </c>
      <c r="EQ103" s="9" t="str">
        <f t="shared" ca="1" si="91"/>
        <v/>
      </c>
      <c r="ER103" s="9" t="str">
        <f t="shared" ca="1" si="91"/>
        <v/>
      </c>
      <c r="ES103" s="9" t="str">
        <f t="shared" ca="1" si="91"/>
        <v/>
      </c>
      <c r="ET103" s="9" t="str">
        <f t="shared" ca="1" si="91"/>
        <v/>
      </c>
      <c r="EU103" s="9" t="str">
        <f t="shared" ca="1" si="91"/>
        <v/>
      </c>
      <c r="EV103" s="9" t="str">
        <f t="shared" ca="1" si="91"/>
        <v/>
      </c>
      <c r="EW103" s="9" t="str">
        <f t="shared" ca="1" si="91"/>
        <v/>
      </c>
      <c r="EX103" s="9" t="str">
        <f t="shared" ca="1" si="91"/>
        <v/>
      </c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</row>
    <row r="104" spans="2:252" s="145" customFormat="1" ht="14.25" customHeight="1">
      <c r="B104" s="155" t="s">
        <v>324</v>
      </c>
      <c r="C104" s="156" t="s">
        <v>323</v>
      </c>
      <c r="D104" s="157"/>
      <c r="E104" s="158"/>
      <c r="F104" s="141"/>
      <c r="G104" s="158"/>
      <c r="H104" s="142"/>
      <c r="I104" s="157"/>
      <c r="J104" s="143"/>
      <c r="K104" s="143"/>
      <c r="L104" s="143"/>
      <c r="M104" s="143"/>
      <c r="N104" s="143"/>
      <c r="O104" s="143"/>
      <c r="P104" s="159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88"/>
      <c r="BT104" s="88"/>
      <c r="BU104" s="88"/>
      <c r="BV104" s="88"/>
      <c r="BW104" s="88"/>
      <c r="BX104" s="88"/>
      <c r="BY104" s="88"/>
      <c r="BZ104" s="88"/>
      <c r="CA104" s="88"/>
      <c r="CB104" s="88"/>
      <c r="CC104" s="88"/>
      <c r="CD104" s="88"/>
      <c r="CE104" s="8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88"/>
      <c r="DB104" s="88"/>
      <c r="DC104" s="88"/>
      <c r="DD104" s="88"/>
      <c r="DE104" s="88"/>
      <c r="DF104" s="88"/>
      <c r="DG104" s="88"/>
      <c r="DH104" s="88"/>
      <c r="DI104" s="88"/>
      <c r="DJ104" s="88"/>
      <c r="DK104" s="88"/>
      <c r="DL104" s="88"/>
      <c r="DM104" s="88"/>
      <c r="DN104" s="88"/>
      <c r="DO104" s="88"/>
      <c r="DP104" s="88"/>
      <c r="DQ104" s="88"/>
      <c r="DR104" s="88"/>
      <c r="DS104" s="88"/>
      <c r="DT104" s="88"/>
      <c r="DU104" s="88"/>
      <c r="DV104" s="88"/>
      <c r="DW104" s="88"/>
      <c r="DX104" s="88"/>
      <c r="DY104" s="88"/>
      <c r="DZ104" s="88"/>
      <c r="EA104" s="88"/>
      <c r="EB104" s="88"/>
      <c r="EC104" s="88"/>
      <c r="ED104" s="88"/>
      <c r="EE104" s="88"/>
      <c r="EF104" s="88"/>
      <c r="EG104" s="88"/>
      <c r="EH104" s="88"/>
      <c r="EI104" s="88"/>
      <c r="EJ104" s="88"/>
      <c r="EK104" s="88"/>
      <c r="EL104" s="88"/>
      <c r="EM104" s="88"/>
      <c r="EN104" s="88"/>
      <c r="EO104" s="88"/>
      <c r="EP104" s="88"/>
      <c r="EQ104" s="88"/>
      <c r="ER104" s="88"/>
      <c r="ES104" s="88"/>
      <c r="ET104" s="88"/>
      <c r="EU104" s="88"/>
      <c r="EV104" s="88"/>
      <c r="EW104" s="88"/>
      <c r="EX104" s="88"/>
      <c r="EY104" s="88"/>
      <c r="EZ104" s="88"/>
      <c r="FA104" s="88"/>
      <c r="FB104" s="88"/>
      <c r="FC104" s="88"/>
      <c r="FD104" s="88"/>
      <c r="FE104" s="88"/>
      <c r="FF104" s="88"/>
      <c r="FG104" s="88"/>
      <c r="FH104" s="88"/>
      <c r="FI104" s="88"/>
      <c r="FJ104" s="88"/>
      <c r="FK104" s="88"/>
      <c r="FL104" s="88"/>
      <c r="FM104" s="88"/>
      <c r="FN104" s="88"/>
      <c r="FO104" s="88"/>
      <c r="FP104" s="88"/>
      <c r="FQ104" s="88"/>
      <c r="FR104" s="88"/>
      <c r="FS104" s="88"/>
      <c r="FT104" s="88"/>
      <c r="FU104" s="88"/>
      <c r="FV104" s="88"/>
      <c r="FW104" s="88"/>
      <c r="FX104" s="88"/>
      <c r="FY104" s="88"/>
      <c r="FZ104" s="88"/>
      <c r="GA104" s="88"/>
      <c r="GB104" s="88"/>
      <c r="GC104" s="88"/>
      <c r="GD104" s="88"/>
      <c r="GE104" s="88"/>
      <c r="GF104" s="88"/>
      <c r="GG104" s="88"/>
      <c r="GH104" s="88"/>
      <c r="GI104" s="88"/>
      <c r="GJ104" s="88"/>
      <c r="GK104" s="88"/>
      <c r="GL104" s="88"/>
      <c r="GM104" s="88"/>
      <c r="GN104" s="88"/>
      <c r="GO104" s="88"/>
      <c r="GP104" s="88"/>
      <c r="GQ104" s="88"/>
      <c r="GR104" s="88"/>
      <c r="GS104" s="88"/>
      <c r="GT104" s="88"/>
      <c r="GU104" s="88"/>
      <c r="GV104" s="88"/>
      <c r="GW104" s="88"/>
      <c r="GX104" s="88"/>
      <c r="GY104" s="88"/>
      <c r="GZ104" s="88"/>
      <c r="HA104" s="88"/>
      <c r="HB104" s="88"/>
      <c r="HC104" s="88"/>
      <c r="HD104" s="88"/>
      <c r="HE104" s="88"/>
      <c r="HF104" s="88"/>
      <c r="HG104" s="88"/>
      <c r="HH104" s="88"/>
      <c r="HI104" s="88"/>
      <c r="HJ104" s="88"/>
      <c r="HK104" s="88"/>
      <c r="HL104" s="88"/>
      <c r="HM104" s="88"/>
      <c r="HN104" s="88"/>
      <c r="HO104" s="88"/>
      <c r="HP104" s="88"/>
      <c r="HQ104" s="88"/>
      <c r="HR104" s="88"/>
      <c r="HS104" s="88"/>
      <c r="HT104" s="88"/>
      <c r="HU104" s="88"/>
      <c r="HV104" s="88"/>
      <c r="HW104" s="88"/>
      <c r="HX104" s="88"/>
      <c r="HY104" s="88"/>
      <c r="HZ104" s="88"/>
      <c r="IA104" s="88"/>
      <c r="IB104" s="88"/>
      <c r="IC104" s="88"/>
      <c r="ID104" s="88"/>
      <c r="IE104" s="88"/>
      <c r="IF104" s="88"/>
      <c r="IG104" s="88"/>
      <c r="IH104" s="88"/>
      <c r="II104" s="88"/>
      <c r="IJ104" s="88"/>
      <c r="IK104" s="88"/>
      <c r="IL104" s="88"/>
      <c r="IM104" s="88"/>
      <c r="IN104" s="88"/>
      <c r="IO104" s="88"/>
      <c r="IP104" s="88"/>
      <c r="IQ104" s="88"/>
      <c r="IR104" s="88"/>
    </row>
    <row r="105" spans="2:252" s="145" customFormat="1" ht="14.25" customHeight="1">
      <c r="B105" s="160" t="s">
        <v>325</v>
      </c>
      <c r="C105" s="161" t="s">
        <v>114</v>
      </c>
      <c r="D105" s="157" t="s">
        <v>113</v>
      </c>
      <c r="E105" s="158">
        <v>46182</v>
      </c>
      <c r="F105" s="141">
        <f>NETWORKDAYS(E105,G105,Праздники!$A$1:$A$14)</f>
        <v>2</v>
      </c>
      <c r="G105" s="158">
        <v>46183</v>
      </c>
      <c r="H105" s="142">
        <v>1</v>
      </c>
      <c r="I105" s="157" t="s">
        <v>148</v>
      </c>
      <c r="J105" s="143"/>
      <c r="K105" s="143"/>
      <c r="L105" s="143"/>
      <c r="M105" s="143"/>
      <c r="N105" s="143"/>
      <c r="O105" s="143"/>
      <c r="P105" s="159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88"/>
      <c r="CB105" s="88"/>
      <c r="CC105" s="88"/>
      <c r="CD105" s="88"/>
      <c r="CE105" s="88"/>
      <c r="CF105" s="88"/>
      <c r="CG105" s="88"/>
      <c r="CH105" s="88"/>
      <c r="CI105" s="88"/>
      <c r="CJ105" s="88"/>
      <c r="CK105" s="88"/>
      <c r="CL105" s="88"/>
      <c r="CM105" s="88"/>
      <c r="CN105" s="88"/>
      <c r="CO105" s="88"/>
      <c r="CP105" s="88"/>
      <c r="CQ105" s="88"/>
      <c r="CR105" s="88"/>
      <c r="CS105" s="88"/>
      <c r="CT105" s="88"/>
      <c r="CU105" s="88"/>
      <c r="CV105" s="88"/>
      <c r="CW105" s="88"/>
      <c r="CX105" s="88"/>
      <c r="CY105" s="88"/>
      <c r="CZ105" s="88"/>
      <c r="DA105" s="88"/>
      <c r="DB105" s="88"/>
      <c r="DC105" s="88"/>
      <c r="DD105" s="88"/>
      <c r="DE105" s="88"/>
      <c r="DF105" s="88"/>
      <c r="DG105" s="88"/>
      <c r="DH105" s="88"/>
      <c r="DI105" s="88"/>
      <c r="DJ105" s="88"/>
      <c r="DK105" s="88"/>
      <c r="DL105" s="88"/>
      <c r="DM105" s="88"/>
      <c r="DN105" s="88"/>
      <c r="DO105" s="88"/>
      <c r="DP105" s="88"/>
      <c r="DQ105" s="88"/>
      <c r="DR105" s="88"/>
      <c r="DS105" s="88"/>
      <c r="DT105" s="88"/>
      <c r="DU105" s="88"/>
      <c r="DV105" s="88"/>
      <c r="DW105" s="88"/>
      <c r="DX105" s="88"/>
      <c r="DY105" s="88"/>
      <c r="DZ105" s="88"/>
      <c r="EA105" s="88"/>
      <c r="EB105" s="88"/>
      <c r="EC105" s="88"/>
      <c r="ED105" s="88"/>
      <c r="EE105" s="88"/>
      <c r="EF105" s="88"/>
      <c r="EG105" s="88"/>
      <c r="EH105" s="88"/>
      <c r="EI105" s="88"/>
      <c r="EJ105" s="88"/>
      <c r="EK105" s="88"/>
      <c r="EL105" s="88"/>
      <c r="EM105" s="88"/>
      <c r="EN105" s="88"/>
      <c r="EO105" s="88"/>
      <c r="EP105" s="88"/>
      <c r="EQ105" s="88"/>
      <c r="ER105" s="88"/>
      <c r="ES105" s="88"/>
      <c r="ET105" s="88"/>
      <c r="EU105" s="88"/>
      <c r="EV105" s="88"/>
      <c r="EW105" s="88"/>
      <c r="EX105" s="88"/>
      <c r="EY105" s="88"/>
      <c r="EZ105" s="88"/>
      <c r="FA105" s="88"/>
      <c r="FB105" s="88"/>
      <c r="FC105" s="88"/>
      <c r="FD105" s="88"/>
      <c r="FE105" s="88"/>
      <c r="FF105" s="88"/>
      <c r="FG105" s="88"/>
      <c r="FH105" s="88"/>
      <c r="FI105" s="88"/>
      <c r="FJ105" s="88"/>
      <c r="FK105" s="88"/>
      <c r="FL105" s="88"/>
      <c r="FM105" s="88"/>
      <c r="FN105" s="88"/>
      <c r="FO105" s="88"/>
      <c r="FP105" s="88"/>
      <c r="FQ105" s="88"/>
      <c r="FR105" s="88"/>
      <c r="FS105" s="88"/>
      <c r="FT105" s="88"/>
      <c r="FU105" s="88"/>
      <c r="FV105" s="88"/>
      <c r="FW105" s="88"/>
      <c r="FX105" s="88"/>
      <c r="FY105" s="88"/>
      <c r="FZ105" s="88"/>
      <c r="GA105" s="88"/>
      <c r="GB105" s="88"/>
      <c r="GC105" s="88"/>
      <c r="GD105" s="88"/>
      <c r="GE105" s="88"/>
      <c r="GF105" s="88"/>
      <c r="GG105" s="88"/>
      <c r="GH105" s="88"/>
      <c r="GI105" s="88"/>
      <c r="GJ105" s="88"/>
      <c r="GK105" s="88"/>
      <c r="GL105" s="88"/>
      <c r="GM105" s="88"/>
      <c r="GN105" s="88"/>
      <c r="GO105" s="88"/>
      <c r="GP105" s="88"/>
      <c r="GQ105" s="88"/>
      <c r="GR105" s="88"/>
      <c r="GS105" s="88"/>
      <c r="GT105" s="88"/>
      <c r="GU105" s="88"/>
      <c r="GV105" s="88"/>
      <c r="GW105" s="88"/>
      <c r="GX105" s="88"/>
      <c r="GY105" s="88"/>
      <c r="GZ105" s="88"/>
      <c r="HA105" s="88"/>
      <c r="HB105" s="88"/>
      <c r="HC105" s="88"/>
      <c r="HD105" s="88"/>
      <c r="HE105" s="88"/>
      <c r="HF105" s="88"/>
      <c r="HG105" s="88"/>
      <c r="HH105" s="88"/>
      <c r="HI105" s="88"/>
      <c r="HJ105" s="88"/>
      <c r="HK105" s="88"/>
      <c r="HL105" s="88"/>
      <c r="HM105" s="88"/>
      <c r="HN105" s="88"/>
      <c r="HO105" s="88"/>
      <c r="HP105" s="88"/>
      <c r="HQ105" s="88"/>
      <c r="HR105" s="88"/>
      <c r="HS105" s="88"/>
      <c r="HT105" s="88"/>
      <c r="HU105" s="88"/>
      <c r="HV105" s="88"/>
      <c r="HW105" s="88"/>
      <c r="HX105" s="88"/>
      <c r="HY105" s="88"/>
      <c r="HZ105" s="88"/>
      <c r="IA105" s="88"/>
      <c r="IB105" s="88"/>
      <c r="IC105" s="88"/>
      <c r="ID105" s="88"/>
      <c r="IE105" s="88"/>
      <c r="IF105" s="88"/>
      <c r="IG105" s="88"/>
      <c r="IH105" s="88"/>
      <c r="II105" s="88"/>
      <c r="IJ105" s="88"/>
      <c r="IK105" s="88"/>
      <c r="IL105" s="88"/>
      <c r="IM105" s="88"/>
      <c r="IN105" s="88"/>
      <c r="IO105" s="88"/>
      <c r="IP105" s="88"/>
      <c r="IQ105" s="88"/>
      <c r="IR105" s="88"/>
    </row>
    <row r="106" spans="2:252" s="145" customFormat="1" ht="14.25" customHeight="1">
      <c r="B106" s="160" t="s">
        <v>326</v>
      </c>
      <c r="C106" s="161" t="s">
        <v>205</v>
      </c>
      <c r="D106" s="157"/>
      <c r="E106" s="158">
        <v>46235</v>
      </c>
      <c r="F106" s="141">
        <f>NETWORKDAYS(E106,G106,Праздники!$A$1:$A$14)</f>
        <v>20</v>
      </c>
      <c r="G106" s="158">
        <v>46264</v>
      </c>
      <c r="H106" s="142">
        <v>1</v>
      </c>
      <c r="I106" s="157" t="s">
        <v>151</v>
      </c>
      <c r="J106" s="143" t="s">
        <v>150</v>
      </c>
      <c r="K106" s="143"/>
      <c r="L106" s="143"/>
      <c r="M106" s="154" t="s">
        <v>340</v>
      </c>
      <c r="N106" s="143"/>
      <c r="O106" s="143"/>
      <c r="P106" s="159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88"/>
      <c r="CB106" s="88"/>
      <c r="CC106" s="88"/>
      <c r="CD106" s="88"/>
      <c r="CE106" s="88"/>
      <c r="CF106" s="88"/>
      <c r="CG106" s="88"/>
      <c r="CH106" s="88"/>
      <c r="CI106" s="88"/>
      <c r="CJ106" s="88"/>
      <c r="CK106" s="88"/>
      <c r="CL106" s="88"/>
      <c r="CM106" s="88"/>
      <c r="CN106" s="88"/>
      <c r="CO106" s="88"/>
      <c r="CP106" s="88"/>
      <c r="CQ106" s="88"/>
      <c r="CR106" s="88"/>
      <c r="CS106" s="88"/>
      <c r="CT106" s="88"/>
      <c r="CU106" s="88"/>
      <c r="CV106" s="88"/>
      <c r="CW106" s="88"/>
      <c r="CX106" s="88"/>
      <c r="CY106" s="88"/>
      <c r="CZ106" s="88"/>
      <c r="DA106" s="88"/>
      <c r="DB106" s="88"/>
      <c r="DC106" s="88"/>
      <c r="DD106" s="88"/>
      <c r="DE106" s="88"/>
      <c r="DF106" s="88"/>
      <c r="DG106" s="88"/>
      <c r="DH106" s="88"/>
      <c r="DI106" s="88"/>
      <c r="DJ106" s="88"/>
      <c r="DK106" s="88"/>
      <c r="DL106" s="88"/>
      <c r="DM106" s="88"/>
      <c r="DN106" s="88"/>
      <c r="DO106" s="88"/>
      <c r="DP106" s="88"/>
      <c r="DQ106" s="88"/>
      <c r="DR106" s="88"/>
      <c r="DS106" s="88"/>
      <c r="DT106" s="88"/>
      <c r="DU106" s="88"/>
      <c r="DV106" s="88"/>
      <c r="DW106" s="88"/>
      <c r="DX106" s="88"/>
      <c r="DY106" s="88"/>
      <c r="DZ106" s="88"/>
      <c r="EA106" s="88"/>
      <c r="EB106" s="88"/>
      <c r="EC106" s="88"/>
      <c r="ED106" s="88"/>
      <c r="EE106" s="88"/>
      <c r="EF106" s="88"/>
      <c r="EG106" s="88"/>
      <c r="EH106" s="88"/>
      <c r="EI106" s="88"/>
      <c r="EJ106" s="88"/>
      <c r="EK106" s="88"/>
      <c r="EL106" s="88"/>
      <c r="EM106" s="88"/>
      <c r="EN106" s="88"/>
      <c r="EO106" s="88"/>
      <c r="EP106" s="88"/>
      <c r="EQ106" s="88"/>
      <c r="ER106" s="88"/>
      <c r="ES106" s="88"/>
      <c r="ET106" s="88"/>
      <c r="EU106" s="88"/>
      <c r="EV106" s="88"/>
      <c r="EW106" s="88"/>
      <c r="EX106" s="88"/>
      <c r="EY106" s="88"/>
      <c r="EZ106" s="88"/>
      <c r="FA106" s="88"/>
      <c r="FB106" s="88"/>
      <c r="FC106" s="88"/>
      <c r="FD106" s="88"/>
      <c r="FE106" s="88"/>
      <c r="FF106" s="88"/>
      <c r="FG106" s="88"/>
      <c r="FH106" s="88"/>
      <c r="FI106" s="88"/>
      <c r="FJ106" s="88"/>
      <c r="FK106" s="88"/>
      <c r="FL106" s="88"/>
      <c r="FM106" s="88"/>
      <c r="FN106" s="88"/>
      <c r="FO106" s="88"/>
      <c r="FP106" s="88"/>
      <c r="FQ106" s="88"/>
      <c r="FR106" s="88"/>
      <c r="FS106" s="88"/>
      <c r="FT106" s="88"/>
      <c r="FU106" s="88"/>
      <c r="FV106" s="88"/>
      <c r="FW106" s="88"/>
      <c r="FX106" s="88"/>
      <c r="FY106" s="88"/>
      <c r="FZ106" s="88"/>
      <c r="GA106" s="88"/>
      <c r="GB106" s="88"/>
      <c r="GC106" s="88"/>
      <c r="GD106" s="88"/>
      <c r="GE106" s="88"/>
      <c r="GF106" s="88"/>
      <c r="GG106" s="88"/>
      <c r="GH106" s="88"/>
      <c r="GI106" s="88"/>
      <c r="GJ106" s="88"/>
      <c r="GK106" s="88"/>
      <c r="GL106" s="88"/>
      <c r="GM106" s="88"/>
      <c r="GN106" s="88"/>
      <c r="GO106" s="88"/>
      <c r="GP106" s="88"/>
      <c r="GQ106" s="88"/>
      <c r="GR106" s="88"/>
      <c r="GS106" s="88"/>
      <c r="GT106" s="88"/>
      <c r="GU106" s="88"/>
      <c r="GV106" s="88"/>
      <c r="GW106" s="88"/>
      <c r="GX106" s="88"/>
      <c r="GY106" s="88"/>
      <c r="GZ106" s="88"/>
      <c r="HA106" s="88"/>
      <c r="HB106" s="88"/>
      <c r="HC106" s="88"/>
      <c r="HD106" s="88"/>
      <c r="HE106" s="88"/>
      <c r="HF106" s="88"/>
      <c r="HG106" s="88"/>
      <c r="HH106" s="88"/>
      <c r="HI106" s="88"/>
      <c r="HJ106" s="88"/>
      <c r="HK106" s="88"/>
      <c r="HL106" s="88"/>
      <c r="HM106" s="88"/>
      <c r="HN106" s="88"/>
      <c r="HO106" s="88"/>
      <c r="HP106" s="88"/>
      <c r="HQ106" s="88"/>
      <c r="HR106" s="88"/>
      <c r="HS106" s="88"/>
      <c r="HT106" s="88"/>
      <c r="HU106" s="88"/>
      <c r="HV106" s="88"/>
      <c r="HW106" s="88"/>
      <c r="HX106" s="88"/>
      <c r="HY106" s="88"/>
      <c r="HZ106" s="88"/>
      <c r="IA106" s="88"/>
      <c r="IB106" s="88"/>
      <c r="IC106" s="88"/>
      <c r="ID106" s="88"/>
      <c r="IE106" s="88"/>
      <c r="IF106" s="88"/>
      <c r="IG106" s="88"/>
      <c r="IH106" s="88"/>
      <c r="II106" s="88"/>
      <c r="IJ106" s="88"/>
      <c r="IK106" s="88"/>
      <c r="IL106" s="88"/>
      <c r="IM106" s="88"/>
      <c r="IN106" s="88"/>
      <c r="IO106" s="88"/>
      <c r="IP106" s="88"/>
      <c r="IQ106" s="88"/>
      <c r="IR106" s="88"/>
    </row>
    <row r="107" spans="2:252" s="145" customFormat="1" ht="14.25" customHeight="1">
      <c r="B107" s="160" t="s">
        <v>327</v>
      </c>
      <c r="C107" s="161" t="s">
        <v>257</v>
      </c>
      <c r="D107" s="157"/>
      <c r="E107" s="158">
        <v>46272</v>
      </c>
      <c r="F107" s="141">
        <f>NETWORKDAYS(E107,G107,Праздники!$A$1:$A$14)</f>
        <v>10</v>
      </c>
      <c r="G107" s="158">
        <v>46283</v>
      </c>
      <c r="H107" s="142">
        <v>0</v>
      </c>
      <c r="I107" s="157" t="s">
        <v>153</v>
      </c>
      <c r="J107" s="143" t="s">
        <v>150</v>
      </c>
      <c r="K107" s="143" t="s">
        <v>319</v>
      </c>
      <c r="L107" s="143" t="s">
        <v>266</v>
      </c>
      <c r="M107" s="143"/>
      <c r="N107" s="143"/>
      <c r="O107" s="143"/>
      <c r="P107" s="159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8"/>
      <c r="BF107" s="88"/>
      <c r="BG107" s="88"/>
      <c r="BH107" s="88"/>
      <c r="BI107" s="88"/>
      <c r="BJ107" s="88"/>
      <c r="BK107" s="88"/>
      <c r="BL107" s="88"/>
      <c r="BM107" s="88"/>
      <c r="BN107" s="88"/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  <c r="BY107" s="88"/>
      <c r="BZ107" s="88"/>
      <c r="CA107" s="88"/>
      <c r="CB107" s="88"/>
      <c r="CC107" s="88"/>
      <c r="CD107" s="88"/>
      <c r="CE107" s="88"/>
      <c r="CF107" s="88"/>
      <c r="CG107" s="88"/>
      <c r="CH107" s="88"/>
      <c r="CI107" s="88"/>
      <c r="CJ107" s="88"/>
      <c r="CK107" s="88"/>
      <c r="CL107" s="88"/>
      <c r="CM107" s="88"/>
      <c r="CN107" s="88"/>
      <c r="CO107" s="88"/>
      <c r="CP107" s="88"/>
      <c r="CQ107" s="88"/>
      <c r="CR107" s="88"/>
      <c r="CS107" s="88"/>
      <c r="CT107" s="88"/>
      <c r="CU107" s="88"/>
      <c r="CV107" s="88"/>
      <c r="CW107" s="88"/>
      <c r="CX107" s="88"/>
      <c r="CY107" s="88"/>
      <c r="CZ107" s="88"/>
      <c r="DA107" s="88"/>
      <c r="DB107" s="88"/>
      <c r="DC107" s="88"/>
      <c r="DD107" s="88"/>
      <c r="DE107" s="88"/>
      <c r="DF107" s="88"/>
      <c r="DG107" s="88"/>
      <c r="DH107" s="88"/>
      <c r="DI107" s="88"/>
      <c r="DJ107" s="88"/>
      <c r="DK107" s="88"/>
      <c r="DL107" s="88"/>
      <c r="DM107" s="88"/>
      <c r="DN107" s="88"/>
      <c r="DO107" s="88"/>
      <c r="DP107" s="88"/>
      <c r="DQ107" s="88"/>
      <c r="DR107" s="88"/>
      <c r="DS107" s="88"/>
      <c r="DT107" s="88"/>
      <c r="DU107" s="88"/>
      <c r="DV107" s="88"/>
      <c r="DW107" s="88"/>
      <c r="DX107" s="88"/>
      <c r="DY107" s="88"/>
      <c r="DZ107" s="88"/>
      <c r="EA107" s="88"/>
      <c r="EB107" s="88"/>
      <c r="EC107" s="88"/>
      <c r="ED107" s="88"/>
      <c r="EE107" s="88"/>
      <c r="EF107" s="88"/>
      <c r="EG107" s="88"/>
      <c r="EH107" s="88"/>
      <c r="EI107" s="88"/>
      <c r="EJ107" s="88"/>
      <c r="EK107" s="88"/>
      <c r="EL107" s="88"/>
      <c r="EM107" s="88"/>
      <c r="EN107" s="88"/>
      <c r="EO107" s="88"/>
      <c r="EP107" s="88"/>
      <c r="EQ107" s="88"/>
      <c r="ER107" s="88"/>
      <c r="ES107" s="88"/>
      <c r="ET107" s="88"/>
      <c r="EU107" s="88"/>
      <c r="EV107" s="88"/>
      <c r="EW107" s="88"/>
      <c r="EX107" s="88"/>
      <c r="EY107" s="88"/>
      <c r="EZ107" s="88"/>
      <c r="FA107" s="88"/>
      <c r="FB107" s="88"/>
      <c r="FC107" s="88"/>
      <c r="FD107" s="88"/>
      <c r="FE107" s="88"/>
      <c r="FF107" s="88"/>
      <c r="FG107" s="88"/>
      <c r="FH107" s="88"/>
      <c r="FI107" s="88"/>
      <c r="FJ107" s="88"/>
      <c r="FK107" s="88"/>
      <c r="FL107" s="88"/>
      <c r="FM107" s="88"/>
      <c r="FN107" s="88"/>
      <c r="FO107" s="88"/>
      <c r="FP107" s="88"/>
      <c r="FQ107" s="88"/>
      <c r="FR107" s="88"/>
      <c r="FS107" s="88"/>
      <c r="FT107" s="88"/>
      <c r="FU107" s="88"/>
      <c r="FV107" s="88"/>
      <c r="FW107" s="88"/>
      <c r="FX107" s="88"/>
      <c r="FY107" s="88"/>
      <c r="FZ107" s="88"/>
      <c r="GA107" s="88"/>
      <c r="GB107" s="88"/>
      <c r="GC107" s="88"/>
      <c r="GD107" s="88"/>
      <c r="GE107" s="88"/>
      <c r="GF107" s="88"/>
      <c r="GG107" s="88"/>
      <c r="GH107" s="88"/>
      <c r="GI107" s="88"/>
      <c r="GJ107" s="88"/>
      <c r="GK107" s="88"/>
      <c r="GL107" s="88"/>
      <c r="GM107" s="88"/>
      <c r="GN107" s="88"/>
      <c r="GO107" s="88"/>
      <c r="GP107" s="88"/>
      <c r="GQ107" s="88"/>
      <c r="GR107" s="88"/>
      <c r="GS107" s="88"/>
      <c r="GT107" s="88"/>
      <c r="GU107" s="88"/>
      <c r="GV107" s="88"/>
      <c r="GW107" s="88"/>
      <c r="GX107" s="88"/>
      <c r="GY107" s="88"/>
      <c r="GZ107" s="88"/>
      <c r="HA107" s="88"/>
      <c r="HB107" s="88"/>
      <c r="HC107" s="88"/>
      <c r="HD107" s="88"/>
      <c r="HE107" s="88"/>
      <c r="HF107" s="88"/>
      <c r="HG107" s="88"/>
      <c r="HH107" s="88"/>
      <c r="HI107" s="88"/>
      <c r="HJ107" s="88"/>
      <c r="HK107" s="88"/>
      <c r="HL107" s="88"/>
      <c r="HM107" s="88"/>
      <c r="HN107" s="88"/>
      <c r="HO107" s="88"/>
      <c r="HP107" s="88"/>
      <c r="HQ107" s="88"/>
      <c r="HR107" s="88"/>
      <c r="HS107" s="88"/>
      <c r="HT107" s="88"/>
      <c r="HU107" s="88"/>
      <c r="HV107" s="88"/>
      <c r="HW107" s="88"/>
      <c r="HX107" s="88"/>
      <c r="HY107" s="88"/>
      <c r="HZ107" s="88"/>
      <c r="IA107" s="88"/>
      <c r="IB107" s="88"/>
      <c r="IC107" s="88"/>
      <c r="ID107" s="88"/>
      <c r="IE107" s="88"/>
      <c r="IF107" s="88"/>
      <c r="IG107" s="88"/>
      <c r="IH107" s="88"/>
      <c r="II107" s="88"/>
      <c r="IJ107" s="88"/>
      <c r="IK107" s="88"/>
      <c r="IL107" s="88"/>
      <c r="IM107" s="88"/>
      <c r="IN107" s="88"/>
      <c r="IO107" s="88"/>
      <c r="IP107" s="88"/>
      <c r="IQ107" s="88"/>
      <c r="IR107" s="88"/>
    </row>
    <row r="108" spans="2:252" s="145" customFormat="1" ht="14.25" customHeight="1">
      <c r="B108" s="160" t="s">
        <v>328</v>
      </c>
      <c r="C108" s="161" t="s">
        <v>206</v>
      </c>
      <c r="D108" s="157"/>
      <c r="E108" s="158">
        <v>46235</v>
      </c>
      <c r="F108" s="141">
        <f>NETWORKDAYS(E108,G108,Праздники!$A$1:$A$14)</f>
        <v>20</v>
      </c>
      <c r="G108" s="158">
        <v>46264</v>
      </c>
      <c r="H108" s="142">
        <v>1</v>
      </c>
      <c r="I108" s="157" t="s">
        <v>148</v>
      </c>
      <c r="J108" s="143" t="s">
        <v>208</v>
      </c>
      <c r="K108" s="143"/>
      <c r="L108" s="143"/>
      <c r="M108" s="154" t="s">
        <v>341</v>
      </c>
      <c r="N108" s="143"/>
      <c r="O108" s="143"/>
      <c r="P108" s="159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  <c r="CA108" s="88"/>
      <c r="CB108" s="88"/>
      <c r="CC108" s="88"/>
      <c r="CD108" s="88"/>
      <c r="CE108" s="88"/>
      <c r="CF108" s="88"/>
      <c r="CG108" s="88"/>
      <c r="CH108" s="88"/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  <c r="CS108" s="88"/>
      <c r="CT108" s="88"/>
      <c r="CU108" s="88"/>
      <c r="CV108" s="88"/>
      <c r="CW108" s="88"/>
      <c r="CX108" s="88"/>
      <c r="CY108" s="88"/>
      <c r="CZ108" s="88"/>
      <c r="DA108" s="88"/>
      <c r="DB108" s="88"/>
      <c r="DC108" s="88"/>
      <c r="DD108" s="88"/>
      <c r="DE108" s="88"/>
      <c r="DF108" s="88"/>
      <c r="DG108" s="88"/>
      <c r="DH108" s="88"/>
      <c r="DI108" s="88"/>
      <c r="DJ108" s="88"/>
      <c r="DK108" s="88"/>
      <c r="DL108" s="88"/>
      <c r="DM108" s="88"/>
      <c r="DN108" s="88"/>
      <c r="DO108" s="88"/>
      <c r="DP108" s="88"/>
      <c r="DQ108" s="88"/>
      <c r="DR108" s="88"/>
      <c r="DS108" s="88"/>
      <c r="DT108" s="88"/>
      <c r="DU108" s="88"/>
      <c r="DV108" s="88"/>
      <c r="DW108" s="88"/>
      <c r="DX108" s="88"/>
      <c r="DY108" s="88"/>
      <c r="DZ108" s="88"/>
      <c r="EA108" s="88"/>
      <c r="EB108" s="88"/>
      <c r="EC108" s="88"/>
      <c r="ED108" s="88"/>
      <c r="EE108" s="88"/>
      <c r="EF108" s="88"/>
      <c r="EG108" s="88"/>
      <c r="EH108" s="88"/>
      <c r="EI108" s="88"/>
      <c r="EJ108" s="88"/>
      <c r="EK108" s="88"/>
      <c r="EL108" s="88"/>
      <c r="EM108" s="88"/>
      <c r="EN108" s="88"/>
      <c r="EO108" s="88"/>
      <c r="EP108" s="88"/>
      <c r="EQ108" s="88"/>
      <c r="ER108" s="88"/>
      <c r="ES108" s="88"/>
      <c r="ET108" s="88"/>
      <c r="EU108" s="88"/>
      <c r="EV108" s="88"/>
      <c r="EW108" s="88"/>
      <c r="EX108" s="88"/>
      <c r="EY108" s="88"/>
      <c r="EZ108" s="88"/>
      <c r="FA108" s="88"/>
      <c r="FB108" s="88"/>
      <c r="FC108" s="88"/>
      <c r="FD108" s="88"/>
      <c r="FE108" s="88"/>
      <c r="FF108" s="88"/>
      <c r="FG108" s="88"/>
      <c r="FH108" s="88"/>
      <c r="FI108" s="88"/>
      <c r="FJ108" s="88"/>
      <c r="FK108" s="88"/>
      <c r="FL108" s="88"/>
      <c r="FM108" s="88"/>
      <c r="FN108" s="88"/>
      <c r="FO108" s="88"/>
      <c r="FP108" s="88"/>
      <c r="FQ108" s="88"/>
      <c r="FR108" s="88"/>
      <c r="FS108" s="88"/>
      <c r="FT108" s="88"/>
      <c r="FU108" s="88"/>
      <c r="FV108" s="88"/>
      <c r="FW108" s="88"/>
      <c r="FX108" s="88"/>
      <c r="FY108" s="88"/>
      <c r="FZ108" s="88"/>
      <c r="GA108" s="88"/>
      <c r="GB108" s="88"/>
      <c r="GC108" s="88"/>
      <c r="GD108" s="88"/>
      <c r="GE108" s="88"/>
      <c r="GF108" s="88"/>
      <c r="GG108" s="88"/>
      <c r="GH108" s="88"/>
      <c r="GI108" s="88"/>
      <c r="GJ108" s="88"/>
      <c r="GK108" s="88"/>
      <c r="GL108" s="88"/>
      <c r="GM108" s="88"/>
      <c r="GN108" s="88"/>
      <c r="GO108" s="88"/>
      <c r="GP108" s="88"/>
      <c r="GQ108" s="88"/>
      <c r="GR108" s="88"/>
      <c r="GS108" s="88"/>
      <c r="GT108" s="88"/>
      <c r="GU108" s="88"/>
      <c r="GV108" s="88"/>
      <c r="GW108" s="88"/>
      <c r="GX108" s="88"/>
      <c r="GY108" s="88"/>
      <c r="GZ108" s="88"/>
      <c r="HA108" s="88"/>
      <c r="HB108" s="88"/>
      <c r="HC108" s="88"/>
      <c r="HD108" s="88"/>
      <c r="HE108" s="88"/>
      <c r="HF108" s="88"/>
      <c r="HG108" s="88"/>
      <c r="HH108" s="88"/>
      <c r="HI108" s="88"/>
      <c r="HJ108" s="88"/>
      <c r="HK108" s="88"/>
      <c r="HL108" s="88"/>
      <c r="HM108" s="88"/>
      <c r="HN108" s="88"/>
      <c r="HO108" s="88"/>
      <c r="HP108" s="88"/>
      <c r="HQ108" s="88"/>
      <c r="HR108" s="88"/>
      <c r="HS108" s="88"/>
      <c r="HT108" s="88"/>
      <c r="HU108" s="88"/>
      <c r="HV108" s="88"/>
      <c r="HW108" s="88"/>
      <c r="HX108" s="88"/>
      <c r="HY108" s="88"/>
      <c r="HZ108" s="88"/>
      <c r="IA108" s="88"/>
      <c r="IB108" s="88"/>
      <c r="IC108" s="88"/>
      <c r="ID108" s="88"/>
      <c r="IE108" s="88"/>
      <c r="IF108" s="88"/>
      <c r="IG108" s="88"/>
      <c r="IH108" s="88"/>
      <c r="II108" s="88"/>
      <c r="IJ108" s="88"/>
      <c r="IK108" s="88"/>
      <c r="IL108" s="88"/>
      <c r="IM108" s="88"/>
      <c r="IN108" s="88"/>
      <c r="IO108" s="88"/>
      <c r="IP108" s="88"/>
      <c r="IQ108" s="88"/>
      <c r="IR108" s="88"/>
    </row>
    <row r="109" spans="2:252" s="145" customFormat="1" ht="14.25" customHeight="1">
      <c r="B109" s="160" t="s">
        <v>329</v>
      </c>
      <c r="C109" s="161" t="s">
        <v>207</v>
      </c>
      <c r="D109" s="157"/>
      <c r="E109" s="158">
        <v>46268</v>
      </c>
      <c r="F109" s="141">
        <f>NETWORKDAYS(E109,G109,Праздники!$A$1:$A$14)</f>
        <v>2</v>
      </c>
      <c r="G109" s="158">
        <v>46269</v>
      </c>
      <c r="H109" s="142">
        <v>0.5</v>
      </c>
      <c r="I109" s="157" t="s">
        <v>151</v>
      </c>
      <c r="J109" s="143" t="s">
        <v>150</v>
      </c>
      <c r="K109" s="143"/>
      <c r="L109" s="143" t="s">
        <v>305</v>
      </c>
      <c r="M109" s="143"/>
      <c r="N109" s="143"/>
      <c r="O109" s="143"/>
      <c r="P109" s="159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  <c r="CA109" s="88"/>
      <c r="CB109" s="88"/>
      <c r="CC109" s="88"/>
      <c r="CD109" s="88"/>
      <c r="CE109" s="88"/>
      <c r="CF109" s="88"/>
      <c r="CG109" s="88"/>
      <c r="CH109" s="88"/>
      <c r="CI109" s="88"/>
      <c r="CJ109" s="88"/>
      <c r="CK109" s="88"/>
      <c r="CL109" s="88"/>
      <c r="CM109" s="88"/>
      <c r="CN109" s="88"/>
      <c r="CO109" s="88"/>
      <c r="CP109" s="88"/>
      <c r="CQ109" s="88"/>
      <c r="CR109" s="88"/>
      <c r="CS109" s="88"/>
      <c r="CT109" s="88"/>
      <c r="CU109" s="88"/>
      <c r="CV109" s="88"/>
      <c r="CW109" s="88"/>
      <c r="CX109" s="88"/>
      <c r="CY109" s="88"/>
      <c r="CZ109" s="88"/>
      <c r="DA109" s="88"/>
      <c r="DB109" s="88"/>
      <c r="DC109" s="88"/>
      <c r="DD109" s="88"/>
      <c r="DE109" s="88"/>
      <c r="DF109" s="88"/>
      <c r="DG109" s="88"/>
      <c r="DH109" s="88"/>
      <c r="DI109" s="88"/>
      <c r="DJ109" s="88"/>
      <c r="DK109" s="88"/>
      <c r="DL109" s="88"/>
      <c r="DM109" s="88"/>
      <c r="DN109" s="88"/>
      <c r="DO109" s="88"/>
      <c r="DP109" s="88"/>
      <c r="DQ109" s="88"/>
      <c r="DR109" s="88"/>
      <c r="DS109" s="88"/>
      <c r="DT109" s="88"/>
      <c r="DU109" s="88"/>
      <c r="DV109" s="88"/>
      <c r="DW109" s="88"/>
      <c r="DX109" s="88"/>
      <c r="DY109" s="88"/>
      <c r="DZ109" s="88"/>
      <c r="EA109" s="88"/>
      <c r="EB109" s="88"/>
      <c r="EC109" s="88"/>
      <c r="ED109" s="88"/>
      <c r="EE109" s="88"/>
      <c r="EF109" s="88"/>
      <c r="EG109" s="88"/>
      <c r="EH109" s="88"/>
      <c r="EI109" s="88"/>
      <c r="EJ109" s="88"/>
      <c r="EK109" s="88"/>
      <c r="EL109" s="88"/>
      <c r="EM109" s="88"/>
      <c r="EN109" s="88"/>
      <c r="EO109" s="88"/>
      <c r="EP109" s="88"/>
      <c r="EQ109" s="88"/>
      <c r="ER109" s="88"/>
      <c r="ES109" s="88"/>
      <c r="ET109" s="88"/>
      <c r="EU109" s="88"/>
      <c r="EV109" s="88"/>
      <c r="EW109" s="88"/>
      <c r="EX109" s="88"/>
      <c r="EY109" s="88"/>
      <c r="EZ109" s="88"/>
      <c r="FA109" s="88"/>
      <c r="FB109" s="88"/>
      <c r="FC109" s="88"/>
      <c r="FD109" s="88"/>
      <c r="FE109" s="88"/>
      <c r="FF109" s="88"/>
      <c r="FG109" s="88"/>
      <c r="FH109" s="88"/>
      <c r="FI109" s="88"/>
      <c r="FJ109" s="88"/>
      <c r="FK109" s="88"/>
      <c r="FL109" s="88"/>
      <c r="FM109" s="88"/>
      <c r="FN109" s="88"/>
      <c r="FO109" s="88"/>
      <c r="FP109" s="88"/>
      <c r="FQ109" s="88"/>
      <c r="FR109" s="88"/>
      <c r="FS109" s="88"/>
      <c r="FT109" s="88"/>
      <c r="FU109" s="88"/>
      <c r="FV109" s="88"/>
      <c r="FW109" s="88"/>
      <c r="FX109" s="88"/>
      <c r="FY109" s="88"/>
      <c r="FZ109" s="88"/>
      <c r="GA109" s="88"/>
      <c r="GB109" s="88"/>
      <c r="GC109" s="88"/>
      <c r="GD109" s="88"/>
      <c r="GE109" s="88"/>
      <c r="GF109" s="88"/>
      <c r="GG109" s="88"/>
      <c r="GH109" s="88"/>
      <c r="GI109" s="88"/>
      <c r="GJ109" s="88"/>
      <c r="GK109" s="88"/>
      <c r="GL109" s="88"/>
      <c r="GM109" s="88"/>
      <c r="GN109" s="88"/>
      <c r="GO109" s="88"/>
      <c r="GP109" s="88"/>
      <c r="GQ109" s="88"/>
      <c r="GR109" s="88"/>
      <c r="GS109" s="88"/>
      <c r="GT109" s="88"/>
      <c r="GU109" s="88"/>
      <c r="GV109" s="88"/>
      <c r="GW109" s="88"/>
      <c r="GX109" s="88"/>
      <c r="GY109" s="88"/>
      <c r="GZ109" s="88"/>
      <c r="HA109" s="88"/>
      <c r="HB109" s="88"/>
      <c r="HC109" s="88"/>
      <c r="HD109" s="88"/>
      <c r="HE109" s="88"/>
      <c r="HF109" s="88"/>
      <c r="HG109" s="88"/>
      <c r="HH109" s="88"/>
      <c r="HI109" s="88"/>
      <c r="HJ109" s="88"/>
      <c r="HK109" s="88"/>
      <c r="HL109" s="88"/>
      <c r="HM109" s="88"/>
      <c r="HN109" s="88"/>
      <c r="HO109" s="88"/>
      <c r="HP109" s="88"/>
      <c r="HQ109" s="88"/>
      <c r="HR109" s="88"/>
      <c r="HS109" s="88"/>
      <c r="HT109" s="88"/>
      <c r="HU109" s="88"/>
      <c r="HV109" s="88"/>
      <c r="HW109" s="88"/>
      <c r="HX109" s="88"/>
      <c r="HY109" s="88"/>
      <c r="HZ109" s="88"/>
      <c r="IA109" s="88"/>
      <c r="IB109" s="88"/>
      <c r="IC109" s="88"/>
      <c r="ID109" s="88"/>
      <c r="IE109" s="88"/>
      <c r="IF109" s="88"/>
      <c r="IG109" s="88"/>
      <c r="IH109" s="88"/>
      <c r="II109" s="88"/>
      <c r="IJ109" s="88"/>
      <c r="IK109" s="88"/>
      <c r="IL109" s="88"/>
      <c r="IM109" s="88"/>
      <c r="IN109" s="88"/>
      <c r="IO109" s="88"/>
      <c r="IP109" s="88"/>
      <c r="IQ109" s="88"/>
      <c r="IR109" s="88"/>
    </row>
    <row r="110" spans="2:252" s="145" customFormat="1" ht="14.25" customHeight="1">
      <c r="B110" s="155" t="s">
        <v>330</v>
      </c>
      <c r="C110" s="156" t="s">
        <v>336</v>
      </c>
      <c r="D110" s="157"/>
      <c r="E110" s="158"/>
      <c r="F110" s="141"/>
      <c r="G110" s="158"/>
      <c r="H110" s="142"/>
      <c r="I110" s="157"/>
      <c r="J110" s="143"/>
      <c r="K110" s="143"/>
      <c r="L110" s="143"/>
      <c r="M110" s="143"/>
      <c r="N110" s="143"/>
      <c r="O110" s="143"/>
      <c r="P110" s="159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  <c r="BG110" s="88"/>
      <c r="BH110" s="88"/>
      <c r="BI110" s="88"/>
      <c r="BJ110" s="88"/>
      <c r="BK110" s="88"/>
      <c r="BL110" s="88"/>
      <c r="BM110" s="88"/>
      <c r="BN110" s="88"/>
      <c r="BO110" s="88"/>
      <c r="BP110" s="88"/>
      <c r="BQ110" s="88"/>
      <c r="BR110" s="88"/>
      <c r="BS110" s="88"/>
      <c r="BT110" s="88"/>
      <c r="BU110" s="88"/>
      <c r="BV110" s="88"/>
      <c r="BW110" s="88"/>
      <c r="BX110" s="88"/>
      <c r="BY110" s="88"/>
      <c r="BZ110" s="88"/>
      <c r="CA110" s="88"/>
      <c r="CB110" s="88"/>
      <c r="CC110" s="88"/>
      <c r="CD110" s="88"/>
      <c r="CE110" s="88"/>
      <c r="CF110" s="88"/>
      <c r="CG110" s="88"/>
      <c r="CH110" s="88"/>
      <c r="CI110" s="88"/>
      <c r="CJ110" s="88"/>
      <c r="CK110" s="88"/>
      <c r="CL110" s="88"/>
      <c r="CM110" s="88"/>
      <c r="CN110" s="88"/>
      <c r="CO110" s="88"/>
      <c r="CP110" s="88"/>
      <c r="CQ110" s="88"/>
      <c r="CR110" s="88"/>
      <c r="CS110" s="88"/>
      <c r="CT110" s="88"/>
      <c r="CU110" s="88"/>
      <c r="CV110" s="88"/>
      <c r="CW110" s="88"/>
      <c r="CX110" s="88"/>
      <c r="CY110" s="88"/>
      <c r="CZ110" s="88"/>
      <c r="DA110" s="88"/>
      <c r="DB110" s="88"/>
      <c r="DC110" s="88"/>
      <c r="DD110" s="88"/>
      <c r="DE110" s="88"/>
      <c r="DF110" s="88"/>
      <c r="DG110" s="88"/>
      <c r="DH110" s="88"/>
      <c r="DI110" s="88"/>
      <c r="DJ110" s="88"/>
      <c r="DK110" s="88"/>
      <c r="DL110" s="88"/>
      <c r="DM110" s="88"/>
      <c r="DN110" s="88"/>
      <c r="DO110" s="88"/>
      <c r="DP110" s="88"/>
      <c r="DQ110" s="88"/>
      <c r="DR110" s="88"/>
      <c r="DS110" s="88"/>
      <c r="DT110" s="88"/>
      <c r="DU110" s="88"/>
      <c r="DV110" s="88"/>
      <c r="DW110" s="88"/>
      <c r="DX110" s="88"/>
      <c r="DY110" s="88"/>
      <c r="DZ110" s="88"/>
      <c r="EA110" s="88"/>
      <c r="EB110" s="88"/>
      <c r="EC110" s="88"/>
      <c r="ED110" s="88"/>
      <c r="EE110" s="88"/>
      <c r="EF110" s="88"/>
      <c r="EG110" s="88"/>
      <c r="EH110" s="88"/>
      <c r="EI110" s="88"/>
      <c r="EJ110" s="88"/>
      <c r="EK110" s="88"/>
      <c r="EL110" s="88"/>
      <c r="EM110" s="88"/>
      <c r="EN110" s="88"/>
      <c r="EO110" s="88"/>
      <c r="EP110" s="88"/>
      <c r="EQ110" s="88"/>
      <c r="ER110" s="88"/>
      <c r="ES110" s="88"/>
      <c r="ET110" s="88"/>
      <c r="EU110" s="88"/>
      <c r="EV110" s="88"/>
      <c r="EW110" s="88"/>
      <c r="EX110" s="88"/>
      <c r="EY110" s="88"/>
      <c r="EZ110" s="88"/>
      <c r="FA110" s="88"/>
      <c r="FB110" s="88"/>
      <c r="FC110" s="88"/>
      <c r="FD110" s="88"/>
      <c r="FE110" s="88"/>
      <c r="FF110" s="88"/>
      <c r="FG110" s="88"/>
      <c r="FH110" s="88"/>
      <c r="FI110" s="88"/>
      <c r="FJ110" s="88"/>
      <c r="FK110" s="88"/>
      <c r="FL110" s="88"/>
      <c r="FM110" s="88"/>
      <c r="FN110" s="88"/>
      <c r="FO110" s="88"/>
      <c r="FP110" s="88"/>
      <c r="FQ110" s="88"/>
      <c r="FR110" s="88"/>
      <c r="FS110" s="88"/>
      <c r="FT110" s="88"/>
      <c r="FU110" s="88"/>
      <c r="FV110" s="88"/>
      <c r="FW110" s="88"/>
      <c r="FX110" s="88"/>
      <c r="FY110" s="88"/>
      <c r="FZ110" s="88"/>
      <c r="GA110" s="88"/>
      <c r="GB110" s="88"/>
      <c r="GC110" s="88"/>
      <c r="GD110" s="88"/>
      <c r="GE110" s="88"/>
      <c r="GF110" s="88"/>
      <c r="GG110" s="88"/>
      <c r="GH110" s="88"/>
      <c r="GI110" s="88"/>
      <c r="GJ110" s="88"/>
      <c r="GK110" s="88"/>
      <c r="GL110" s="88"/>
      <c r="GM110" s="88"/>
      <c r="GN110" s="88"/>
      <c r="GO110" s="88"/>
      <c r="GP110" s="88"/>
      <c r="GQ110" s="88"/>
      <c r="GR110" s="88"/>
      <c r="GS110" s="88"/>
      <c r="GT110" s="88"/>
      <c r="GU110" s="88"/>
      <c r="GV110" s="88"/>
      <c r="GW110" s="88"/>
      <c r="GX110" s="88"/>
      <c r="GY110" s="88"/>
      <c r="GZ110" s="88"/>
      <c r="HA110" s="88"/>
      <c r="HB110" s="88"/>
      <c r="HC110" s="88"/>
      <c r="HD110" s="88"/>
      <c r="HE110" s="88"/>
      <c r="HF110" s="88"/>
      <c r="HG110" s="88"/>
      <c r="HH110" s="88"/>
      <c r="HI110" s="88"/>
      <c r="HJ110" s="88"/>
      <c r="HK110" s="88"/>
      <c r="HL110" s="88"/>
      <c r="HM110" s="88"/>
      <c r="HN110" s="88"/>
      <c r="HO110" s="88"/>
      <c r="HP110" s="88"/>
      <c r="HQ110" s="88"/>
      <c r="HR110" s="88"/>
      <c r="HS110" s="88"/>
      <c r="HT110" s="88"/>
      <c r="HU110" s="88"/>
      <c r="HV110" s="88"/>
      <c r="HW110" s="88"/>
      <c r="HX110" s="88"/>
      <c r="HY110" s="88"/>
      <c r="HZ110" s="88"/>
      <c r="IA110" s="88"/>
      <c r="IB110" s="88"/>
      <c r="IC110" s="88"/>
      <c r="ID110" s="88"/>
      <c r="IE110" s="88"/>
      <c r="IF110" s="88"/>
      <c r="IG110" s="88"/>
      <c r="IH110" s="88"/>
      <c r="II110" s="88"/>
      <c r="IJ110" s="88"/>
      <c r="IK110" s="88"/>
      <c r="IL110" s="88"/>
      <c r="IM110" s="88"/>
      <c r="IN110" s="88"/>
      <c r="IO110" s="88"/>
      <c r="IP110" s="88"/>
      <c r="IQ110" s="88"/>
      <c r="IR110" s="88"/>
    </row>
    <row r="111" spans="2:252" s="145" customFormat="1" ht="14.25" customHeight="1">
      <c r="B111" s="160" t="s">
        <v>331</v>
      </c>
      <c r="C111" s="161" t="s">
        <v>335</v>
      </c>
      <c r="D111" s="157" t="s">
        <v>17</v>
      </c>
      <c r="E111" s="158">
        <v>46235</v>
      </c>
      <c r="F111" s="141">
        <f>NETWORKDAYS(E111,G111,Праздники!$A$1:$A$14)</f>
        <v>35</v>
      </c>
      <c r="G111" s="158">
        <v>46283</v>
      </c>
      <c r="H111" s="142">
        <v>0</v>
      </c>
      <c r="I111" s="157" t="s">
        <v>147</v>
      </c>
      <c r="J111" s="143"/>
      <c r="K111" s="143"/>
      <c r="L111" s="143"/>
      <c r="M111" s="143"/>
      <c r="N111" s="143"/>
      <c r="O111" s="143"/>
      <c r="P111" s="159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  <c r="BL111" s="88"/>
      <c r="BM111" s="88"/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88"/>
      <c r="CA111" s="88"/>
      <c r="CB111" s="88"/>
      <c r="CC111" s="88"/>
      <c r="CD111" s="88"/>
      <c r="CE111" s="88"/>
      <c r="CF111" s="88"/>
      <c r="CG111" s="88"/>
      <c r="CH111" s="88"/>
      <c r="CI111" s="88"/>
      <c r="CJ111" s="88"/>
      <c r="CK111" s="88"/>
      <c r="CL111" s="88"/>
      <c r="CM111" s="88"/>
      <c r="CN111" s="88"/>
      <c r="CO111" s="88"/>
      <c r="CP111" s="88"/>
      <c r="CQ111" s="88"/>
      <c r="CR111" s="88"/>
      <c r="CS111" s="88"/>
      <c r="CT111" s="88"/>
      <c r="CU111" s="88"/>
      <c r="CV111" s="88"/>
      <c r="CW111" s="88"/>
      <c r="CX111" s="88"/>
      <c r="CY111" s="88"/>
      <c r="CZ111" s="88"/>
      <c r="DA111" s="88"/>
      <c r="DB111" s="88"/>
      <c r="DC111" s="88"/>
      <c r="DD111" s="88"/>
      <c r="DE111" s="88"/>
      <c r="DF111" s="88"/>
      <c r="DG111" s="88"/>
      <c r="DH111" s="88"/>
      <c r="DI111" s="88"/>
      <c r="DJ111" s="88"/>
      <c r="DK111" s="88"/>
      <c r="DL111" s="88"/>
      <c r="DM111" s="88"/>
      <c r="DN111" s="88"/>
      <c r="DO111" s="88"/>
      <c r="DP111" s="88"/>
      <c r="DQ111" s="88"/>
      <c r="DR111" s="88"/>
      <c r="DS111" s="88"/>
      <c r="DT111" s="88"/>
      <c r="DU111" s="88"/>
      <c r="DV111" s="88"/>
      <c r="DW111" s="88"/>
      <c r="DX111" s="88"/>
      <c r="DY111" s="88"/>
      <c r="DZ111" s="88"/>
      <c r="EA111" s="88"/>
      <c r="EB111" s="88"/>
      <c r="EC111" s="88"/>
      <c r="ED111" s="88"/>
      <c r="EE111" s="88"/>
      <c r="EF111" s="88"/>
      <c r="EG111" s="88"/>
      <c r="EH111" s="88"/>
      <c r="EI111" s="88"/>
      <c r="EJ111" s="88"/>
      <c r="EK111" s="88"/>
      <c r="EL111" s="88"/>
      <c r="EM111" s="88"/>
      <c r="EN111" s="88"/>
      <c r="EO111" s="88"/>
      <c r="EP111" s="88"/>
      <c r="EQ111" s="88"/>
      <c r="ER111" s="88"/>
      <c r="ES111" s="88"/>
      <c r="ET111" s="88"/>
      <c r="EU111" s="88"/>
      <c r="EV111" s="88"/>
      <c r="EW111" s="88"/>
      <c r="EX111" s="88"/>
      <c r="EY111" s="88"/>
      <c r="EZ111" s="88"/>
      <c r="FA111" s="88"/>
      <c r="FB111" s="88"/>
      <c r="FC111" s="88"/>
      <c r="FD111" s="88"/>
      <c r="FE111" s="88"/>
      <c r="FF111" s="88"/>
      <c r="FG111" s="88"/>
      <c r="FH111" s="88"/>
      <c r="FI111" s="88"/>
      <c r="FJ111" s="88"/>
      <c r="FK111" s="88"/>
      <c r="FL111" s="88"/>
      <c r="FM111" s="88"/>
      <c r="FN111" s="88"/>
      <c r="FO111" s="88"/>
      <c r="FP111" s="88"/>
      <c r="FQ111" s="88"/>
      <c r="FR111" s="88"/>
      <c r="FS111" s="88"/>
      <c r="FT111" s="88"/>
      <c r="FU111" s="88"/>
      <c r="FV111" s="88"/>
      <c r="FW111" s="88"/>
      <c r="FX111" s="88"/>
      <c r="FY111" s="88"/>
      <c r="FZ111" s="88"/>
      <c r="GA111" s="88"/>
      <c r="GB111" s="88"/>
      <c r="GC111" s="88"/>
      <c r="GD111" s="88"/>
      <c r="GE111" s="88"/>
      <c r="GF111" s="88"/>
      <c r="GG111" s="88"/>
      <c r="GH111" s="88"/>
      <c r="GI111" s="88"/>
      <c r="GJ111" s="88"/>
      <c r="GK111" s="88"/>
      <c r="GL111" s="88"/>
      <c r="GM111" s="88"/>
      <c r="GN111" s="88"/>
      <c r="GO111" s="88"/>
      <c r="GP111" s="88"/>
      <c r="GQ111" s="88"/>
      <c r="GR111" s="88"/>
      <c r="GS111" s="88"/>
      <c r="GT111" s="88"/>
      <c r="GU111" s="88"/>
      <c r="GV111" s="88"/>
      <c r="GW111" s="88"/>
      <c r="GX111" s="88"/>
      <c r="GY111" s="88"/>
      <c r="GZ111" s="88"/>
      <c r="HA111" s="88"/>
      <c r="HB111" s="88"/>
      <c r="HC111" s="88"/>
      <c r="HD111" s="88"/>
      <c r="HE111" s="88"/>
      <c r="HF111" s="88"/>
      <c r="HG111" s="88"/>
      <c r="HH111" s="88"/>
      <c r="HI111" s="88"/>
      <c r="HJ111" s="88"/>
      <c r="HK111" s="88"/>
      <c r="HL111" s="88"/>
      <c r="HM111" s="88"/>
      <c r="HN111" s="88"/>
      <c r="HO111" s="88"/>
      <c r="HP111" s="88"/>
      <c r="HQ111" s="88"/>
      <c r="HR111" s="88"/>
      <c r="HS111" s="88"/>
      <c r="HT111" s="88"/>
      <c r="HU111" s="88"/>
      <c r="HV111" s="88"/>
      <c r="HW111" s="88"/>
      <c r="HX111" s="88"/>
      <c r="HY111" s="88"/>
      <c r="HZ111" s="88"/>
      <c r="IA111" s="88"/>
      <c r="IB111" s="88"/>
      <c r="IC111" s="88"/>
      <c r="ID111" s="88"/>
      <c r="IE111" s="88"/>
      <c r="IF111" s="88"/>
      <c r="IG111" s="88"/>
      <c r="IH111" s="88"/>
      <c r="II111" s="88"/>
      <c r="IJ111" s="88"/>
      <c r="IK111" s="88"/>
      <c r="IL111" s="88"/>
      <c r="IM111" s="88"/>
      <c r="IN111" s="88"/>
      <c r="IO111" s="88"/>
      <c r="IP111" s="88"/>
      <c r="IQ111" s="88"/>
      <c r="IR111" s="88"/>
    </row>
    <row r="112" spans="2:252" s="145" customFormat="1" ht="14.25" customHeight="1">
      <c r="B112" s="160" t="s">
        <v>334</v>
      </c>
      <c r="C112" s="161" t="s">
        <v>332</v>
      </c>
      <c r="D112" s="157" t="s">
        <v>17</v>
      </c>
      <c r="E112" s="158">
        <v>46235</v>
      </c>
      <c r="F112" s="141">
        <f>NETWORKDAYS(E112,G112,Праздники!$A$1:$A$14)</f>
        <v>35</v>
      </c>
      <c r="G112" s="158">
        <v>46283</v>
      </c>
      <c r="H112" s="142">
        <v>0</v>
      </c>
      <c r="I112" s="157" t="s">
        <v>147</v>
      </c>
      <c r="J112" s="143"/>
      <c r="K112" s="143"/>
      <c r="L112" s="143"/>
      <c r="M112" s="143"/>
      <c r="N112" s="143"/>
      <c r="O112" s="143"/>
      <c r="P112" s="159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  <c r="BU112" s="88"/>
      <c r="BV112" s="88"/>
      <c r="BW112" s="88"/>
      <c r="BX112" s="88"/>
      <c r="BY112" s="88"/>
      <c r="BZ112" s="88"/>
      <c r="CA112" s="88"/>
      <c r="CB112" s="88"/>
      <c r="CC112" s="88"/>
      <c r="CD112" s="88"/>
      <c r="CE112" s="88"/>
      <c r="CF112" s="88"/>
      <c r="CG112" s="88"/>
      <c r="CH112" s="88"/>
      <c r="CI112" s="88"/>
      <c r="CJ112" s="88"/>
      <c r="CK112" s="88"/>
      <c r="CL112" s="88"/>
      <c r="CM112" s="88"/>
      <c r="CN112" s="88"/>
      <c r="CO112" s="88"/>
      <c r="CP112" s="88"/>
      <c r="CQ112" s="88"/>
      <c r="CR112" s="88"/>
      <c r="CS112" s="88"/>
      <c r="CT112" s="88"/>
      <c r="CU112" s="88"/>
      <c r="CV112" s="88"/>
      <c r="CW112" s="88"/>
      <c r="CX112" s="88"/>
      <c r="CY112" s="88"/>
      <c r="CZ112" s="88"/>
      <c r="DA112" s="88"/>
      <c r="DB112" s="88"/>
      <c r="DC112" s="88"/>
      <c r="DD112" s="88"/>
      <c r="DE112" s="88"/>
      <c r="DF112" s="88"/>
      <c r="DG112" s="88"/>
      <c r="DH112" s="88"/>
      <c r="DI112" s="88"/>
      <c r="DJ112" s="88"/>
      <c r="DK112" s="88"/>
      <c r="DL112" s="88"/>
      <c r="DM112" s="88"/>
      <c r="DN112" s="88"/>
      <c r="DO112" s="88"/>
      <c r="DP112" s="88"/>
      <c r="DQ112" s="88"/>
      <c r="DR112" s="88"/>
      <c r="DS112" s="88"/>
      <c r="DT112" s="88"/>
      <c r="DU112" s="88"/>
      <c r="DV112" s="88"/>
      <c r="DW112" s="88"/>
      <c r="DX112" s="88"/>
      <c r="DY112" s="88"/>
      <c r="DZ112" s="88"/>
      <c r="EA112" s="88"/>
      <c r="EB112" s="88"/>
      <c r="EC112" s="88"/>
      <c r="ED112" s="88"/>
      <c r="EE112" s="88"/>
      <c r="EF112" s="88"/>
      <c r="EG112" s="88"/>
      <c r="EH112" s="88"/>
      <c r="EI112" s="88"/>
      <c r="EJ112" s="88"/>
      <c r="EK112" s="88"/>
      <c r="EL112" s="88"/>
      <c r="EM112" s="88"/>
      <c r="EN112" s="88"/>
      <c r="EO112" s="88"/>
      <c r="EP112" s="88"/>
      <c r="EQ112" s="88"/>
      <c r="ER112" s="88"/>
      <c r="ES112" s="88"/>
      <c r="ET112" s="88"/>
      <c r="EU112" s="88"/>
      <c r="EV112" s="88"/>
      <c r="EW112" s="88"/>
      <c r="EX112" s="88"/>
      <c r="EY112" s="88"/>
      <c r="EZ112" s="88"/>
      <c r="FA112" s="88"/>
      <c r="FB112" s="88"/>
      <c r="FC112" s="88"/>
      <c r="FD112" s="88"/>
      <c r="FE112" s="88"/>
      <c r="FF112" s="88"/>
      <c r="FG112" s="88"/>
      <c r="FH112" s="88"/>
      <c r="FI112" s="88"/>
      <c r="FJ112" s="88"/>
      <c r="FK112" s="88"/>
      <c r="FL112" s="88"/>
      <c r="FM112" s="88"/>
      <c r="FN112" s="88"/>
      <c r="FO112" s="88"/>
      <c r="FP112" s="88"/>
      <c r="FQ112" s="88"/>
      <c r="FR112" s="88"/>
      <c r="FS112" s="88"/>
      <c r="FT112" s="88"/>
      <c r="FU112" s="88"/>
      <c r="FV112" s="88"/>
      <c r="FW112" s="88"/>
      <c r="FX112" s="88"/>
      <c r="FY112" s="88"/>
      <c r="FZ112" s="88"/>
      <c r="GA112" s="88"/>
      <c r="GB112" s="88"/>
      <c r="GC112" s="88"/>
      <c r="GD112" s="88"/>
      <c r="GE112" s="88"/>
      <c r="GF112" s="88"/>
      <c r="GG112" s="88"/>
      <c r="GH112" s="88"/>
      <c r="GI112" s="88"/>
      <c r="GJ112" s="88"/>
      <c r="GK112" s="88"/>
      <c r="GL112" s="88"/>
      <c r="GM112" s="88"/>
      <c r="GN112" s="88"/>
      <c r="GO112" s="88"/>
      <c r="GP112" s="88"/>
      <c r="GQ112" s="88"/>
      <c r="GR112" s="88"/>
      <c r="GS112" s="88"/>
      <c r="GT112" s="88"/>
      <c r="GU112" s="88"/>
      <c r="GV112" s="88"/>
      <c r="GW112" s="88"/>
      <c r="GX112" s="88"/>
      <c r="GY112" s="88"/>
      <c r="GZ112" s="88"/>
      <c r="HA112" s="88"/>
      <c r="HB112" s="88"/>
      <c r="HC112" s="88"/>
      <c r="HD112" s="88"/>
      <c r="HE112" s="88"/>
      <c r="HF112" s="88"/>
      <c r="HG112" s="88"/>
      <c r="HH112" s="88"/>
      <c r="HI112" s="88"/>
      <c r="HJ112" s="88"/>
      <c r="HK112" s="88"/>
      <c r="HL112" s="88"/>
      <c r="HM112" s="88"/>
      <c r="HN112" s="88"/>
      <c r="HO112" s="88"/>
      <c r="HP112" s="88"/>
      <c r="HQ112" s="88"/>
      <c r="HR112" s="88"/>
      <c r="HS112" s="88"/>
      <c r="HT112" s="88"/>
      <c r="HU112" s="88"/>
      <c r="HV112" s="88"/>
      <c r="HW112" s="88"/>
      <c r="HX112" s="88"/>
      <c r="HY112" s="88"/>
      <c r="HZ112" s="88"/>
      <c r="IA112" s="88"/>
      <c r="IB112" s="88"/>
      <c r="IC112" s="88"/>
      <c r="ID112" s="88"/>
      <c r="IE112" s="88"/>
      <c r="IF112" s="88"/>
      <c r="IG112" s="88"/>
      <c r="IH112" s="88"/>
      <c r="II112" s="88"/>
      <c r="IJ112" s="88"/>
      <c r="IK112" s="88"/>
      <c r="IL112" s="88"/>
      <c r="IM112" s="88"/>
      <c r="IN112" s="88"/>
      <c r="IO112" s="88"/>
      <c r="IP112" s="88"/>
      <c r="IQ112" s="88"/>
      <c r="IR112" s="88"/>
    </row>
    <row r="113" spans="2:252" s="145" customFormat="1" ht="14.25" customHeight="1">
      <c r="B113" s="160" t="s">
        <v>337</v>
      </c>
      <c r="C113" s="161" t="s">
        <v>333</v>
      </c>
      <c r="D113" s="157" t="s">
        <v>17</v>
      </c>
      <c r="E113" s="158">
        <v>46235</v>
      </c>
      <c r="F113" s="141">
        <f>NETWORKDAYS(E113,G113,Праздники!$A$1:$A$14)</f>
        <v>35</v>
      </c>
      <c r="G113" s="158">
        <v>46283</v>
      </c>
      <c r="H113" s="142">
        <v>0</v>
      </c>
      <c r="I113" s="157" t="s">
        <v>147</v>
      </c>
      <c r="J113" s="143"/>
      <c r="K113" s="143"/>
      <c r="L113" s="143"/>
      <c r="M113" s="143"/>
      <c r="N113" s="143"/>
      <c r="O113" s="143"/>
      <c r="P113" s="159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88"/>
      <c r="BK113" s="88"/>
      <c r="BL113" s="88"/>
      <c r="BM113" s="88"/>
      <c r="BN113" s="88"/>
      <c r="BO113" s="88"/>
      <c r="BP113" s="88"/>
      <c r="BQ113" s="88"/>
      <c r="BR113" s="88"/>
      <c r="BS113" s="88"/>
      <c r="BT113" s="88"/>
      <c r="BU113" s="88"/>
      <c r="BV113" s="88"/>
      <c r="BW113" s="88"/>
      <c r="BX113" s="88"/>
      <c r="BY113" s="88"/>
      <c r="BZ113" s="88"/>
      <c r="CA113" s="88"/>
      <c r="CB113" s="88"/>
      <c r="CC113" s="88"/>
      <c r="CD113" s="88"/>
      <c r="CE113" s="88"/>
      <c r="CF113" s="88"/>
      <c r="CG113" s="88"/>
      <c r="CH113" s="88"/>
      <c r="CI113" s="88"/>
      <c r="CJ113" s="88"/>
      <c r="CK113" s="88"/>
      <c r="CL113" s="88"/>
      <c r="CM113" s="88"/>
      <c r="CN113" s="88"/>
      <c r="CO113" s="88"/>
      <c r="CP113" s="88"/>
      <c r="CQ113" s="88"/>
      <c r="CR113" s="88"/>
      <c r="CS113" s="88"/>
      <c r="CT113" s="88"/>
      <c r="CU113" s="88"/>
      <c r="CV113" s="88"/>
      <c r="CW113" s="88"/>
      <c r="CX113" s="88"/>
      <c r="CY113" s="88"/>
      <c r="CZ113" s="88"/>
      <c r="DA113" s="88"/>
      <c r="DB113" s="88"/>
      <c r="DC113" s="88"/>
      <c r="DD113" s="88"/>
      <c r="DE113" s="88"/>
      <c r="DF113" s="88"/>
      <c r="DG113" s="88"/>
      <c r="DH113" s="88"/>
      <c r="DI113" s="88"/>
      <c r="DJ113" s="88"/>
      <c r="DK113" s="88"/>
      <c r="DL113" s="88"/>
      <c r="DM113" s="88"/>
      <c r="DN113" s="88"/>
      <c r="DO113" s="88"/>
      <c r="DP113" s="88"/>
      <c r="DQ113" s="88"/>
      <c r="DR113" s="88"/>
      <c r="DS113" s="88"/>
      <c r="DT113" s="88"/>
      <c r="DU113" s="88"/>
      <c r="DV113" s="88"/>
      <c r="DW113" s="88"/>
      <c r="DX113" s="88"/>
      <c r="DY113" s="88"/>
      <c r="DZ113" s="88"/>
      <c r="EA113" s="88"/>
      <c r="EB113" s="88"/>
      <c r="EC113" s="88"/>
      <c r="ED113" s="88"/>
      <c r="EE113" s="88"/>
      <c r="EF113" s="88"/>
      <c r="EG113" s="88"/>
      <c r="EH113" s="88"/>
      <c r="EI113" s="88"/>
      <c r="EJ113" s="88"/>
      <c r="EK113" s="88"/>
      <c r="EL113" s="88"/>
      <c r="EM113" s="88"/>
      <c r="EN113" s="88"/>
      <c r="EO113" s="88"/>
      <c r="EP113" s="88"/>
      <c r="EQ113" s="88"/>
      <c r="ER113" s="88"/>
      <c r="ES113" s="88"/>
      <c r="ET113" s="88"/>
      <c r="EU113" s="88"/>
      <c r="EV113" s="88"/>
      <c r="EW113" s="88"/>
      <c r="EX113" s="88"/>
      <c r="EY113" s="88"/>
      <c r="EZ113" s="88"/>
      <c r="FA113" s="88"/>
      <c r="FB113" s="88"/>
      <c r="FC113" s="88"/>
      <c r="FD113" s="88"/>
      <c r="FE113" s="88"/>
      <c r="FF113" s="88"/>
      <c r="FG113" s="88"/>
      <c r="FH113" s="88"/>
      <c r="FI113" s="88"/>
      <c r="FJ113" s="88"/>
      <c r="FK113" s="88"/>
      <c r="FL113" s="88"/>
      <c r="FM113" s="88"/>
      <c r="FN113" s="88"/>
      <c r="FO113" s="88"/>
      <c r="FP113" s="88"/>
      <c r="FQ113" s="88"/>
      <c r="FR113" s="88"/>
      <c r="FS113" s="88"/>
      <c r="FT113" s="88"/>
      <c r="FU113" s="88"/>
      <c r="FV113" s="88"/>
      <c r="FW113" s="88"/>
      <c r="FX113" s="88"/>
      <c r="FY113" s="88"/>
      <c r="FZ113" s="88"/>
      <c r="GA113" s="88"/>
      <c r="GB113" s="88"/>
      <c r="GC113" s="88"/>
      <c r="GD113" s="88"/>
      <c r="GE113" s="88"/>
      <c r="GF113" s="88"/>
      <c r="GG113" s="88"/>
      <c r="GH113" s="88"/>
      <c r="GI113" s="88"/>
      <c r="GJ113" s="88"/>
      <c r="GK113" s="88"/>
      <c r="GL113" s="88"/>
      <c r="GM113" s="88"/>
      <c r="GN113" s="88"/>
      <c r="GO113" s="88"/>
      <c r="GP113" s="88"/>
      <c r="GQ113" s="88"/>
      <c r="GR113" s="88"/>
      <c r="GS113" s="88"/>
      <c r="GT113" s="88"/>
      <c r="GU113" s="88"/>
      <c r="GV113" s="88"/>
      <c r="GW113" s="88"/>
      <c r="GX113" s="88"/>
      <c r="GY113" s="88"/>
      <c r="GZ113" s="88"/>
      <c r="HA113" s="88"/>
      <c r="HB113" s="88"/>
      <c r="HC113" s="88"/>
      <c r="HD113" s="88"/>
      <c r="HE113" s="88"/>
      <c r="HF113" s="88"/>
      <c r="HG113" s="88"/>
      <c r="HH113" s="88"/>
      <c r="HI113" s="88"/>
      <c r="HJ113" s="88"/>
      <c r="HK113" s="88"/>
      <c r="HL113" s="88"/>
      <c r="HM113" s="88"/>
      <c r="HN113" s="88"/>
      <c r="HO113" s="88"/>
      <c r="HP113" s="88"/>
      <c r="HQ113" s="88"/>
      <c r="HR113" s="88"/>
      <c r="HS113" s="88"/>
      <c r="HT113" s="88"/>
      <c r="HU113" s="88"/>
      <c r="HV113" s="88"/>
      <c r="HW113" s="88"/>
      <c r="HX113" s="88"/>
      <c r="HY113" s="88"/>
      <c r="HZ113" s="88"/>
      <c r="IA113" s="88"/>
      <c r="IB113" s="88"/>
      <c r="IC113" s="88"/>
      <c r="ID113" s="88"/>
      <c r="IE113" s="88"/>
      <c r="IF113" s="88"/>
      <c r="IG113" s="88"/>
      <c r="IH113" s="88"/>
      <c r="II113" s="88"/>
      <c r="IJ113" s="88"/>
      <c r="IK113" s="88"/>
      <c r="IL113" s="88"/>
      <c r="IM113" s="88"/>
      <c r="IN113" s="88"/>
      <c r="IO113" s="88"/>
      <c r="IP113" s="88"/>
      <c r="IQ113" s="88"/>
      <c r="IR113" s="88"/>
    </row>
    <row r="114" spans="2:252" s="145" customFormat="1" ht="14.25" customHeight="1">
      <c r="B114" s="160" t="s">
        <v>338</v>
      </c>
      <c r="C114" s="161" t="s">
        <v>258</v>
      </c>
      <c r="D114" s="157"/>
      <c r="E114" s="158">
        <v>46235</v>
      </c>
      <c r="F114" s="141">
        <f>NETWORKDAYS(E114,G114,Праздники!$A$1:$A$14)</f>
        <v>35</v>
      </c>
      <c r="G114" s="158">
        <v>46283</v>
      </c>
      <c r="H114" s="142">
        <v>0</v>
      </c>
      <c r="I114" s="157" t="s">
        <v>151</v>
      </c>
      <c r="J114" s="143" t="s">
        <v>208</v>
      </c>
      <c r="K114" s="143"/>
      <c r="L114" s="143"/>
      <c r="M114" s="143"/>
      <c r="N114" s="143"/>
      <c r="O114" s="143"/>
      <c r="P114" s="159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8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88"/>
      <c r="CB114" s="88"/>
      <c r="CC114" s="88"/>
      <c r="CD114" s="88"/>
      <c r="CE114" s="88"/>
      <c r="CF114" s="88"/>
      <c r="CG114" s="88"/>
      <c r="CH114" s="88"/>
      <c r="CI114" s="88"/>
      <c r="CJ114" s="88"/>
      <c r="CK114" s="88"/>
      <c r="CL114" s="88"/>
      <c r="CM114" s="88"/>
      <c r="CN114" s="88"/>
      <c r="CO114" s="88"/>
      <c r="CP114" s="88"/>
      <c r="CQ114" s="88"/>
      <c r="CR114" s="88"/>
      <c r="CS114" s="88"/>
      <c r="CT114" s="88"/>
      <c r="CU114" s="88"/>
      <c r="CV114" s="88"/>
      <c r="CW114" s="88"/>
      <c r="CX114" s="88"/>
      <c r="CY114" s="88"/>
      <c r="CZ114" s="88"/>
      <c r="DA114" s="88"/>
      <c r="DB114" s="88"/>
      <c r="DC114" s="88"/>
      <c r="DD114" s="88"/>
      <c r="DE114" s="88"/>
      <c r="DF114" s="88"/>
      <c r="DG114" s="88"/>
      <c r="DH114" s="88"/>
      <c r="DI114" s="88"/>
      <c r="DJ114" s="88"/>
      <c r="DK114" s="88"/>
      <c r="DL114" s="88"/>
      <c r="DM114" s="88"/>
      <c r="DN114" s="88"/>
      <c r="DO114" s="88"/>
      <c r="DP114" s="88"/>
      <c r="DQ114" s="88"/>
      <c r="DR114" s="88"/>
      <c r="DS114" s="88"/>
      <c r="DT114" s="88"/>
      <c r="DU114" s="88"/>
      <c r="DV114" s="88"/>
      <c r="DW114" s="88"/>
      <c r="DX114" s="88"/>
      <c r="DY114" s="88"/>
      <c r="DZ114" s="88"/>
      <c r="EA114" s="88"/>
      <c r="EB114" s="88"/>
      <c r="EC114" s="88"/>
      <c r="ED114" s="88"/>
      <c r="EE114" s="88"/>
      <c r="EF114" s="88"/>
      <c r="EG114" s="88"/>
      <c r="EH114" s="88"/>
      <c r="EI114" s="88"/>
      <c r="EJ114" s="88"/>
      <c r="EK114" s="88"/>
      <c r="EL114" s="88"/>
      <c r="EM114" s="88"/>
      <c r="EN114" s="88"/>
      <c r="EO114" s="88"/>
      <c r="EP114" s="88"/>
      <c r="EQ114" s="88"/>
      <c r="ER114" s="88"/>
      <c r="ES114" s="88"/>
      <c r="ET114" s="88"/>
      <c r="EU114" s="88"/>
      <c r="EV114" s="88"/>
      <c r="EW114" s="88"/>
      <c r="EX114" s="88"/>
      <c r="EY114" s="88"/>
      <c r="EZ114" s="88"/>
      <c r="FA114" s="88"/>
      <c r="FB114" s="88"/>
      <c r="FC114" s="88"/>
      <c r="FD114" s="88"/>
      <c r="FE114" s="88"/>
      <c r="FF114" s="88"/>
      <c r="FG114" s="88"/>
      <c r="FH114" s="88"/>
      <c r="FI114" s="88"/>
      <c r="FJ114" s="88"/>
      <c r="FK114" s="88"/>
      <c r="FL114" s="88"/>
      <c r="FM114" s="88"/>
      <c r="FN114" s="88"/>
      <c r="FO114" s="88"/>
      <c r="FP114" s="88"/>
      <c r="FQ114" s="88"/>
      <c r="FR114" s="88"/>
      <c r="FS114" s="88"/>
      <c r="FT114" s="88"/>
      <c r="FU114" s="88"/>
      <c r="FV114" s="88"/>
      <c r="FW114" s="88"/>
      <c r="FX114" s="88"/>
      <c r="FY114" s="88"/>
      <c r="FZ114" s="88"/>
      <c r="GA114" s="88"/>
      <c r="GB114" s="88"/>
      <c r="GC114" s="88"/>
      <c r="GD114" s="88"/>
      <c r="GE114" s="88"/>
      <c r="GF114" s="88"/>
      <c r="GG114" s="88"/>
      <c r="GH114" s="88"/>
      <c r="GI114" s="88"/>
      <c r="GJ114" s="88"/>
      <c r="GK114" s="88"/>
      <c r="GL114" s="88"/>
      <c r="GM114" s="88"/>
      <c r="GN114" s="88"/>
      <c r="GO114" s="88"/>
      <c r="GP114" s="88"/>
      <c r="GQ114" s="88"/>
      <c r="GR114" s="88"/>
      <c r="GS114" s="88"/>
      <c r="GT114" s="88"/>
      <c r="GU114" s="88"/>
      <c r="GV114" s="88"/>
      <c r="GW114" s="88"/>
      <c r="GX114" s="88"/>
      <c r="GY114" s="88"/>
      <c r="GZ114" s="88"/>
      <c r="HA114" s="88"/>
      <c r="HB114" s="88"/>
      <c r="HC114" s="88"/>
      <c r="HD114" s="88"/>
      <c r="HE114" s="88"/>
      <c r="HF114" s="88"/>
      <c r="HG114" s="88"/>
      <c r="HH114" s="88"/>
      <c r="HI114" s="88"/>
      <c r="HJ114" s="88"/>
      <c r="HK114" s="88"/>
      <c r="HL114" s="88"/>
      <c r="HM114" s="88"/>
      <c r="HN114" s="88"/>
      <c r="HO114" s="88"/>
      <c r="HP114" s="88"/>
      <c r="HQ114" s="88"/>
      <c r="HR114" s="88"/>
      <c r="HS114" s="88"/>
      <c r="HT114" s="88"/>
      <c r="HU114" s="88"/>
      <c r="HV114" s="88"/>
      <c r="HW114" s="88"/>
      <c r="HX114" s="88"/>
      <c r="HY114" s="88"/>
      <c r="HZ114" s="88"/>
      <c r="IA114" s="88"/>
      <c r="IB114" s="88"/>
      <c r="IC114" s="88"/>
      <c r="ID114" s="88"/>
      <c r="IE114" s="88"/>
      <c r="IF114" s="88"/>
      <c r="IG114" s="88"/>
      <c r="IH114" s="88"/>
      <c r="II114" s="88"/>
      <c r="IJ114" s="88"/>
      <c r="IK114" s="88"/>
      <c r="IL114" s="88"/>
      <c r="IM114" s="88"/>
      <c r="IN114" s="88"/>
      <c r="IO114" s="88"/>
      <c r="IP114" s="88"/>
      <c r="IQ114" s="88"/>
      <c r="IR114" s="88"/>
    </row>
    <row r="115" spans="2:252" s="145" customFormat="1" ht="14.25" customHeight="1">
      <c r="B115" s="160" t="s">
        <v>339</v>
      </c>
      <c r="C115" s="161" t="s">
        <v>259</v>
      </c>
      <c r="D115" s="157"/>
      <c r="E115" s="158">
        <v>46235</v>
      </c>
      <c r="F115" s="141">
        <f>NETWORKDAYS(E115,G115,Праздники!$A$1:$A$14)</f>
        <v>35</v>
      </c>
      <c r="G115" s="158">
        <v>46283</v>
      </c>
      <c r="H115" s="142">
        <v>0</v>
      </c>
      <c r="I115" s="157" t="s">
        <v>151</v>
      </c>
      <c r="J115" s="143" t="s">
        <v>208</v>
      </c>
      <c r="K115" s="143"/>
      <c r="L115" s="143"/>
      <c r="M115" s="143"/>
      <c r="N115" s="143"/>
      <c r="O115" s="143"/>
      <c r="P115" s="159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  <c r="BR115" s="88"/>
      <c r="BS115" s="88"/>
      <c r="BT115" s="88"/>
      <c r="BU115" s="88"/>
      <c r="BV115" s="88"/>
      <c r="BW115" s="88"/>
      <c r="BX115" s="88"/>
      <c r="BY115" s="88"/>
      <c r="BZ115" s="88"/>
      <c r="CA115" s="88"/>
      <c r="CB115" s="88"/>
      <c r="CC115" s="88"/>
      <c r="CD115" s="88"/>
      <c r="CE115" s="88"/>
      <c r="CF115" s="88"/>
      <c r="CG115" s="88"/>
      <c r="CH115" s="88"/>
      <c r="CI115" s="8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88"/>
      <c r="DJ115" s="88"/>
      <c r="DK115" s="88"/>
      <c r="DL115" s="88"/>
      <c r="DM115" s="88"/>
      <c r="DN115" s="88"/>
      <c r="DO115" s="88"/>
      <c r="DP115" s="88"/>
      <c r="DQ115" s="88"/>
      <c r="DR115" s="88"/>
      <c r="DS115" s="88"/>
      <c r="DT115" s="88"/>
      <c r="DU115" s="88"/>
      <c r="DV115" s="88"/>
      <c r="DW115" s="88"/>
      <c r="DX115" s="88"/>
      <c r="DY115" s="88"/>
      <c r="DZ115" s="88"/>
      <c r="EA115" s="88"/>
      <c r="EB115" s="88"/>
      <c r="EC115" s="88"/>
      <c r="ED115" s="88"/>
      <c r="EE115" s="88"/>
      <c r="EF115" s="88"/>
      <c r="EG115" s="88"/>
      <c r="EH115" s="88"/>
      <c r="EI115" s="88"/>
      <c r="EJ115" s="88"/>
      <c r="EK115" s="88"/>
      <c r="EL115" s="88"/>
      <c r="EM115" s="88"/>
      <c r="EN115" s="88"/>
      <c r="EO115" s="88"/>
      <c r="EP115" s="88"/>
      <c r="EQ115" s="88"/>
      <c r="ER115" s="88"/>
      <c r="ES115" s="88"/>
      <c r="ET115" s="88"/>
      <c r="EU115" s="88"/>
      <c r="EV115" s="88"/>
      <c r="EW115" s="88"/>
      <c r="EX115" s="88"/>
      <c r="EY115" s="88"/>
      <c r="EZ115" s="88"/>
      <c r="FA115" s="88"/>
      <c r="FB115" s="88"/>
      <c r="FC115" s="88"/>
      <c r="FD115" s="88"/>
      <c r="FE115" s="88"/>
      <c r="FF115" s="88"/>
      <c r="FG115" s="88"/>
      <c r="FH115" s="88"/>
      <c r="FI115" s="88"/>
      <c r="FJ115" s="88"/>
      <c r="FK115" s="88"/>
      <c r="FL115" s="88"/>
      <c r="FM115" s="88"/>
      <c r="FN115" s="88"/>
      <c r="FO115" s="88"/>
      <c r="FP115" s="88"/>
      <c r="FQ115" s="88"/>
      <c r="FR115" s="88"/>
      <c r="FS115" s="88"/>
      <c r="FT115" s="88"/>
      <c r="FU115" s="88"/>
      <c r="FV115" s="88"/>
      <c r="FW115" s="88"/>
      <c r="FX115" s="88"/>
      <c r="FY115" s="88"/>
      <c r="FZ115" s="88"/>
      <c r="GA115" s="88"/>
      <c r="GB115" s="88"/>
      <c r="GC115" s="88"/>
      <c r="GD115" s="88"/>
      <c r="GE115" s="88"/>
      <c r="GF115" s="88"/>
      <c r="GG115" s="88"/>
      <c r="GH115" s="88"/>
      <c r="GI115" s="88"/>
      <c r="GJ115" s="88"/>
      <c r="GK115" s="88"/>
      <c r="GL115" s="88"/>
      <c r="GM115" s="88"/>
      <c r="GN115" s="88"/>
      <c r="GO115" s="88"/>
      <c r="GP115" s="88"/>
      <c r="GQ115" s="88"/>
      <c r="GR115" s="88"/>
      <c r="GS115" s="88"/>
      <c r="GT115" s="88"/>
      <c r="GU115" s="88"/>
      <c r="GV115" s="88"/>
      <c r="GW115" s="88"/>
      <c r="GX115" s="88"/>
      <c r="GY115" s="88"/>
      <c r="GZ115" s="88"/>
      <c r="HA115" s="88"/>
      <c r="HB115" s="88"/>
      <c r="HC115" s="88"/>
      <c r="HD115" s="88"/>
      <c r="HE115" s="88"/>
      <c r="HF115" s="88"/>
      <c r="HG115" s="88"/>
      <c r="HH115" s="88"/>
      <c r="HI115" s="88"/>
      <c r="HJ115" s="88"/>
      <c r="HK115" s="88"/>
      <c r="HL115" s="88"/>
      <c r="HM115" s="88"/>
      <c r="HN115" s="88"/>
      <c r="HO115" s="88"/>
      <c r="HP115" s="88"/>
      <c r="HQ115" s="88"/>
      <c r="HR115" s="88"/>
      <c r="HS115" s="88"/>
      <c r="HT115" s="88"/>
      <c r="HU115" s="88"/>
      <c r="HV115" s="88"/>
      <c r="HW115" s="88"/>
      <c r="HX115" s="88"/>
      <c r="HY115" s="88"/>
      <c r="HZ115" s="88"/>
      <c r="IA115" s="88"/>
      <c r="IB115" s="88"/>
      <c r="IC115" s="88"/>
      <c r="ID115" s="88"/>
      <c r="IE115" s="88"/>
      <c r="IF115" s="88"/>
      <c r="IG115" s="88"/>
      <c r="IH115" s="88"/>
      <c r="II115" s="88"/>
      <c r="IJ115" s="88"/>
      <c r="IK115" s="88"/>
      <c r="IL115" s="88"/>
      <c r="IM115" s="88"/>
      <c r="IN115" s="88"/>
      <c r="IO115" s="88"/>
      <c r="IP115" s="88"/>
      <c r="IQ115" s="88"/>
      <c r="IR115" s="88"/>
    </row>
  </sheetData>
  <autoFilter ref="A8:EX113"/>
  <mergeCells count="4">
    <mergeCell ref="I4:I7"/>
    <mergeCell ref="J4:J7"/>
    <mergeCell ref="K4:K7"/>
    <mergeCell ref="L4:L7"/>
  </mergeCells>
  <conditionalFormatting sqref="O9:O16 H8 H105:H113 B9:N9 J10:N14 K15:N15 C18:O20 B75:O75 B10:H15 B16:D16 M16:N16 C21:D21 K21:O21 B72:J73 L72:O73 B77:J77 M77:O77 B90:L90 N90:O90 B78:O89 B91:O93 B95:O103 B23:O24 B25:L25 N25:O25 J105:N113 B48:O71 B105:E111 C113:D113 B26:O45 B112:D112">
    <cfRule type="cellIs" dxfId="136" priority="210" stopIfTrue="1" operator="notEqual">
      <formula>""</formula>
    </cfRule>
  </conditionalFormatting>
  <conditionalFormatting sqref="O116:O6562 O68:O73 O18:O21 O75 O10:O16 O77:O93 O95:O102 O48:O65 O23:O46">
    <cfRule type="expression" priority="203" stopIfTrue="1">
      <formula>IF(AND($G10&lt;TODAY(),$H10&lt;1),"!!","")</formula>
    </cfRule>
  </conditionalFormatting>
  <conditionalFormatting sqref="P9:EJ65536">
    <cfRule type="expression" dxfId="135" priority="211" stopIfTrue="1">
      <formula>AND($B9&lt;&gt;"",P$8&lt;&gt;"")</formula>
    </cfRule>
  </conditionalFormatting>
  <conditionalFormatting sqref="P8:EJ8">
    <cfRule type="expression" dxfId="134" priority="213" stopIfTrue="1">
      <formula>COUNTIF(Праздники,P8)&gt;0</formula>
    </cfRule>
    <cfRule type="expression" dxfId="133" priority="214" stopIfTrue="1">
      <formula>OR(WEEKDAY(P8,3)=5,WEEKDAY(P8,3)=6)</formula>
    </cfRule>
    <cfRule type="cellIs" dxfId="132" priority="215" stopIfTrue="1" operator="notEqual">
      <formula>""</formula>
    </cfRule>
  </conditionalFormatting>
  <conditionalFormatting sqref="EK9:IR16 EK116:IR65536 EK68:IR73 EK18:IR21 EK75:IR75 EK77:IR93 EK95:IR102 EK48:IR65 EK23:IR45">
    <cfRule type="expression" dxfId="131" priority="191" stopIfTrue="1">
      <formula>EK$8&lt;&gt;""</formula>
    </cfRule>
  </conditionalFormatting>
  <conditionalFormatting sqref="EK8:IR8">
    <cfRule type="expression" dxfId="130" priority="192" stopIfTrue="1">
      <formula>COUNTIF(Праздники,EK8)&gt;0</formula>
    </cfRule>
    <cfRule type="expression" dxfId="129" priority="193" stopIfTrue="1">
      <formula>OR(WEEKDAY(EK8,3)=5,WEEKDAY(EK8,3)=6)</formula>
    </cfRule>
    <cfRule type="cellIs" dxfId="128" priority="194" stopIfTrue="1" operator="notEqual">
      <formula>""</formula>
    </cfRule>
  </conditionalFormatting>
  <conditionalFormatting sqref="O66">
    <cfRule type="expression" priority="183" stopIfTrue="1">
      <formula>IF(AND($G66&lt;TODAY(),$H66&lt;1),"!!","")</formula>
    </cfRule>
  </conditionalFormatting>
  <conditionalFormatting sqref="EK66:IR66">
    <cfRule type="expression" dxfId="127" priority="180" stopIfTrue="1">
      <formula>EK$8&lt;&gt;""</formula>
    </cfRule>
  </conditionalFormatting>
  <conditionalFormatting sqref="O67">
    <cfRule type="expression" priority="175" stopIfTrue="1">
      <formula>IF(AND($G67&lt;TODAY(),$H67&lt;1),"!!","")</formula>
    </cfRule>
  </conditionalFormatting>
  <conditionalFormatting sqref="EK67:IR67">
    <cfRule type="expression" dxfId="126" priority="172" stopIfTrue="1">
      <formula>EK$8&lt;&gt;""</formula>
    </cfRule>
  </conditionalFormatting>
  <conditionalFormatting sqref="O103">
    <cfRule type="expression" priority="169" stopIfTrue="1">
      <formula>IF(AND($G103&lt;TODAY(),$H103&lt;1),"!!","")</formula>
    </cfRule>
  </conditionalFormatting>
  <conditionalFormatting sqref="EK103:IR103">
    <cfRule type="expression" dxfId="125" priority="168" stopIfTrue="1">
      <formula>EK$8&lt;&gt;""</formula>
    </cfRule>
  </conditionalFormatting>
  <conditionalFormatting sqref="G105:G110 O105:O110">
    <cfRule type="cellIs" dxfId="124" priority="167" stopIfTrue="1" operator="notEqual">
      <formula>""</formula>
    </cfRule>
  </conditionalFormatting>
  <conditionalFormatting sqref="O105:O110">
    <cfRule type="expression" priority="165" stopIfTrue="1">
      <formula>IF(AND($G105&lt;TODAY(),$H105&lt;1),"!!","")</formula>
    </cfRule>
  </conditionalFormatting>
  <conditionalFormatting sqref="EK105:IR110">
    <cfRule type="expression" dxfId="123" priority="164" stopIfTrue="1">
      <formula>EK$8&lt;&gt;""</formula>
    </cfRule>
  </conditionalFormatting>
  <conditionalFormatting sqref="F105:F110">
    <cfRule type="cellIs" dxfId="122" priority="163" stopIfTrue="1" operator="notEqual">
      <formula>""</formula>
    </cfRule>
  </conditionalFormatting>
  <conditionalFormatting sqref="O111:O113">
    <cfRule type="cellIs" dxfId="120" priority="159" stopIfTrue="1" operator="notEqual">
      <formula>""</formula>
    </cfRule>
  </conditionalFormatting>
  <conditionalFormatting sqref="O111:O113">
    <cfRule type="expression" priority="157" stopIfTrue="1">
      <formula>IF(AND($G111&lt;TODAY(),$H111&lt;1),"!!","")</formula>
    </cfRule>
  </conditionalFormatting>
  <conditionalFormatting sqref="EK111:IR113">
    <cfRule type="expression" dxfId="119" priority="156" stopIfTrue="1">
      <formula>EK$8&lt;&gt;""</formula>
    </cfRule>
  </conditionalFormatting>
  <conditionalFormatting sqref="I10:I15">
    <cfRule type="cellIs" dxfId="118" priority="149" stopIfTrue="1" operator="notEqual">
      <formula>""</formula>
    </cfRule>
  </conditionalFormatting>
  <conditionalFormatting sqref="I105:I110">
    <cfRule type="cellIs" dxfId="117" priority="147" stopIfTrue="1" operator="notEqual">
      <formula>""</formula>
    </cfRule>
  </conditionalFormatting>
  <conditionalFormatting sqref="I111:I113">
    <cfRule type="cellIs" dxfId="116" priority="145" stopIfTrue="1" operator="notEqual">
      <formula>""</formula>
    </cfRule>
  </conditionalFormatting>
  <conditionalFormatting sqref="DC27:DO27 P9:DB27 DB28:DN30 P31:DN35 Q28:AH28 P36:EI63 P65:EI76 P103:EI103 P78:EI100">
    <cfRule type="expression" dxfId="115" priority="250" stopIfTrue="1">
      <formula>AND($C9&lt;&gt;"",P$8&gt;=$E9,P$8&lt;=$G9,$H9&lt;1)</formula>
    </cfRule>
    <cfRule type="expression" dxfId="114" priority="251" stopIfTrue="1">
      <formula>AND($C9&lt;&gt;"",P$8&gt;=$E9,P$8&lt;=$G9,$H9=1)</formula>
    </cfRule>
    <cfRule type="expression" dxfId="113" priority="252" stopIfTrue="1">
      <formula>AND($C9="",P$8="")</formula>
    </cfRule>
  </conditionalFormatting>
  <conditionalFormatting sqref="P116:DD6562">
    <cfRule type="expression" dxfId="112" priority="277" stopIfTrue="1">
      <formula>AND($C116&lt;&gt;"",P$8&gt;=$E116,P$8&lt;=$G116)</formula>
    </cfRule>
    <cfRule type="expression" dxfId="111" priority="278" stopIfTrue="1">
      <formula>AND($C116&lt;&gt;"",P$8&lt;&gt;"")</formula>
    </cfRule>
    <cfRule type="expression" dxfId="110" priority="279" stopIfTrue="1">
      <formula>AND($C116="",P$8="")</formula>
    </cfRule>
  </conditionalFormatting>
  <conditionalFormatting sqref="DB28:DN28">
    <cfRule type="expression" dxfId="109" priority="280" stopIfTrue="1">
      <formula>AND($C28&lt;&gt;"",DB$8&gt;=$E28,DB$8&lt;=$G28)</formula>
    </cfRule>
    <cfRule type="expression" dxfId="108" priority="281" stopIfTrue="1">
      <formula>AND($C28="",DB$8="")</formula>
    </cfRule>
  </conditionalFormatting>
  <conditionalFormatting sqref="C18:O20 K15:O15 B75:O75 B116:O6562 B10:O14 B15:I15 B16:D16 M16:O16 C21:D21 K21:O21 B72:J73 L72:O73 B77:J77 M77:O77 B90:L91 N90:O91 B78:O89 B92:O93 B23:O24 B25:L25 N25:O25 B95:O103 B48:O71 B105:O110 C113:D113 B26:O46 B112:D112 B111:E111 H111:O113">
    <cfRule type="expression" dxfId="107" priority="282" stopIfTrue="1">
      <formula>AND($G10&lt;TODAY(),$H10&lt;1,$C10&lt;&gt;"")</formula>
    </cfRule>
  </conditionalFormatting>
  <conditionalFormatting sqref="P64:DB64 P77:EI77 P101:EI102 P104:EI115">
    <cfRule type="expression" dxfId="106" priority="290" stopIfTrue="1">
      <formula>AND($C64&lt;&gt;"",P$8&gt;=$E64,P$8&lt;=$G64,#REF!&lt;1)</formula>
    </cfRule>
    <cfRule type="expression" dxfId="105" priority="291" stopIfTrue="1">
      <formula>AND($C64="",P$8="")</formula>
    </cfRule>
  </conditionalFormatting>
  <conditionalFormatting sqref="DC9:EI11 DO33:EI33 DC25:EI26 P28:DA30 DO28:EI30">
    <cfRule type="expression" dxfId="104" priority="298" stopIfTrue="1">
      <formula>AND($C9&lt;&gt;"",P$8&gt;=$E9,P$8&lt;=$G9,$H10&lt;1)</formula>
    </cfRule>
    <cfRule type="expression" dxfId="103" priority="299" stopIfTrue="1">
      <formula>AND($C9="",P$8="")</formula>
    </cfRule>
  </conditionalFormatting>
  <conditionalFormatting sqref="DC64:EI64">
    <cfRule type="expression" dxfId="102" priority="308" stopIfTrue="1">
      <formula>AND($C64&lt;&gt;"",DC$8&gt;=$E64,DC$8&lt;=$G64,#REF!&lt;1)</formula>
    </cfRule>
    <cfRule type="expression" dxfId="101" priority="309" stopIfTrue="1">
      <formula>AND($C64="",DC$8="")</formula>
    </cfRule>
  </conditionalFormatting>
  <conditionalFormatting sqref="DC24:EI24 DO31:EI32 DO34:EI35">
    <cfRule type="expression" dxfId="100" priority="311" stopIfTrue="1">
      <formula>AND($C24&lt;&gt;"",DC$8&gt;=$E24,DC$8&lt;=$G24,$H26&lt;1)</formula>
    </cfRule>
    <cfRule type="expression" dxfId="99" priority="312" stopIfTrue="1">
      <formula>AND($C24="",DC$8="")</formula>
    </cfRule>
  </conditionalFormatting>
  <conditionalFormatting sqref="DC12:EI12 DC23:EI23">
    <cfRule type="expression" dxfId="98" priority="313" stopIfTrue="1">
      <formula>AND($C12&lt;&gt;"",DC$8&gt;=$E12,DC$8&lt;=$G12,$H15&lt;1)</formula>
    </cfRule>
    <cfRule type="expression" dxfId="97" priority="314" stopIfTrue="1">
      <formula>AND($C12="",DC$8="")</formula>
    </cfRule>
  </conditionalFormatting>
  <conditionalFormatting sqref="DC17:EI18">
    <cfRule type="expression" dxfId="96" priority="325" stopIfTrue="1">
      <formula>AND($C17&lt;&gt;"",DC$8&gt;=$E17,DC$8&lt;=$G17,$H26&lt;1)</formula>
    </cfRule>
    <cfRule type="expression" dxfId="95" priority="326" stopIfTrue="1">
      <formula>AND($C17="",DC$8="")</formula>
    </cfRule>
  </conditionalFormatting>
  <conditionalFormatting sqref="B17:D17 H17 J17:O17 B18:B21">
    <cfRule type="cellIs" dxfId="94" priority="136" stopIfTrue="1" operator="notEqual">
      <formula>""</formula>
    </cfRule>
  </conditionalFormatting>
  <conditionalFormatting sqref="O17">
    <cfRule type="expression" priority="135" stopIfTrue="1">
      <formula>IF(AND($G17&lt;TODAY(),$H17&lt;1),"!!","")</formula>
    </cfRule>
  </conditionalFormatting>
  <conditionalFormatting sqref="EK17:IR17">
    <cfRule type="expression" dxfId="93" priority="134" stopIfTrue="1">
      <formula>EK$8&lt;&gt;""</formula>
    </cfRule>
  </conditionalFormatting>
  <conditionalFormatting sqref="I17">
    <cfRule type="cellIs" dxfId="92" priority="133" stopIfTrue="1" operator="notEqual">
      <formula>""</formula>
    </cfRule>
  </conditionalFormatting>
  <conditionalFormatting sqref="B17:D17 H17:O17 B18:B21">
    <cfRule type="expression" dxfId="91" priority="141" stopIfTrue="1">
      <formula>AND($G17&lt;TODAY(),$H17&lt;1,$C17&lt;&gt;"")</formula>
    </cfRule>
  </conditionalFormatting>
  <conditionalFormatting sqref="J15">
    <cfRule type="cellIs" dxfId="90" priority="131" stopIfTrue="1" operator="notEqual">
      <formula>""</formula>
    </cfRule>
  </conditionalFormatting>
  <conditionalFormatting sqref="J15">
    <cfRule type="expression" dxfId="89" priority="132" stopIfTrue="1">
      <formula>AND($G15&lt;TODAY(),$H15&lt;1,$C15&lt;&gt;"")</formula>
    </cfRule>
  </conditionalFormatting>
  <conditionalFormatting sqref="B47:O47">
    <cfRule type="cellIs" dxfId="88" priority="125" stopIfTrue="1" operator="notEqual">
      <formula>""</formula>
    </cfRule>
  </conditionalFormatting>
  <conditionalFormatting sqref="O47">
    <cfRule type="expression" priority="124" stopIfTrue="1">
      <formula>IF(AND($G47&lt;TODAY(),$H47&lt;1),"!!","")</formula>
    </cfRule>
  </conditionalFormatting>
  <conditionalFormatting sqref="EK47:IR47">
    <cfRule type="expression" dxfId="87" priority="123" stopIfTrue="1">
      <formula>EK$8&lt;&gt;""</formula>
    </cfRule>
  </conditionalFormatting>
  <conditionalFormatting sqref="B47:O47">
    <cfRule type="expression" dxfId="86" priority="130" stopIfTrue="1">
      <formula>AND($G47&lt;TODAY(),$H47&lt;1,$C47&lt;&gt;"")</formula>
    </cfRule>
  </conditionalFormatting>
  <conditionalFormatting sqref="J46">
    <cfRule type="cellIs" dxfId="85" priority="109" stopIfTrue="1" operator="notEqual">
      <formula>""</formula>
    </cfRule>
  </conditionalFormatting>
  <conditionalFormatting sqref="B46:I46 K46:O46">
    <cfRule type="cellIs" dxfId="84" priority="113" stopIfTrue="1" operator="notEqual">
      <formula>""</formula>
    </cfRule>
  </conditionalFormatting>
  <conditionalFormatting sqref="EK46:IR46">
    <cfRule type="expression" dxfId="83" priority="111" stopIfTrue="1">
      <formula>EK$8&lt;&gt;""</formula>
    </cfRule>
  </conditionalFormatting>
  <conditionalFormatting sqref="B74:H74 J74 L74:O74">
    <cfRule type="cellIs" dxfId="82" priority="103" stopIfTrue="1" operator="notEqual">
      <formula>""</formula>
    </cfRule>
  </conditionalFormatting>
  <conditionalFormatting sqref="O74">
    <cfRule type="expression" priority="102" stopIfTrue="1">
      <formula>IF(AND($G74&lt;TODAY(),$H74&lt;1),"!!","")</formula>
    </cfRule>
  </conditionalFormatting>
  <conditionalFormatting sqref="EK74:IR74">
    <cfRule type="expression" dxfId="81" priority="101" stopIfTrue="1">
      <formula>EK$8&lt;&gt;""</formula>
    </cfRule>
  </conditionalFormatting>
  <conditionalFormatting sqref="B74:H74 J74 L74:O74">
    <cfRule type="expression" dxfId="80" priority="108" stopIfTrue="1">
      <formula>AND($G74&lt;TODAY(),$H74&lt;1,$C74&lt;&gt;"")</formula>
    </cfRule>
  </conditionalFormatting>
  <conditionalFormatting sqref="B76:H76 J76 L76:O76">
    <cfRule type="cellIs" dxfId="79" priority="95" stopIfTrue="1" operator="notEqual">
      <formula>""</formula>
    </cfRule>
  </conditionalFormatting>
  <conditionalFormatting sqref="O76">
    <cfRule type="expression" priority="94" stopIfTrue="1">
      <formula>IF(AND($G76&lt;TODAY(),$H76&lt;1),"!!","")</formula>
    </cfRule>
  </conditionalFormatting>
  <conditionalFormatting sqref="EK76:IR76">
    <cfRule type="expression" dxfId="78" priority="93" stopIfTrue="1">
      <formula>EK$8&lt;&gt;""</formula>
    </cfRule>
  </conditionalFormatting>
  <conditionalFormatting sqref="B76:H76 J76 L76:O76">
    <cfRule type="expression" dxfId="77" priority="100" stopIfTrue="1">
      <formula>AND($G76&lt;TODAY(),$H76&lt;1,$C76&lt;&gt;"")</formula>
    </cfRule>
  </conditionalFormatting>
  <conditionalFormatting sqref="I74">
    <cfRule type="cellIs" dxfId="76" priority="91" stopIfTrue="1" operator="notEqual">
      <formula>""</formula>
    </cfRule>
  </conditionalFormatting>
  <conditionalFormatting sqref="I74">
    <cfRule type="expression" dxfId="75" priority="92" stopIfTrue="1">
      <formula>AND($G74&lt;TODAY(),$H74&lt;1,$C74&lt;&gt;"")</formula>
    </cfRule>
  </conditionalFormatting>
  <conditionalFormatting sqref="I76">
    <cfRule type="cellIs" dxfId="74" priority="89" stopIfTrue="1" operator="notEqual">
      <formula>""</formula>
    </cfRule>
  </conditionalFormatting>
  <conditionalFormatting sqref="I76">
    <cfRule type="expression" dxfId="73" priority="90" stopIfTrue="1">
      <formula>AND($G76&lt;TODAY(),$H76&lt;1,$C76&lt;&gt;"")</formula>
    </cfRule>
  </conditionalFormatting>
  <conditionalFormatting sqref="H114:H115 C114:D115 J114:N115">
    <cfRule type="cellIs" dxfId="72" priority="84" stopIfTrue="1" operator="notEqual">
      <formula>""</formula>
    </cfRule>
  </conditionalFormatting>
  <conditionalFormatting sqref="O114:O115 G114:G115">
    <cfRule type="cellIs" dxfId="70" priority="83" stopIfTrue="1" operator="notEqual">
      <formula>""</formula>
    </cfRule>
  </conditionalFormatting>
  <conditionalFormatting sqref="O114:O115">
    <cfRule type="expression" priority="82" stopIfTrue="1">
      <formula>IF(AND($G114&lt;TODAY(),$H114&lt;1),"!!","")</formula>
    </cfRule>
  </conditionalFormatting>
  <conditionalFormatting sqref="EK114:IR115">
    <cfRule type="expression" dxfId="69" priority="81" stopIfTrue="1">
      <formula>EK$8&lt;&gt;""</formula>
    </cfRule>
  </conditionalFormatting>
  <conditionalFormatting sqref="I114:I115">
    <cfRule type="cellIs" dxfId="68" priority="79" stopIfTrue="1" operator="notEqual">
      <formula>""</formula>
    </cfRule>
  </conditionalFormatting>
  <conditionalFormatting sqref="C114:D115 G114:O115">
    <cfRule type="expression" dxfId="67" priority="86" stopIfTrue="1">
      <formula>AND($G114&lt;TODAY(),$H114&lt;1,$C114&lt;&gt;"")</formula>
    </cfRule>
  </conditionalFormatting>
  <conditionalFormatting sqref="J14">
    <cfRule type="cellIs" dxfId="66" priority="76" stopIfTrue="1" operator="notEqual">
      <formula>""</formula>
    </cfRule>
  </conditionalFormatting>
  <conditionalFormatting sqref="E17:G17">
    <cfRule type="cellIs" dxfId="65" priority="74" stopIfTrue="1" operator="notEqual">
      <formula>""</formula>
    </cfRule>
  </conditionalFormatting>
  <conditionalFormatting sqref="E17:G17">
    <cfRule type="expression" dxfId="64" priority="75" stopIfTrue="1">
      <formula>AND($G17&lt;TODAY(),$H17&lt;1,$C17&lt;&gt;"")</formula>
    </cfRule>
  </conditionalFormatting>
  <conditionalFormatting sqref="J16:L16 E16:H16">
    <cfRule type="cellIs" dxfId="63" priority="68" stopIfTrue="1" operator="notEqual">
      <formula>""</formula>
    </cfRule>
  </conditionalFormatting>
  <conditionalFormatting sqref="I16">
    <cfRule type="cellIs" dxfId="62" priority="67" stopIfTrue="1" operator="notEqual">
      <formula>""</formula>
    </cfRule>
  </conditionalFormatting>
  <conditionalFormatting sqref="E16:L16">
    <cfRule type="expression" dxfId="61" priority="69" stopIfTrue="1">
      <formula>AND($G16&lt;TODAY(),$H16&lt;1,$C16&lt;&gt;"")</formula>
    </cfRule>
  </conditionalFormatting>
  <conditionalFormatting sqref="B22:D22 M22:O22">
    <cfRule type="cellIs" dxfId="60" priority="59" stopIfTrue="1" operator="notEqual">
      <formula>""</formula>
    </cfRule>
  </conditionalFormatting>
  <conditionalFormatting sqref="O22">
    <cfRule type="expression" priority="58" stopIfTrue="1">
      <formula>IF(AND($G22&lt;TODAY(),$H22&lt;1),"!!","")</formula>
    </cfRule>
  </conditionalFormatting>
  <conditionalFormatting sqref="EK22:IR22">
    <cfRule type="expression" dxfId="59" priority="57" stopIfTrue="1">
      <formula>EK$8&lt;&gt;""</formula>
    </cfRule>
  </conditionalFormatting>
  <conditionalFormatting sqref="B22:D22 M22:O22">
    <cfRule type="expression" dxfId="58" priority="64" stopIfTrue="1">
      <formula>AND($G22&lt;TODAY(),$H22&lt;1,$C22&lt;&gt;"")</formula>
    </cfRule>
  </conditionalFormatting>
  <conditionalFormatting sqref="J22:L22 E22:H22">
    <cfRule type="cellIs" dxfId="57" priority="55" stopIfTrue="1" operator="notEqual">
      <formula>""</formula>
    </cfRule>
  </conditionalFormatting>
  <conditionalFormatting sqref="I22">
    <cfRule type="cellIs" dxfId="56" priority="54" stopIfTrue="1" operator="notEqual">
      <formula>""</formula>
    </cfRule>
  </conditionalFormatting>
  <conditionalFormatting sqref="E22:L22">
    <cfRule type="expression" dxfId="55" priority="56" stopIfTrue="1">
      <formula>AND($G22&lt;TODAY(),$H22&lt;1,$C22&lt;&gt;"")</formula>
    </cfRule>
  </conditionalFormatting>
  <conditionalFormatting sqref="J22">
    <cfRule type="cellIs" dxfId="54" priority="53" stopIfTrue="1" operator="notEqual">
      <formula>""</formula>
    </cfRule>
  </conditionalFormatting>
  <conditionalFormatting sqref="DC13:EI14">
    <cfRule type="expression" dxfId="53" priority="488" stopIfTrue="1">
      <formula>AND($C13&lt;&gt;"",DC$8&gt;=$E13,DC$8&lt;=$G13,$H17&lt;1)</formula>
    </cfRule>
    <cfRule type="expression" dxfId="52" priority="489" stopIfTrue="1">
      <formula>AND($C13="",DC$8="")</formula>
    </cfRule>
  </conditionalFormatting>
  <conditionalFormatting sqref="DC15:EI16">
    <cfRule type="expression" dxfId="51" priority="504" stopIfTrue="1">
      <formula>AND($C15&lt;&gt;"",DC$8&gt;=$E15,DC$8&lt;=$G15,$H25&lt;1)</formula>
    </cfRule>
    <cfRule type="expression" dxfId="50" priority="505" stopIfTrue="1">
      <formula>AND($C15="",DC$8="")</formula>
    </cfRule>
  </conditionalFormatting>
  <conditionalFormatting sqref="H21 J21">
    <cfRule type="cellIs" dxfId="49" priority="51" stopIfTrue="1" operator="notEqual">
      <formula>""</formula>
    </cfRule>
  </conditionalFormatting>
  <conditionalFormatting sqref="I21">
    <cfRule type="cellIs" dxfId="48" priority="50" stopIfTrue="1" operator="notEqual">
      <formula>""</formula>
    </cfRule>
  </conditionalFormatting>
  <conditionalFormatting sqref="H21:J21">
    <cfRule type="expression" dxfId="47" priority="52" stopIfTrue="1">
      <formula>AND($G21&lt;TODAY(),$H21&lt;1,$C21&lt;&gt;"")</formula>
    </cfRule>
  </conditionalFormatting>
  <conditionalFormatting sqref="E21:G21">
    <cfRule type="cellIs" dxfId="46" priority="48" stopIfTrue="1" operator="notEqual">
      <formula>""</formula>
    </cfRule>
  </conditionalFormatting>
  <conditionalFormatting sqref="E21:G21">
    <cfRule type="expression" dxfId="45" priority="49" stopIfTrue="1">
      <formula>AND($G21&lt;TODAY(),$H21&lt;1,$C21&lt;&gt;"")</formula>
    </cfRule>
  </conditionalFormatting>
  <conditionalFormatting sqref="J21">
    <cfRule type="cellIs" dxfId="44" priority="47" stopIfTrue="1" operator="notEqual">
      <formula>""</formula>
    </cfRule>
  </conditionalFormatting>
  <conditionalFormatting sqref="K72:K74">
    <cfRule type="cellIs" dxfId="43" priority="45" stopIfTrue="1" operator="notEqual">
      <formula>""</formula>
    </cfRule>
  </conditionalFormatting>
  <conditionalFormatting sqref="K72:K74">
    <cfRule type="expression" dxfId="42" priority="46" stopIfTrue="1">
      <formula>AND($G72&lt;TODAY(),$H72&lt;1,$C72&lt;&gt;"")</formula>
    </cfRule>
  </conditionalFormatting>
  <conditionalFormatting sqref="K76">
    <cfRule type="cellIs" dxfId="41" priority="43" stopIfTrue="1" operator="notEqual">
      <formula>""</formula>
    </cfRule>
  </conditionalFormatting>
  <conditionalFormatting sqref="K76">
    <cfRule type="expression" dxfId="40" priority="44" stopIfTrue="1">
      <formula>AND($G76&lt;TODAY(),$H76&lt;1,$C76&lt;&gt;"")</formula>
    </cfRule>
  </conditionalFormatting>
  <conditionalFormatting sqref="K77">
    <cfRule type="cellIs" dxfId="39" priority="41" stopIfTrue="1" operator="notEqual">
      <formula>""</formula>
    </cfRule>
  </conditionalFormatting>
  <conditionalFormatting sqref="K77">
    <cfRule type="expression" dxfId="38" priority="42" stopIfTrue="1">
      <formula>AND($G77&lt;TODAY(),$H77&lt;1,$C77&lt;&gt;"")</formula>
    </cfRule>
  </conditionalFormatting>
  <conditionalFormatting sqref="L77">
    <cfRule type="cellIs" dxfId="37" priority="39" stopIfTrue="1" operator="notEqual">
      <formula>""</formula>
    </cfRule>
  </conditionalFormatting>
  <conditionalFormatting sqref="L77">
    <cfRule type="expression" dxfId="36" priority="40" stopIfTrue="1">
      <formula>AND($G77&lt;TODAY(),$H77&lt;1,$C77&lt;&gt;"")</formula>
    </cfRule>
  </conditionalFormatting>
  <conditionalFormatting sqref="M91">
    <cfRule type="expression" dxfId="35" priority="519" stopIfTrue="1">
      <formula>AND($G90&lt;TODAY(),$H90&lt;1,$C90&lt;&gt;"")</formula>
    </cfRule>
  </conditionalFormatting>
  <conditionalFormatting sqref="B94:E94 K94:O94 G94:I94">
    <cfRule type="cellIs" dxfId="34" priority="33" stopIfTrue="1" operator="notEqual">
      <formula>""</formula>
    </cfRule>
  </conditionalFormatting>
  <conditionalFormatting sqref="O94">
    <cfRule type="expression" priority="32" stopIfTrue="1">
      <formula>IF(AND($G94&lt;TODAY(),$H94&lt;1),"!!","")</formula>
    </cfRule>
  </conditionalFormatting>
  <conditionalFormatting sqref="EK94:IR94">
    <cfRule type="expression" dxfId="33" priority="31" stopIfTrue="1">
      <formula>EK$8&lt;&gt;""</formula>
    </cfRule>
  </conditionalFormatting>
  <conditionalFormatting sqref="B94:E94 K94:O94 G94:I94">
    <cfRule type="expression" dxfId="32" priority="38" stopIfTrue="1">
      <formula>AND($G94&lt;TODAY(),$H94&lt;1,$C94&lt;&gt;"")</formula>
    </cfRule>
  </conditionalFormatting>
  <conditionalFormatting sqref="J94">
    <cfRule type="cellIs" dxfId="31" priority="29" stopIfTrue="1" operator="notEqual">
      <formula>""</formula>
    </cfRule>
  </conditionalFormatting>
  <conditionalFormatting sqref="J94">
    <cfRule type="expression" dxfId="30" priority="30" stopIfTrue="1">
      <formula>AND($G94&lt;TODAY(),$H94&lt;1,$C94&lt;&gt;"")</formula>
    </cfRule>
  </conditionalFormatting>
  <conditionalFormatting sqref="F94">
    <cfRule type="cellIs" dxfId="29" priority="27" stopIfTrue="1" operator="notEqual">
      <formula>""</formula>
    </cfRule>
  </conditionalFormatting>
  <conditionalFormatting sqref="F94">
    <cfRule type="expression" dxfId="28" priority="28" stopIfTrue="1">
      <formula>AND($G94&lt;TODAY(),$H94&lt;1,$C94&lt;&gt;"")</formula>
    </cfRule>
  </conditionalFormatting>
  <conditionalFormatting sqref="M25">
    <cfRule type="cellIs" dxfId="27" priority="25" stopIfTrue="1" operator="notEqual">
      <formula>""</formula>
    </cfRule>
  </conditionalFormatting>
  <conditionalFormatting sqref="M25">
    <cfRule type="expression" dxfId="26" priority="26" stopIfTrue="1">
      <formula>AND($G25&lt;TODAY(),$H25&lt;1,$C25&lt;&gt;"")</formula>
    </cfRule>
  </conditionalFormatting>
  <conditionalFormatting sqref="F107">
    <cfRule type="cellIs" dxfId="25" priority="24" stopIfTrue="1" operator="notEqual">
      <formula>""</formula>
    </cfRule>
  </conditionalFormatting>
  <conditionalFormatting sqref="M59">
    <cfRule type="expression" dxfId="24" priority="23" stopIfTrue="1">
      <formula>AND($G82&lt;TODAY(),$H82&lt;1,$C82&lt;&gt;"")</formula>
    </cfRule>
  </conditionalFormatting>
  <conditionalFormatting sqref="H104 B104:E104 J104:N104">
    <cfRule type="cellIs" dxfId="23" priority="18" stopIfTrue="1" operator="notEqual">
      <formula>""</formula>
    </cfRule>
  </conditionalFormatting>
  <conditionalFormatting sqref="G104 O104">
    <cfRule type="cellIs" dxfId="22" priority="17" stopIfTrue="1" operator="notEqual">
      <formula>""</formula>
    </cfRule>
  </conditionalFormatting>
  <conditionalFormatting sqref="O104">
    <cfRule type="expression" priority="16" stopIfTrue="1">
      <formula>IF(AND($G104&lt;TODAY(),$H104&lt;1),"!!","")</formula>
    </cfRule>
  </conditionalFormatting>
  <conditionalFormatting sqref="EK104:IR104">
    <cfRule type="expression" dxfId="21" priority="15" stopIfTrue="1">
      <formula>EK$8&lt;&gt;""</formula>
    </cfRule>
  </conditionalFormatting>
  <conditionalFormatting sqref="F104">
    <cfRule type="cellIs" dxfId="20" priority="14" stopIfTrue="1" operator="notEqual">
      <formula>""</formula>
    </cfRule>
  </conditionalFormatting>
  <conditionalFormatting sqref="I104">
    <cfRule type="cellIs" dxfId="19" priority="13" stopIfTrue="1" operator="notEqual">
      <formula>""</formula>
    </cfRule>
  </conditionalFormatting>
  <conditionalFormatting sqref="B104:O104">
    <cfRule type="expression" dxfId="18" priority="20" stopIfTrue="1">
      <formula>AND($G104&lt;TODAY(),$H104&lt;1,$C104&lt;&gt;"")</formula>
    </cfRule>
  </conditionalFormatting>
  <conditionalFormatting sqref="B113:B115">
    <cfRule type="cellIs" dxfId="17" priority="11" stopIfTrue="1" operator="notEqual">
      <formula>""</formula>
    </cfRule>
  </conditionalFormatting>
  <conditionalFormatting sqref="B113:B115">
    <cfRule type="expression" dxfId="16" priority="12" stopIfTrue="1">
      <formula>AND($G113&lt;TODAY(),$H113&lt;1,$C113&lt;&gt;"")</formula>
    </cfRule>
  </conditionalFormatting>
  <conditionalFormatting sqref="DC27:EI27">
    <cfRule type="expression" dxfId="15" priority="570" stopIfTrue="1">
      <formula>AND($C27&lt;&gt;"",DC$8&gt;=$E27,DC$8&lt;=$G27,#REF!&lt;1)</formula>
    </cfRule>
    <cfRule type="expression" dxfId="14" priority="571" stopIfTrue="1">
      <formula>AND($C27="",DC$8="")</formula>
    </cfRule>
  </conditionalFormatting>
  <conditionalFormatting sqref="DC21:EI22">
    <cfRule type="expression" dxfId="13" priority="584" stopIfTrue="1">
      <formula>AND($C21&lt;&gt;"",DC$8&gt;=$E21,DC$8&lt;=$G21,$H28&lt;1)</formula>
    </cfRule>
    <cfRule type="expression" dxfId="12" priority="585" stopIfTrue="1">
      <formula>AND($C21="",DC$8="")</formula>
    </cfRule>
  </conditionalFormatting>
  <conditionalFormatting sqref="DC19:EI20">
    <cfRule type="expression" dxfId="11" priority="586" stopIfTrue="1">
      <formula>AND($C19&lt;&gt;"",DC$8&gt;=$E19,DC$8&lt;=$G19,#REF!&lt;1)</formula>
    </cfRule>
    <cfRule type="expression" dxfId="10" priority="587" stopIfTrue="1">
      <formula>AND($C19="",DC$8="")</formula>
    </cfRule>
  </conditionalFormatting>
  <conditionalFormatting sqref="E112:E115">
    <cfRule type="cellIs" dxfId="9" priority="9" stopIfTrue="1" operator="notEqual">
      <formula>""</formula>
    </cfRule>
  </conditionalFormatting>
  <conditionalFormatting sqref="E112:E115">
    <cfRule type="expression" dxfId="8" priority="10" stopIfTrue="1">
      <formula>AND($G112&lt;TODAY(),$H112&lt;1,$C112&lt;&gt;"")</formula>
    </cfRule>
  </conditionalFormatting>
  <conditionalFormatting sqref="F111:F115">
    <cfRule type="cellIs" dxfId="7" priority="7" stopIfTrue="1" operator="notEqual">
      <formula>""</formula>
    </cfRule>
  </conditionalFormatting>
  <conditionalFormatting sqref="F111:F115">
    <cfRule type="expression" dxfId="6" priority="8" stopIfTrue="1">
      <formula>AND($G111&lt;TODAY(),$H111&lt;1,$C111&lt;&gt;"")</formula>
    </cfRule>
  </conditionalFormatting>
  <conditionalFormatting sqref="G113">
    <cfRule type="cellIs" dxfId="5" priority="5" stopIfTrue="1" operator="notEqual">
      <formula>""</formula>
    </cfRule>
  </conditionalFormatting>
  <conditionalFormatting sqref="G113">
    <cfRule type="expression" dxfId="4" priority="6" stopIfTrue="1">
      <formula>AND($G113&lt;TODAY(),$H113&lt;1,$C113&lt;&gt;"")</formula>
    </cfRule>
  </conditionalFormatting>
  <conditionalFormatting sqref="G111">
    <cfRule type="cellIs" dxfId="3" priority="3" stopIfTrue="1" operator="notEqual">
      <formula>""</formula>
    </cfRule>
  </conditionalFormatting>
  <conditionalFormatting sqref="G111">
    <cfRule type="expression" dxfId="2" priority="4" stopIfTrue="1">
      <formula>AND($G111&lt;TODAY(),$H111&lt;1,$C111&lt;&gt;"")</formula>
    </cfRule>
  </conditionalFormatting>
  <conditionalFormatting sqref="G112">
    <cfRule type="cellIs" dxfId="1" priority="1" stopIfTrue="1" operator="notEqual">
      <formula>""</formula>
    </cfRule>
  </conditionalFormatting>
  <conditionalFormatting sqref="G112">
    <cfRule type="expression" dxfId="0" priority="2" stopIfTrue="1">
      <formula>AND($G112&lt;TODAY(),$H112&lt;1,$C112&lt;&gt;"")</formula>
    </cfRule>
  </conditionalFormatting>
  <dataValidations count="4">
    <dataValidation type="whole" allowBlank="1" showInputMessage="1" showErrorMessage="1" sqref="D24:D27 D9:D22">
      <formula1>-1000</formula1>
      <formula2>1000</formula2>
    </dataValidation>
    <dataValidation type="date" operator="greaterThan" allowBlank="1" showInputMessage="1" showErrorMessage="1" sqref="E3">
      <formula1>1</formula1>
    </dataValidation>
    <dataValidation type="whole" operator="greaterThan" allowBlank="1" showInputMessage="1" showErrorMessage="1" sqref="E5">
      <formula1>1</formula1>
    </dataValidation>
    <dataValidation type="decimal" operator="greaterThanOrEqual" allowBlank="1" showInputMessage="1" showErrorMessage="1" sqref="F9:F27 F90:F94">
      <formula1>0</formula1>
    </dataValidation>
  </dataValidations>
  <hyperlinks>
    <hyperlink ref="M17" r:id="rId1"/>
    <hyperlink ref="M31" r:id="rId2"/>
    <hyperlink ref="M34" r:id="rId3"/>
    <hyperlink ref="M39" r:id="rId4"/>
    <hyperlink ref="M43" r:id="rId5"/>
    <hyperlink ref="M51" r:id="rId6"/>
    <hyperlink ref="M52" r:id="rId7"/>
    <hyperlink ref="M53" r:id="rId8"/>
    <hyperlink ref="M54" r:id="rId9"/>
    <hyperlink ref="M56" r:id="rId10"/>
    <hyperlink ref="M79" r:id="rId11"/>
    <hyperlink ref="M80" r:id="rId12"/>
    <hyperlink ref="M81" r:id="rId13"/>
    <hyperlink ref="M82" r:id="rId14"/>
    <hyperlink ref="M83" r:id="rId15"/>
    <hyperlink ref="M84" r:id="rId16"/>
    <hyperlink ref="M85" r:id="rId17"/>
    <hyperlink ref="M86" r:id="rId18"/>
    <hyperlink ref="M88" r:id="rId19"/>
    <hyperlink ref="M98" r:id="rId20"/>
    <hyperlink ref="M46" r:id="rId21"/>
    <hyperlink ref="M91" r:id="rId22"/>
    <hyperlink ref="M10" r:id="rId23"/>
    <hyperlink ref="M25" r:id="rId24"/>
    <hyperlink ref="M36" r:id="rId25"/>
    <hyperlink ref="M77" r:id="rId26" location="/"/>
    <hyperlink ref="M59" r:id="rId27"/>
    <hyperlink ref="M106" r:id="rId28"/>
    <hyperlink ref="M108" r:id="rId29"/>
  </hyperlinks>
  <pageMargins left="0.75" right="0.75" top="1" bottom="1" header="0.5" footer="0.5"/>
  <pageSetup paperSize="9" orientation="portrait" horizontalDpi="300" verticalDpi="300" r:id="rId30"/>
  <headerFooter alignWithMargins="0"/>
  <drawing r:id="rId31"/>
  <legacyDrawing r:id="rId32"/>
  <controls>
    <mc:AlternateContent xmlns:mc="http://schemas.openxmlformats.org/markup-compatibility/2006">
      <mc:Choice Requires="x14">
        <control shapeId="3075" r:id="rId33" name="CheckBox1">
          <controlPr defaultSize="0" autoFill="0" autoLine="0" r:id="rId34">
            <anchor moveWithCells="1">
              <from>
                <xdr:col>2</xdr:col>
                <xdr:colOff>38100</xdr:colOff>
                <xdr:row>7</xdr:row>
                <xdr:rowOff>0</xdr:rowOff>
              </from>
              <to>
                <xdr:col>2</xdr:col>
                <xdr:colOff>3009900</xdr:colOff>
                <xdr:row>7</xdr:row>
                <xdr:rowOff>228600</xdr:rowOff>
              </to>
            </anchor>
          </controlPr>
        </control>
      </mc:Choice>
      <mc:Fallback>
        <control shapeId="3075" r:id="rId33" name="CheckBox1"/>
      </mc:Fallback>
    </mc:AlternateContent>
    <mc:AlternateContent xmlns:mc="http://schemas.openxmlformats.org/markup-compatibility/2006">
      <mc:Choice Requires="x14">
        <control shapeId="3073" r:id="rId35" name="Check Box 1">
          <controlPr defaultSize="0" autoFill="0" autoLine="0" autoPict="0">
            <anchor moveWithCells="1">
              <from>
                <xdr:col>2</xdr:col>
                <xdr:colOff>0</xdr:colOff>
                <xdr:row>5</xdr:row>
                <xdr:rowOff>19050</xdr:rowOff>
              </from>
              <to>
                <xdr:col>5</xdr:col>
                <xdr:colOff>219075</xdr:colOff>
                <xdr:row>6</xdr:row>
                <xdr:rowOff>123825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3074" r:id="rId36" name="Spinner 2">
          <controlPr defaultSize="0" autoPict="0">
            <anchor moveWithCells="1" sizeWithCells="1">
              <from>
                <xdr:col>5</xdr:col>
                <xdr:colOff>47625</xdr:colOff>
                <xdr:row>4</xdr:row>
                <xdr:rowOff>9525</xdr:rowOff>
              </from>
              <to>
                <xdr:col>5</xdr:col>
                <xdr:colOff>219075</xdr:colOff>
                <xdr:row>5</xdr:row>
                <xdr:rowOff>38100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showGridLines="0" zoomScale="85" zoomScaleNormal="85" workbookViewId="0">
      <selection activeCell="E6" sqref="E6"/>
    </sheetView>
  </sheetViews>
  <sheetFormatPr defaultRowHeight="12.75"/>
  <cols>
    <col min="1" max="1" width="11" customWidth="1"/>
    <col min="2" max="2" width="17.5703125" customWidth="1"/>
    <col min="4" max="4" width="16" customWidth="1"/>
    <col min="5" max="8" width="18.7109375" customWidth="1"/>
    <col min="10" max="10" width="12.28515625" customWidth="1"/>
    <col min="11" max="11" width="13.28515625" customWidth="1"/>
    <col min="12" max="12" width="21.28515625" customWidth="1"/>
    <col min="13" max="13" width="26.28515625" customWidth="1"/>
  </cols>
  <sheetData>
    <row r="1" spans="1:14" ht="23.25">
      <c r="A1" s="153" t="s">
        <v>204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</row>
    <row r="4" spans="1:14" ht="73.5" customHeight="1">
      <c r="A4" s="122" t="s">
        <v>190</v>
      </c>
      <c r="B4" s="122" t="s">
        <v>191</v>
      </c>
      <c r="C4" s="122" t="s">
        <v>192</v>
      </c>
      <c r="D4" s="122" t="s">
        <v>193</v>
      </c>
      <c r="E4" s="122" t="s">
        <v>194</v>
      </c>
      <c r="F4" s="122" t="s">
        <v>195</v>
      </c>
      <c r="G4" s="122" t="s">
        <v>196</v>
      </c>
      <c r="H4" s="122" t="s">
        <v>197</v>
      </c>
      <c r="I4" s="122" t="s">
        <v>198</v>
      </c>
      <c r="J4" s="122" t="s">
        <v>199</v>
      </c>
      <c r="K4" s="122" t="s">
        <v>200</v>
      </c>
      <c r="L4" s="122" t="s">
        <v>201</v>
      </c>
      <c r="M4" s="122" t="s">
        <v>202</v>
      </c>
      <c r="N4" s="122" t="s">
        <v>203</v>
      </c>
    </row>
    <row r="5" spans="1:14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1:14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</row>
    <row r="7" spans="1:14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</row>
    <row r="8" spans="1:14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</row>
    <row r="9" spans="1:14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</row>
    <row r="10" spans="1:14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</row>
    <row r="11" spans="1:14">
      <c r="A11" s="119"/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</row>
    <row r="12" spans="1:14">
      <c r="A12" s="119"/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</row>
    <row r="13" spans="1:14">
      <c r="A13" s="119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</row>
    <row r="14" spans="1:14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</row>
    <row r="15" spans="1:14">
      <c r="A15" s="119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</row>
    <row r="16" spans="1:14">
      <c r="A16" s="119"/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</row>
    <row r="17" spans="1:14">
      <c r="A17" s="119"/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</row>
    <row r="18" spans="1:14">
      <c r="A18" s="119"/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</row>
    <row r="19" spans="1:14">
      <c r="A19" s="119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</row>
    <row r="20" spans="1:14">
      <c r="A20" s="11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</row>
    <row r="21" spans="1:14">
      <c r="A21" s="119"/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</row>
    <row r="22" spans="1:14">
      <c r="A22" s="119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</row>
    <row r="23" spans="1:14">
      <c r="A23" s="119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</row>
    <row r="24" spans="1:14">
      <c r="A24" s="119"/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C21"/>
  <sheetViews>
    <sheetView showGridLines="0" workbookViewId="0">
      <selection activeCell="C5" sqref="C5:C23"/>
    </sheetView>
  </sheetViews>
  <sheetFormatPr defaultRowHeight="12.75"/>
  <cols>
    <col min="2" max="2" width="28.7109375" customWidth="1"/>
    <col min="3" max="3" width="19.28515625" style="118" customWidth="1"/>
  </cols>
  <sheetData>
    <row r="1" spans="2:3">
      <c r="C1"/>
    </row>
    <row r="2" spans="2:3">
      <c r="C2"/>
    </row>
    <row r="3" spans="2:3">
      <c r="B3" s="121" t="s">
        <v>179</v>
      </c>
      <c r="C3" s="121" t="s">
        <v>180</v>
      </c>
    </row>
    <row r="4" spans="2:3" hidden="1">
      <c r="B4" s="119" t="s">
        <v>173</v>
      </c>
      <c r="C4" s="120" t="s">
        <v>172</v>
      </c>
    </row>
    <row r="5" spans="2:3">
      <c r="B5" s="119" t="s">
        <v>174</v>
      </c>
      <c r="C5" s="120" t="s">
        <v>172</v>
      </c>
    </row>
    <row r="6" spans="2:3" hidden="1">
      <c r="B6" s="119" t="s">
        <v>175</v>
      </c>
      <c r="C6" s="120" t="s">
        <v>148</v>
      </c>
    </row>
    <row r="7" spans="2:3" hidden="1">
      <c r="B7" s="119" t="s">
        <v>176</v>
      </c>
      <c r="C7" s="120" t="s">
        <v>148</v>
      </c>
    </row>
    <row r="8" spans="2:3" hidden="1">
      <c r="B8" s="119" t="s">
        <v>177</v>
      </c>
      <c r="C8" s="120" t="s">
        <v>150</v>
      </c>
    </row>
    <row r="9" spans="2:3" hidden="1">
      <c r="B9" s="119" t="s">
        <v>178</v>
      </c>
      <c r="C9" s="120" t="s">
        <v>150</v>
      </c>
    </row>
    <row r="10" spans="2:3">
      <c r="B10" s="119" t="s">
        <v>174</v>
      </c>
      <c r="C10" s="120" t="s">
        <v>182</v>
      </c>
    </row>
    <row r="11" spans="2:3" hidden="1">
      <c r="B11" s="119" t="s">
        <v>181</v>
      </c>
      <c r="C11" s="120" t="s">
        <v>182</v>
      </c>
    </row>
    <row r="12" spans="2:3" hidden="1">
      <c r="B12" s="119" t="s">
        <v>176</v>
      </c>
      <c r="C12" s="120" t="s">
        <v>183</v>
      </c>
    </row>
    <row r="13" spans="2:3">
      <c r="B13" s="119" t="s">
        <v>174</v>
      </c>
      <c r="C13" s="120" t="s">
        <v>183</v>
      </c>
    </row>
    <row r="14" spans="2:3" hidden="1">
      <c r="B14" s="119" t="s">
        <v>181</v>
      </c>
      <c r="C14" s="120" t="s">
        <v>183</v>
      </c>
    </row>
    <row r="15" spans="2:3" hidden="1">
      <c r="B15" s="119" t="s">
        <v>184</v>
      </c>
      <c r="C15" s="120" t="s">
        <v>151</v>
      </c>
    </row>
    <row r="16" spans="2:3">
      <c r="B16" s="119" t="s">
        <v>174</v>
      </c>
      <c r="C16" s="120" t="s">
        <v>149</v>
      </c>
    </row>
    <row r="17" spans="2:3" hidden="1">
      <c r="B17" s="119" t="s">
        <v>176</v>
      </c>
      <c r="C17" s="120" t="s">
        <v>149</v>
      </c>
    </row>
    <row r="18" spans="2:3" hidden="1">
      <c r="B18" s="119" t="s">
        <v>185</v>
      </c>
      <c r="C18" s="120" t="s">
        <v>149</v>
      </c>
    </row>
    <row r="19" spans="2:3" hidden="1">
      <c r="B19" s="119" t="s">
        <v>186</v>
      </c>
      <c r="C19" s="120" t="s">
        <v>145</v>
      </c>
    </row>
    <row r="20" spans="2:3" hidden="1">
      <c r="B20" s="119" t="s">
        <v>187</v>
      </c>
      <c r="C20" s="120" t="s">
        <v>146</v>
      </c>
    </row>
    <row r="21" spans="2:3" hidden="1">
      <c r="B21" s="119" t="s">
        <v>188</v>
      </c>
      <c r="C21" s="120" t="s">
        <v>189</v>
      </c>
    </row>
  </sheetData>
  <autoFilter ref="B3:C21">
    <filterColumn colId="0">
      <filters>
        <filter val="Заказчик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1:A18"/>
  <sheetViews>
    <sheetView workbookViewId="0">
      <selection activeCell="A15" sqref="A15:A18"/>
    </sheetView>
  </sheetViews>
  <sheetFormatPr defaultRowHeight="12.75"/>
  <cols>
    <col min="1" max="1" width="10.140625" bestFit="1" customWidth="1"/>
    <col min="3" max="3" width="10.28515625" bestFit="1" customWidth="1"/>
  </cols>
  <sheetData>
    <row r="1" spans="1:1">
      <c r="A1" s="1">
        <v>46023</v>
      </c>
    </row>
    <row r="2" spans="1:1">
      <c r="A2" s="1">
        <v>46024</v>
      </c>
    </row>
    <row r="3" spans="1:1">
      <c r="A3" s="1">
        <v>46027</v>
      </c>
    </row>
    <row r="4" spans="1:1">
      <c r="A4" s="1">
        <v>46028</v>
      </c>
    </row>
    <row r="5" spans="1:1">
      <c r="A5" s="1">
        <v>46029</v>
      </c>
    </row>
    <row r="6" spans="1:1">
      <c r="A6" s="1">
        <v>46030</v>
      </c>
    </row>
    <row r="7" spans="1:1">
      <c r="A7" s="1">
        <v>46031</v>
      </c>
    </row>
    <row r="8" spans="1:1">
      <c r="A8" s="1">
        <v>46076</v>
      </c>
    </row>
    <row r="9" spans="1:1">
      <c r="A9" s="1">
        <v>46090</v>
      </c>
    </row>
    <row r="10" spans="1:1">
      <c r="A10" s="1">
        <v>46143</v>
      </c>
    </row>
    <row r="11" spans="1:1">
      <c r="A11" s="1">
        <v>46153</v>
      </c>
    </row>
    <row r="12" spans="1:1">
      <c r="A12" s="1">
        <v>46185</v>
      </c>
    </row>
    <row r="13" spans="1:1">
      <c r="A13" s="1">
        <v>46330</v>
      </c>
    </row>
    <row r="14" spans="1:1">
      <c r="A14" s="1">
        <v>46387</v>
      </c>
    </row>
    <row r="15" spans="1:1">
      <c r="A15" s="1"/>
    </row>
    <row r="16" spans="1:1">
      <c r="A16" s="1"/>
    </row>
    <row r="17" spans="1:1">
      <c r="A17" s="1"/>
    </row>
    <row r="18" spans="1:1">
      <c r="A18" s="1"/>
    </row>
  </sheetData>
  <phoneticPr fontId="2" type="noConversion"/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TaskList</vt:lpstr>
      <vt:lpstr>DecisionLog</vt:lpstr>
      <vt:lpstr>TeamRoles</vt:lpstr>
      <vt:lpstr>Праздники</vt:lpstr>
    </vt:vector>
  </TitlesOfParts>
  <Company>Computer Training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Pavlov</dc:creator>
  <cp:lastModifiedBy>Obycheva, Anna</cp:lastModifiedBy>
  <dcterms:created xsi:type="dcterms:W3CDTF">2006-09-18T16:19:35Z</dcterms:created>
  <dcterms:modified xsi:type="dcterms:W3CDTF">2026-09-03T15:17:00Z</dcterms:modified>
</cp:coreProperties>
</file>